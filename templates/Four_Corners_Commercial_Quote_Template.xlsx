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Job Info" sheetId="2" state="visible" r:id="rId4"/>
    <sheet name="Line Detail" sheetId="3" state="visible" r:id="rId5"/>
    <sheet name="Alternates" sheetId="4" state="visible" r:id="rId6"/>
    <sheet name="Scope Terms" sheetId="5" state="visible" r:id="rId7"/>
    <sheet name="Proposal" sheetId="6" state="visible" r:id="rId8"/>
    <sheet name="Area Breakout" sheetId="7" state="visible" r:id="rId9"/>
    <sheet name="Bid Summary" sheetId="8" state="visible" r:id="rId10"/>
    <sheet name="Bid Comparison" sheetId="9" state="visible" r:id="rId11"/>
    <sheet name="Lists" sheetId="10" state="visible" r:id="rId12"/>
  </sheets>
  <definedNames>
    <definedName function="false" hidden="false" localSheetId="7" name="_xlnm.Print_Titles" vbProcedure="false">'Bid Summary'!$5:$5</definedName>
    <definedName function="false" hidden="false" localSheetId="2" name="_xlnm.Print_Titles" vbProcedure="false">'Line Detail'!$5:$5</definedName>
    <definedName function="false" hidden="true" localSheetId="2" name="_xlnm._FilterDatabase" vbProcedure="false">'Line Detail'!$A$5:$X$505</definedName>
    <definedName function="false" hidden="false" localSheetId="5" name="_xlnm.Print_Area" vbProcedure="false">Proposal!$A$1:$F$142</definedName>
    <definedName function="false" hidden="false" localSheetId="2" name="_xlnm.Print_Area" vbProcedure="false">OFFSET('Line Detail'!$A$1,0,0,5+MAX('Line Detail'!$W$6:$W$505),24)</definedName>
    <definedName function="false" hidden="false" localSheetId="7" name="_xlnm.Print_Area" vbProcedure="false">OFFSET('Bid Summary'!$A$1,0,0,5+MAX('Line Detail'!$W$6:$W$505),11)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<sst xmlns="http://schemas.openxmlformats.org/spreadsheetml/2006/main" count="591" uniqueCount="378">
  <si>
    <t xml:space="preserve">FOUR CORNERS COMMERCIAL QUOTE TEMPLATE</t>
  </si>
  <si>
    <t xml:space="preserve">For multifamily and commercial Div 6 / 8 / 10 bids (trim, doors, frames, hardware, specialties). Built from the Carter Lumber proposal format GCs already know.</t>
  </si>
  <si>
    <t xml:space="preserve">HOW TO USE</t>
  </si>
  <si>
    <t xml:space="preserve">1. Save As</t>
  </si>
  <si>
    <t xml:space="preserve">Save a copy per job: [Job Name] - [GC] - Proposal [#].xlsx. Never type in the master template.</t>
  </si>
  <si>
    <t xml:space="preserve">2. Job Info</t>
  </si>
  <si>
    <t xml:space="preserve">Fill every yellow cell: GC, job, plans date, estimator, tax rate (VERIFY the county), margins, bond, dates, and area names.</t>
  </si>
  <si>
    <t xml:space="preserve">3. Line Detail</t>
  </si>
  <si>
    <t xml:space="preserve">One row per takeoff item. Pick a Bid Group (Base / Alt 1-5 / Optional / Excluded), CSI Section, Area, Qty, UOM, and enter COST. Sell price, tax, and extensions calculate. Red cells = missing required info.</t>
  </si>
  <si>
    <t xml:space="preserve">Per-line margin overrides go in the two 'Override' columns (blank = Job Info default). Delete the 4 blue-italic EXAMPLE rows first.</t>
  </si>
  <si>
    <t xml:space="preserve">4. Alternates</t>
  </si>
  <si>
    <t xml:space="preserve">Describe each alternate. Amounts total automatically from Line Detail lines tagged Alt 1-5. Use negative quantities for deducts.</t>
  </si>
  <si>
    <t xml:space="preserve">5. Scope Terms</t>
  </si>
  <si>
    <t xml:space="preserve">Set each inclusion, exclusion, qualification, and term to Yes/No for this job. Only 'Yes' items print, auto-numbered. Edit wording as needed.</t>
  </si>
  <si>
    <t xml:space="preserve">6. Review</t>
  </si>
  <si>
    <t xml:space="preserve">Check the JOB MARGIN CHECK block at the bottom of Job Info: unassigned $ and missing Bid Group count must both be zero. Look at GP% and labor %.</t>
  </si>
  <si>
    <t xml:space="preserve">7. Send</t>
  </si>
  <si>
    <t xml:space="preserve">Print to PDF: Proposal + Area Breakout + Bid Summary (in that order). NEVER send Line Detail or Job Info; they show cost and margin.</t>
  </si>
  <si>
    <t xml:space="preserve">Bid Summary's print area grows with the number of lines automatically in Excel. If it ever prints blank pages, select the filled rows and use Page Layout &gt; Print Area &gt; Set Print Area.</t>
  </si>
  <si>
    <t xml:space="preserve">8. VE / Revisions</t>
  </si>
  <si>
    <t xml:space="preserve">Before re-pricing, copy the current section totals into 'Bid Comparison' prior columns, then make changes. The sheet shows the deltas for the GC.</t>
  </si>
  <si>
    <t xml:space="preserve">COLOR KEY</t>
  </si>
  <si>
    <t xml:space="preserve">Yellow + blue text</t>
  </si>
  <si>
    <t xml:space="preserve">Input - type here.</t>
  </si>
  <si>
    <t xml:space="preserve">Green text</t>
  </si>
  <si>
    <t xml:space="preserve">Pulls from another sheet - don't overwrite unless you mean to.</t>
  </si>
  <si>
    <t xml:space="preserve">Black text</t>
  </si>
  <si>
    <t xml:space="preserve">Formula - don't touch.</t>
  </si>
  <si>
    <t xml:space="preserve">Blue italic</t>
  </si>
  <si>
    <t xml:space="preserve">Example data - delete before use.</t>
  </si>
  <si>
    <t xml:space="preserve">SHEETS</t>
  </si>
  <si>
    <t xml:space="preserve">Proposal</t>
  </si>
  <si>
    <t xml:space="preserve">CUSTOMER. Cover letter, CSI summary, bond, base total, alternates, inclusions/exclusions/qualifications/terms, signature block.</t>
  </si>
  <si>
    <t xml:space="preserve">Area Breakout</t>
  </si>
  <si>
    <t xml:space="preserve">CUSTOMER. Section x area matrix plus material/labor by area (Carter's 'Apartments / Clubhouse / Pool Cabana' pages).</t>
  </si>
  <si>
    <t xml:space="preserve">Bid Summary</t>
  </si>
  <si>
    <t xml:space="preserve">CUSTOMER. Numbered line items with unit and extended price, compacted automatically (no blank rows, Excluded lines removed).</t>
  </si>
  <si>
    <t xml:space="preserve">Bid Comparison</t>
  </si>
  <si>
    <t xml:space="preserve">CUSTOMER (optional). VE or revision delta sheet.</t>
  </si>
  <si>
    <t xml:space="preserve">Line Detail</t>
  </si>
  <si>
    <t xml:space="preserve">INTERNAL. Takeoff with cost, margin, and sell.</t>
  </si>
  <si>
    <t xml:space="preserve">Job Info</t>
  </si>
  <si>
    <t xml:space="preserve">INTERNAL. Inputs and margin check.</t>
  </si>
  <si>
    <t xml:space="preserve">Scope Terms</t>
  </si>
  <si>
    <t xml:space="preserve">INTERNAL. Library of scope language.</t>
  </si>
  <si>
    <t xml:space="preserve">Alternates / Lists</t>
  </si>
  <si>
    <t xml:space="preserve">INTERNAL. Supporting tables. Add custom CSI sections in the yellow rows on Lists.</t>
  </si>
  <si>
    <t xml:space="preserve">BEFORE FIRST USE</t>
  </si>
  <si>
    <t xml:space="preserve">Have Wesley (company attorney) review the Terms &amp; Conditions and Qualifications on 'Scope Terms', especially the finance charge, lien, warranty, and escalation language.</t>
  </si>
  <si>
    <t xml:space="preserve">JOB INFO &amp; PRICING INPUTS</t>
  </si>
  <si>
    <t xml:space="preserve">Yellow cells with blue text are inputs. Everything else calculates.</t>
  </si>
  <si>
    <t xml:space="preserve">COMPANY</t>
  </si>
  <si>
    <t xml:space="preserve">Company Name</t>
  </si>
  <si>
    <t xml:space="preserve">Four Corners Building Supply</t>
  </si>
  <si>
    <t xml:space="preserve">Address</t>
  </si>
  <si>
    <t xml:space="preserve">4349 Corporate Road</t>
  </si>
  <si>
    <t xml:space="preserve">City / State / Zip</t>
  </si>
  <si>
    <t xml:space="preserve">North Charleston, SC 29405</t>
  </si>
  <si>
    <t xml:space="preserve">Office Phone</t>
  </si>
  <si>
    <t xml:space="preserve">(843) 970-3812</t>
  </si>
  <si>
    <t xml:space="preserve">Website</t>
  </si>
  <si>
    <t xml:space="preserve">www.buildfcbs.com</t>
  </si>
  <si>
    <t xml:space="preserve">CUSTOMER / GENERAL CONTRACTOR</t>
  </si>
  <si>
    <t xml:space="preserve">General Contractor</t>
  </si>
  <si>
    <t xml:space="preserve">Attention</t>
  </si>
  <si>
    <t xml:space="preserve">Phone</t>
  </si>
  <si>
    <t xml:space="preserve">Email</t>
  </si>
  <si>
    <t xml:space="preserve">PROJECT</t>
  </si>
  <si>
    <t xml:space="preserve">Job Name</t>
  </si>
  <si>
    <t xml:space="preserve">Four Corners Job #</t>
  </si>
  <si>
    <t xml:space="preserve">Job Address</t>
  </si>
  <si>
    <t xml:space="preserve">Job City / State / Zip</t>
  </si>
  <si>
    <t xml:space="preserve">Project Type</t>
  </si>
  <si>
    <t xml:space="preserve">Multifamily</t>
  </si>
  <si>
    <t xml:space="preserve">Plans / Specs Dated</t>
  </si>
  <si>
    <t xml:space="preserve">Leave blank to print '[date TBD]'.</t>
  </si>
  <si>
    <t xml:space="preserve">Addenda Acknowledged</t>
  </si>
  <si>
    <t xml:space="preserve">None</t>
  </si>
  <si>
    <t xml:space="preserve">Proposal Date</t>
  </si>
  <si>
    <t xml:space="preserve">Proposal #</t>
  </si>
  <si>
    <t xml:space="preserve">Suggest: FC-YYMM-### (e.g. FC-2610-001).</t>
  </si>
  <si>
    <t xml:space="preserve">Revision</t>
  </si>
  <si>
    <t xml:space="preserve">0</t>
  </si>
  <si>
    <t xml:space="preserve">ESTIMATOR</t>
  </si>
  <si>
    <t xml:space="preserve">Estimator Name</t>
  </si>
  <si>
    <t xml:space="preserve">Estimator Phone</t>
  </si>
  <si>
    <t xml:space="preserve">Estimator Email</t>
  </si>
  <si>
    <t xml:space="preserve">PRICING &amp; COMMERCIAL TERMS</t>
  </si>
  <si>
    <t xml:space="preserve">Sales Tax Rate on Material</t>
  </si>
  <si>
    <t xml:space="preserve">9% = Charleston/Berkeley Co. (Carter used 9% on Goose Creek, 7% on Bluffton). VERIFY the county rate for every job.</t>
  </si>
  <si>
    <t xml:space="preserve">Include Tax in Material Prices?</t>
  </si>
  <si>
    <t xml:space="preserve">Yes</t>
  </si>
  <si>
    <t xml:space="preserve">Default Material Margin (GP %)</t>
  </si>
  <si>
    <t xml:space="preserve">Gross margin: sell = cost / (1 - margin). Can be overridden per line on Line Detail.</t>
  </si>
  <si>
    <t xml:space="preserve">Default Labor Margin (GP %)</t>
  </si>
  <si>
    <t xml:space="preserve">Gross margin on installer cost. Can be overridden per line on Line Detail.</t>
  </si>
  <si>
    <t xml:space="preserve">Payment &amp; Performance Bond Required?</t>
  </si>
  <si>
    <t xml:space="preserve">No</t>
  </si>
  <si>
    <t xml:space="preserve">Bond Rate (% of base bid)</t>
  </si>
  <si>
    <t xml:space="preserve">1.5% matches the bond Carter carried on Pepper Hall ($36,008 on ~$2.40M). Get a real quote from the surety on bonded jobs.</t>
  </si>
  <si>
    <t xml:space="preserve">Proposal Valid (days)</t>
  </si>
  <si>
    <t xml:space="preserve">Carter used 30 days.</t>
  </si>
  <si>
    <t xml:space="preserve">Escalation Threshold Before Pass-Through</t>
  </si>
  <si>
    <t xml:space="preserve">Material increases above this % get passed to the GC (Qualification #3).</t>
  </si>
  <si>
    <t xml:space="preserve">Contract &amp; Approved Submittals By</t>
  </si>
  <si>
    <t xml:space="preserve">Substantial Completion Date</t>
  </si>
  <si>
    <t xml:space="preserve">Payment Terms</t>
  </si>
  <si>
    <t xml:space="preserve">Monthly progress billing, Net 30 from invoice date</t>
  </si>
  <si>
    <t xml:space="preserve">Max Retainage</t>
  </si>
  <si>
    <t xml:space="preserve">Shows up in the payment qualification.</t>
  </si>
  <si>
    <t xml:space="preserve">Mobilizations Included (per bldg/phase, per scope)</t>
  </si>
  <si>
    <t xml:space="preserve">Carter: 'reasonable number of units per mobilization'. We name a number instead.</t>
  </si>
  <si>
    <t xml:space="preserve">Additional Mobilization Charge ($/trip)</t>
  </si>
  <si>
    <t xml:space="preserve">Placeholder; set your own trip charge.</t>
  </si>
  <si>
    <t xml:space="preserve">AREAS (used for the Area Breakout - rename to fit the job)</t>
  </si>
  <si>
    <t xml:space="preserve">Area 1</t>
  </si>
  <si>
    <t xml:space="preserve">Units / Apartments</t>
  </si>
  <si>
    <t xml:space="preserve">Area 2</t>
  </si>
  <si>
    <t xml:space="preserve">Clubhouse</t>
  </si>
  <si>
    <t xml:space="preserve">Area 3</t>
  </si>
  <si>
    <t xml:space="preserve">Leasing / Amenity</t>
  </si>
  <si>
    <t xml:space="preserve">Area 4</t>
  </si>
  <si>
    <t xml:space="preserve">Corridors / Common</t>
  </si>
  <si>
    <t xml:space="preserve">Area 5</t>
  </si>
  <si>
    <t xml:space="preserve">Maintenance</t>
  </si>
  <si>
    <t xml:space="preserve">Area 6</t>
  </si>
  <si>
    <t xml:space="preserve">Garages</t>
  </si>
  <si>
    <t xml:space="preserve">Area 7</t>
  </si>
  <si>
    <t xml:space="preserve">Pool Cabana</t>
  </si>
  <si>
    <t xml:space="preserve">Area 8</t>
  </si>
  <si>
    <t xml:space="preserve">JOB MARGIN CHECK (INTERNAL - DO NOT SEND)</t>
  </si>
  <si>
    <t xml:space="preserve">Base Material Cost (pre-tax)</t>
  </si>
  <si>
    <t xml:space="preserve">Base Labor Cost</t>
  </si>
  <si>
    <t xml:space="preserve">Sales Tax in Base Bid</t>
  </si>
  <si>
    <t xml:space="preserve">Base Sell (before bond)</t>
  </si>
  <si>
    <t xml:space="preserve">Gross Profit $ (excl. tax)</t>
  </si>
  <si>
    <t xml:space="preserve">Gross Profit % (excl. tax)</t>
  </si>
  <si>
    <t xml:space="preserve">Labor % of Base Sell</t>
  </si>
  <si>
    <t xml:space="preserve">Carter's bids ran 24-29% labor. Useful sanity check.</t>
  </si>
  <si>
    <t xml:space="preserve">Base lines with no CSI section ($)</t>
  </si>
  <si>
    <t xml:space="preserve">Should be $0. Anything here is missing from the proposal section list.</t>
  </si>
  <si>
    <t xml:space="preserve">Lines with a description but no Bid Group (count)</t>
  </si>
  <si>
    <t xml:space="preserve">Should be 0. Lines without a Bid Group are NOT priced anywhere.</t>
  </si>
  <si>
    <t xml:space="preserve">CSI sections carrying $ (Proposal fits 16)</t>
  </si>
  <si>
    <t xml:space="preserve">If over 16, combine sections - extras won't show on the Proposal summary.</t>
  </si>
  <si>
    <t xml:space="preserve">LINE DETAIL / TAKEOFF (INTERNAL - contains cost)</t>
  </si>
  <si>
    <t xml:space="preserve">Enter lines grouped by CSI section, then by area, so the Bid Summary prints in a sensible order. Put each hardware set's components in the Description (one line per set, like Carter does).</t>
  </si>
  <si>
    <t xml:space="preserve">WHAT</t>
  </si>
  <si>
    <t xml:space="preserve">COST INPUTS</t>
  </si>
  <si>
    <t xml:space="preserve">SELL (calculated)</t>
  </si>
  <si>
    <t xml:space="preserve">NOTES</t>
  </si>
  <si>
    <t xml:space="preserve">HELPERS</t>
  </si>
  <si>
    <t xml:space="preserve">Line #</t>
  </si>
  <si>
    <t xml:space="preserve">Bid Group</t>
  </si>
  <si>
    <t xml:space="preserve">CSI Section</t>
  </si>
  <si>
    <t xml:space="preserve">Area</t>
  </si>
  <si>
    <t xml:space="preserve">Mark / Tag</t>
  </si>
  <si>
    <t xml:space="preserve">Description / Specification</t>
  </si>
  <si>
    <t xml:space="preserve">Qty</t>
  </si>
  <si>
    <t xml:space="preserve">UOM</t>
  </si>
  <si>
    <t xml:space="preserve">Mat Unit Cost</t>
  </si>
  <si>
    <t xml:space="preserve">Labor Unit Cost</t>
  </si>
  <si>
    <t xml:space="preserve">Mat Margin Override</t>
  </si>
  <si>
    <t xml:space="preserve">Labor Margin Override</t>
  </si>
  <si>
    <t xml:space="preserve">Mat Unit Sell (incl. tax)</t>
  </si>
  <si>
    <t xml:space="preserve">Labor Unit Sell</t>
  </si>
  <si>
    <t xml:space="preserve">Unit Price (Mat + Labor)</t>
  </si>
  <si>
    <t xml:space="preserve">Material Ext.</t>
  </si>
  <si>
    <t xml:space="preserve">Labor Ext.</t>
  </si>
  <si>
    <t xml:space="preserve">Total Ext.</t>
  </si>
  <si>
    <t xml:space="preserve">Customer Note (prints)</t>
  </si>
  <si>
    <t xml:space="preserve">Internal Note (does not print)</t>
  </si>
  <si>
    <t xml:space="preserve">Mat Cost Ext.</t>
  </si>
  <si>
    <t xml:space="preserve">Labor Cost Ext.</t>
  </si>
  <si>
    <t xml:space="preserve">Print Seq</t>
  </si>
  <si>
    <t xml:space="preserve">Tax $</t>
  </si>
  <si>
    <t xml:space="preserve">Base</t>
  </si>
  <si>
    <t xml:space="preserve">06 20 00 Interior Trim / Finish Carpentry</t>
  </si>
  <si>
    <t xml:space="preserve">Base FJ Primed 1x6</t>
  </si>
  <si>
    <t xml:space="preserve">LF</t>
  </si>
  <si>
    <t xml:space="preserve">EXAMPLE - delete before use</t>
  </si>
  <si>
    <t xml:space="preserve">08 17 43 Interior Pre-Hung Doors</t>
  </si>
  <si>
    <t xml:space="preserve">Type 4</t>
  </si>
  <si>
    <t xml:space="preserve">3068 Hollow Core Hardboard 2-Panel Shaker 1-3/8", FJ split jamb 4-7/8" w/ FJ 1x4 casing, 3 ea US15 hinges, 2-3/8" backset single bore</t>
  </si>
  <si>
    <t xml:space="preserve">EA</t>
  </si>
  <si>
    <t xml:space="preserve">08 71 00 Door Hardware</t>
  </si>
  <si>
    <t xml:space="preserve">HW Set Bed/Bath</t>
  </si>
  <si>
    <t xml:space="preserve">1 ea privacy lever US15; 1 ea door stop US15</t>
  </si>
  <si>
    <t xml:space="preserve">SET</t>
  </si>
  <si>
    <t xml:space="preserve">Alt 1</t>
  </si>
  <si>
    <t xml:space="preserve">HW Set Entry</t>
  </si>
  <si>
    <t xml:space="preserve">ADD: battery-powered keypad deadbolt in lieu of keyed deadbolt</t>
  </si>
  <si>
    <t xml:space="preserve">Add alternate</t>
  </si>
  <si>
    <t xml:space="preserve">TOTAL - BASE BID LINES</t>
  </si>
  <si>
    <t xml:space="preserve">ALTERNATES &amp; OPTIONS</t>
  </si>
  <si>
    <t xml:space="preserve">Alternate amounts total automatically from Line Detail lines tagged Alt 1-Alt 5. Enter deducts as negative quantities. Describe each alternate in column B; it only prints if it has a description or an amount.</t>
  </si>
  <si>
    <t xml:space="preserve">Alt #</t>
  </si>
  <si>
    <t xml:space="preserve">Description (prints on proposal)</t>
  </si>
  <si>
    <t xml:space="preserve">Add / (Deduct)</t>
  </si>
  <si>
    <t xml:space="preserve">Material</t>
  </si>
  <si>
    <t xml:space="preserve">Labor</t>
  </si>
  <si>
    <t xml:space="preserve">Battery-powered keypad deadbolts at unit entries in lieu of keyed deadbolts (EXAMPLE)</t>
  </si>
  <si>
    <t xml:space="preserve">Alt 2</t>
  </si>
  <si>
    <t xml:space="preserve">Alt 3</t>
  </si>
  <si>
    <t xml:space="preserve">Alt 4</t>
  </si>
  <si>
    <t xml:space="preserve">Alt 5</t>
  </si>
  <si>
    <t xml:space="preserve">Optional</t>
  </si>
  <si>
    <t xml:space="preserve">Optional items, priced individually in the attached Bid Summary</t>
  </si>
  <si>
    <t xml:space="preserve">INCLUSIONS / EXCLUSIONS / QUALIFICATIONS / TERMS</t>
  </si>
  <si>
    <t xml:space="preserve">Set column B to Yes/No per job. 'Yes' items print on the Proposal, auto-numbered. Edit wording freely; add your own items in the blank rows at the end of each group (set the Category).</t>
  </si>
  <si>
    <t xml:space="preserve">Items in green are formulas that pull from Job Info - overwrite them only if you need custom wording.</t>
  </si>
  <si>
    <t xml:space="preserve">Category</t>
  </si>
  <si>
    <t xml:space="preserve">Print?</t>
  </si>
  <si>
    <t xml:space="preserve">Text</t>
  </si>
  <si>
    <t xml:space="preserve">Seq</t>
  </si>
  <si>
    <t xml:space="preserve">Key</t>
  </si>
  <si>
    <t xml:space="preserve">Inclusion</t>
  </si>
  <si>
    <t xml:space="preserve">All items listed in the attached Bid Summary, which is part of this proposal.</t>
  </si>
  <si>
    <t xml:space="preserve">Delivery of all materials to the jobsite, ground level, at each building.</t>
  </si>
  <si>
    <t xml:space="preserve">Installation labor for every line item that shows a labor price in the Bid Summary.</t>
  </si>
  <si>
    <t xml:space="preserve">Interior and exterior pre-hung doors with hinges installed and bored or prepped for the scheduled hardware.</t>
  </si>
  <si>
    <t xml:space="preserve">Fire-rated doors and frames with factory labels as scheduled.</t>
  </si>
  <si>
    <t xml:space="preserve">Product data, door and hardware schedules, and submittals; warranty and O&amp;M documents at closeout.</t>
  </si>
  <si>
    <t xml:space="preserve">Removal of our packaging and debris to the GC-provided on-site dumpster.</t>
  </si>
  <si>
    <t xml:space="preserve">Exclusion</t>
  </si>
  <si>
    <t xml:space="preserve">Chair rail and crown moulding in units</t>
  </si>
  <si>
    <t xml:space="preserve">Cased openings and interior columns</t>
  </si>
  <si>
    <t xml:space="preserve">Cabinets, countertops, vanities, desks, and built-ins unless listed</t>
  </si>
  <si>
    <t xml:space="preserve">Stair parts and railings</t>
  </si>
  <si>
    <t xml:space="preserve">Toilet partitions, shower doors, and shower enclosures unless listed</t>
  </si>
  <si>
    <t xml:space="preserve">Garage doors, overhead doors, and draft-stop or attic access doors</t>
  </si>
  <si>
    <t xml:space="preserve">Aluminum storefront, curtain wall, and associated door hardware</t>
  </si>
  <si>
    <t xml:space="preserve">Glass and glazing for hollow metal doors and frames unless listed</t>
  </si>
  <si>
    <t xml:space="preserve">Flashing, sealants, and weatherproofing for windows and doors</t>
  </si>
  <si>
    <t xml:space="preserve">Painting, staining, caulking, and nail-hole fill (trim and doors are primed or prefinished as noted)</t>
  </si>
  <si>
    <t xml:space="preserve">Wood blocking, backing, and framing</t>
  </si>
  <si>
    <t xml:space="preserve">Grouting of hollow metal frames (material and labor)</t>
  </si>
  <si>
    <t xml:space="preserve">Electrified hardware, access control, power supplies, wiring, and low-voltage work (Division 28)</t>
  </si>
  <si>
    <t xml:space="preserve">Final keying, permanent cores, and master key systems unless listed</t>
  </si>
  <si>
    <t xml:space="preserve">Grab bars installed in tile or solid surface (price on request)</t>
  </si>
  <si>
    <t xml:space="preserve">Reclaimed or specialty-species wood trim unless listed</t>
  </si>
  <si>
    <t xml:space="preserve">Hoisting and stocking above ground level unless listed under 01 54 16</t>
  </si>
  <si>
    <t xml:space="preserve">Off-site trash removal and dumpsters</t>
  </si>
  <si>
    <t xml:space="preserve">Composite clean-up participation and clean-up back charges</t>
  </si>
  <si>
    <t xml:space="preserve">OCIP / CCIP insurance programs and related costs</t>
  </si>
  <si>
    <t xml:space="preserve">Builder's risk insurance, permits, inspection fees, and testing</t>
  </si>
  <si>
    <t xml:space="preserve">Liquidated and consequential damages</t>
  </si>
  <si>
    <t xml:space="preserve">Prevailing wage / Davis-Bacon labor rates unless stated</t>
  </si>
  <si>
    <t xml:space="preserve">Attic stock and overage material</t>
  </si>
  <si>
    <t xml:space="preserve">Protection of installed work from damage by other trades</t>
  </si>
  <si>
    <t xml:space="preserve">Engineering, delegated design, and sealed shop drawings</t>
  </si>
  <si>
    <t xml:space="preserve">Window blinds and window treatments</t>
  </si>
  <si>
    <t xml:space="preserve">Postal boxes and mail kiosks</t>
  </si>
  <si>
    <t xml:space="preserve">Wire shelving</t>
  </si>
  <si>
    <t xml:space="preserve">Bath accessories</t>
  </si>
  <si>
    <t xml:space="preserve">Fire extinguishers and cabinets</t>
  </si>
  <si>
    <t xml:space="preserve">Qualification</t>
  </si>
  <si>
    <t xml:space="preserve">Lead times come from current manufacturer quotes and are confirmed at release. Special-order items need approved submittals and a written release before ordering, and can't be cancelled or returned once released.</t>
  </si>
  <si>
    <t xml:space="preserve">GC provides hoisting and material stocking for buildings over four stories, unless hoisting is listed in this proposal.</t>
  </si>
  <si>
    <t xml:space="preserve">GC provides all-weather access and temporary roads to each building for deliveries.</t>
  </si>
  <si>
    <t xml:space="preserve">GC provides secure, dry on-site storage. If on-site storage isn't available, storage charges will apply.</t>
  </si>
  <si>
    <t xml:space="preserve">Work follows a mutually agreed construction schedule. Areas must be dried in, and conditioned where specified, before interior trim and doors are installed.</t>
  </si>
  <si>
    <t xml:space="preserve">Supervision is provided as needed; it's not full-time on site unless stated.</t>
  </si>
  <si>
    <t xml:space="preserve">This is a lump-sum proposal, broken out by section for the GC's convenience. If less than the full scope is awarded, Four Corners may revise pricing.</t>
  </si>
  <si>
    <t xml:space="preserve">Quantities are our takeoff from the documents provided and aren't guaranteed. Please review the attached Bid Summary and let us know right away about any discrepancy. Changes in quantity, scope, or product will be priced as a change order.</t>
  </si>
  <si>
    <t xml:space="preserve">Where the drawings and specifications conflict, pricing is based on the product described in the attached Bid Summary. Please flag any conflict before award.</t>
  </si>
  <si>
    <t xml:space="preserve">Fees for third-party payment management or compliance systems (such as Textura or GCPay) are not included.</t>
  </si>
  <si>
    <t xml:space="preserve">Changes require a written change order signed by both parties before the work proceeds.</t>
  </si>
  <si>
    <t xml:space="preserve">Back charges won't be accepted without prior written notice and an opportunity to correct.</t>
  </si>
  <si>
    <t xml:space="preserve">Repairs to installed work damaged by other trades will be billed as extra work.</t>
  </si>
  <si>
    <t xml:space="preserve">Manufacturer warranties apply to all products. Four Corners warrants its installation workmanship for one (1) year from substantial completion.</t>
  </si>
  <si>
    <t xml:space="preserve">Four Corners carries standard insurance and will provide a certificate of insurance. Additional insured and waiver of subrogation are provided per a mutually agreed subcontract.</t>
  </si>
  <si>
    <t xml:space="preserve">Term</t>
  </si>
  <si>
    <t xml:space="preserve">This proposal assumes Four Corners and the Customer can agree on contract terms. If the subcontract contains terms Four Corners can't accept, this proposal is null and void.</t>
  </si>
  <si>
    <t xml:space="preserve">All work is subject to credit approval. Four Corners may decline any project for credit reasons.</t>
  </si>
  <si>
    <t xml:space="preserve">Customer pays according to the Four Corners credit agreement, unless Four Corners accepts alternate terms in writing.</t>
  </si>
  <si>
    <t xml:space="preserve">Past-due balances accrue a finance charge of 1.5% per month. Customer is responsible for collection costs and reasonable attorney's fees.</t>
  </si>
  <si>
    <t xml:space="preserve">Customer is responsible for all permits and inspections required by local agencies.</t>
  </si>
  <si>
    <t xml:space="preserve">If work can't start within a reasonable time of the projected start date, Four Corners may revise this proposal.</t>
  </si>
  <si>
    <t xml:space="preserve">Four Corners keeps all lien rights under South Carolina law.</t>
  </si>
  <si>
    <t xml:space="preserve">PROPOSAL</t>
  </si>
  <si>
    <t xml:space="preserve">To:</t>
  </si>
  <si>
    <t xml:space="preserve">Date:</t>
  </si>
  <si>
    <t xml:space="preserve">Attn:</t>
  </si>
  <si>
    <t xml:space="preserve">Proposal #:</t>
  </si>
  <si>
    <t xml:space="preserve">Address:</t>
  </si>
  <si>
    <t xml:space="preserve">From:</t>
  </si>
  <si>
    <t xml:space="preserve">Phone:</t>
  </si>
  <si>
    <t xml:space="preserve">Email:</t>
  </si>
  <si>
    <t xml:space="preserve">JOB NAME</t>
  </si>
  <si>
    <t xml:space="preserve">JOB #</t>
  </si>
  <si>
    <t xml:space="preserve">JOB ADDRESS</t>
  </si>
  <si>
    <t xml:space="preserve">PROPOSAL SUMMARY (BY CSI SECTION)</t>
  </si>
  <si>
    <t xml:space="preserve">AMOUNT</t>
  </si>
  <si>
    <t xml:space="preserve">ALTERNATES &amp; OPTIONS (NOT INCLUDED IN BASE BID)</t>
  </si>
  <si>
    <t xml:space="preserve">ADD / (DEDUCT)</t>
  </si>
  <si>
    <t xml:space="preserve">INCLUSIONS</t>
  </si>
  <si>
    <t xml:space="preserve">EXCLUSIONS</t>
  </si>
  <si>
    <t xml:space="preserve">QUALIFICATIONS</t>
  </si>
  <si>
    <t xml:space="preserve">TERMS &amp; CONDITIONS</t>
  </si>
  <si>
    <t xml:space="preserve">We appreciate the opportunity and look forward to working with you on this project. Please call with any questions.</t>
  </si>
  <si>
    <t xml:space="preserve">ACCEPTANCE</t>
  </si>
  <si>
    <t xml:space="preserve">The above prices, scope, and conditions are accepted. Four Corners Building Supply is authorized to proceed as specified.</t>
  </si>
  <si>
    <t xml:space="preserve">Signature:</t>
  </si>
  <si>
    <t xml:space="preserve">Printed Name:</t>
  </si>
  <si>
    <t xml:space="preserve">Title:</t>
  </si>
  <si>
    <t xml:space="preserve">Base bid only. This is a lump-sum bid, broken out for the GC's convenience.</t>
  </si>
  <si>
    <t xml:space="preserve">CSI SECTION</t>
  </si>
  <si>
    <t xml:space="preserve">Unassigned</t>
  </si>
  <si>
    <t xml:space="preserve">TOTAL</t>
  </si>
  <si>
    <t xml:space="preserve">TOTAL BY AREA</t>
  </si>
  <si>
    <t xml:space="preserve">AREA</t>
  </si>
  <si>
    <t xml:space="preserve">MATERIAL</t>
  </si>
  <si>
    <t xml:space="preserve">LABOR</t>
  </si>
  <si>
    <t xml:space="preserve">Unassigned / Misc.</t>
  </si>
  <si>
    <t xml:space="preserve">JOB TOTALS (before bond)</t>
  </si>
  <si>
    <t xml:space="preserve">No.</t>
  </si>
  <si>
    <t xml:space="preserve">Group</t>
  </si>
  <si>
    <t xml:space="preserve">Mark</t>
  </si>
  <si>
    <t xml:space="preserve">Description</t>
  </si>
  <si>
    <t xml:space="preserve">Unit Price</t>
  </si>
  <si>
    <t xml:space="preserve">Total Price</t>
  </si>
  <si>
    <t xml:space="preserve">Notes</t>
  </si>
  <si>
    <t xml:space="preserve">BID COMPARISON - VE / REVISION DELTAS</t>
  </si>
  <si>
    <t xml:space="preserve">Paste the prior bid's section totals into the yellow columns (or a competitor's number) to show the GC the deltas, like Carter's Pepper Hall VE sheet.</t>
  </si>
  <si>
    <t xml:space="preserve">Prior bid label:</t>
  </si>
  <si>
    <t xml:space="preserve">Rev 0 - [date]</t>
  </si>
  <si>
    <t xml:space="preserve">CURRENT MAT</t>
  </si>
  <si>
    <t xml:space="preserve">CURRENT LABOR</t>
  </si>
  <si>
    <t xml:space="preserve">CURRENT TOTAL</t>
  </si>
  <si>
    <t xml:space="preserve">PRIOR MAT</t>
  </si>
  <si>
    <t xml:space="preserve">PRIOR LABOR</t>
  </si>
  <si>
    <t xml:space="preserve">PRIOR TOTAL</t>
  </si>
  <si>
    <t xml:space="preserve">DELTA MAT</t>
  </si>
  <si>
    <t xml:space="preserve">DELTA LABOR</t>
  </si>
  <si>
    <t xml:space="preserve">DELTA TOTAL</t>
  </si>
  <si>
    <t xml:space="preserve">% CHANGE</t>
  </si>
  <si>
    <t xml:space="preserve">Bond</t>
  </si>
  <si>
    <t xml:space="preserve">TOTALS</t>
  </si>
  <si>
    <t xml:space="preserve">Base $</t>
  </si>
  <si>
    <t xml:space="preserve">Yes/No</t>
  </si>
  <si>
    <t xml:space="preserve">Areas</t>
  </si>
  <si>
    <t xml:space="preserve">Proposal calcs</t>
  </si>
  <si>
    <t xml:space="preserve">01 52 00 Temporary Storage</t>
  </si>
  <si>
    <t xml:space="preserve"># sections w/ $</t>
  </si>
  <si>
    <t xml:space="preserve">01 54 16 Temporary Hoisting</t>
  </si>
  <si>
    <t xml:space="preserve">Senior Living</t>
  </si>
  <si>
    <t xml:space="preserve">Subtotal</t>
  </si>
  <si>
    <t xml:space="preserve">06 10 00 Rough Carpentry</t>
  </si>
  <si>
    <t xml:space="preserve">SF</t>
  </si>
  <si>
    <t xml:space="preserve">Hospitality</t>
  </si>
  <si>
    <t xml:space="preserve">Healthcare</t>
  </si>
  <si>
    <t xml:space="preserve">Base bid total</t>
  </si>
  <si>
    <t xml:space="preserve">06 40 00 Architectural Woodwork</t>
  </si>
  <si>
    <t xml:space="preserve">PR</t>
  </si>
  <si>
    <t xml:space="preserve">Education</t>
  </si>
  <si>
    <t xml:space="preserve">Bond label</t>
  </si>
  <si>
    <t xml:space="preserve">08 11 00 Hollow Metal Frames &amp; Doors</t>
  </si>
  <si>
    <t xml:space="preserve">LS</t>
  </si>
  <si>
    <t xml:space="preserve">Office / Retail</t>
  </si>
  <si>
    <t xml:space="preserve">08 14 00 Wood Doors</t>
  </si>
  <si>
    <t xml:space="preserve">DAY</t>
  </si>
  <si>
    <t xml:space="preserve">Other</t>
  </si>
  <si>
    <t xml:space="preserve">Excluded</t>
  </si>
  <si>
    <t xml:space="preserve">08 17 13 Exterior Pre-Hung Doors</t>
  </si>
  <si>
    <t xml:space="preserve">MO</t>
  </si>
  <si>
    <t xml:space="preserve">BOX</t>
  </si>
  <si>
    <t xml:space="preserve">08 50 00 Windows</t>
  </si>
  <si>
    <t xml:space="preserve">HR</t>
  </si>
  <si>
    <t xml:space="preserve">SHT</t>
  </si>
  <si>
    <t xml:space="preserve">08 83 00 Mirrors</t>
  </si>
  <si>
    <t xml:space="preserve">10 21 13 Toilet Compartments</t>
  </si>
  <si>
    <t xml:space="preserve">10 28 00 Bath Accessories</t>
  </si>
  <si>
    <t xml:space="preserve">10 44 00 Fire Specialties</t>
  </si>
  <si>
    <t xml:space="preserve">10 55 00 Postal Specialties</t>
  </si>
  <si>
    <t xml:space="preserve">10 56 23 Wire Shelving</t>
  </si>
  <si>
    <t xml:space="preserve">12 21 00 Window Blinds</t>
  </si>
  <si>
    <t xml:space="preserve">Blank yellow rows above = add custom CSI sections. Keep the 'NN NN NN Name' format.</t>
  </si>
</sst>
</file>

<file path=xl/styles.xml><?xml version="1.0" encoding="utf-8"?>
<styleSheet xmlns="http://schemas.openxmlformats.org/spreadsheetml/2006/main">
  <numFmts count="12">
    <numFmt numFmtId="164" formatCode="General"/>
    <numFmt numFmtId="165" formatCode="mm/dd/yyyy"/>
    <numFmt numFmtId="166" formatCode="0.00%"/>
    <numFmt numFmtId="167" formatCode="0.0%"/>
    <numFmt numFmtId="168" formatCode="0"/>
    <numFmt numFmtId="169" formatCode="\$#,##0;&quot;($&quot;#,##0\);\-"/>
    <numFmt numFmtId="170" formatCode="0.0%;\(0.0%\);\-"/>
    <numFmt numFmtId="171" formatCode="#,##0.00;\(#,##0.00\);\-"/>
    <numFmt numFmtId="172" formatCode="\$#,##0.00;&quot;($&quot;#,##0.00\);\-"/>
    <numFmt numFmtId="173" formatCode="mmmm\ d&quot;, &quot;yyyy"/>
    <numFmt numFmtId="174" formatCode="#,##0.00"/>
    <numFmt numFmtId="175" formatCode="General"/>
  </numFmts>
  <fonts count="21">
    <font>
      <sz val="11"/>
      <color theme="1"/>
      <name val="Calibri"/>
      <family val="2"/>
      <charset val="1"/>
    </font>
    <font>
      <sz val="10"/>
      <name val="Arial"/>
      <family val="0"/>
    </font>
    <font>
      <sz val="10"/>
      <name val="Arial"/>
      <family val="0"/>
    </font>
    <font>
      <sz val="10"/>
      <name val="Arial"/>
      <family val="0"/>
    </font>
    <font>
      <sz val="11"/>
      <color theme="1"/>
      <name val="Arial"/>
      <family val="0"/>
      <charset val="1"/>
    </font>
    <font>
      <b val="true"/>
      <sz val="16"/>
      <color rgb="FF1F3864"/>
      <name val="Arial"/>
      <family val="0"/>
      <charset val="1"/>
    </font>
    <font>
      <i val="true"/>
      <sz val="10"/>
      <name val="Arial"/>
      <family val="0"/>
      <charset val="1"/>
    </font>
    <font>
      <b val="true"/>
      <sz val="11"/>
      <color rgb="FF1F3864"/>
      <name val="Arial"/>
      <family val="0"/>
      <charset val="1"/>
    </font>
    <font>
      <b val="true"/>
      <sz val="10"/>
      <name val="Arial"/>
      <family val="0"/>
      <charset val="1"/>
    </font>
    <font>
      <sz val="10"/>
      <name val="Arial"/>
      <family val="0"/>
      <charset val="1"/>
    </font>
    <font>
      <sz val="10"/>
      <color rgb="FF0000FF"/>
      <name val="Arial"/>
      <family val="0"/>
      <charset val="1"/>
    </font>
    <font>
      <sz val="10"/>
      <color rgb="FF008000"/>
      <name val="Arial"/>
      <family val="0"/>
      <charset val="1"/>
    </font>
    <font>
      <i val="true"/>
      <sz val="10"/>
      <color rgb="FF0000FF"/>
      <name val="Arial"/>
      <family val="0"/>
      <charset val="1"/>
    </font>
    <font>
      <i val="true"/>
      <sz val="9"/>
      <name val="Arial"/>
      <family val="0"/>
      <charset val="1"/>
    </font>
    <font>
      <i val="true"/>
      <sz val="9"/>
      <color rgb="FF595959"/>
      <name val="Arial"/>
      <family val="0"/>
      <charset val="1"/>
    </font>
    <font>
      <i val="true"/>
      <sz val="9"/>
      <color rgb="FFC00000"/>
      <name val="Arial"/>
      <family val="0"/>
      <charset val="1"/>
    </font>
    <font>
      <b val="true"/>
      <sz val="10"/>
      <color rgb="FFFFFFFF"/>
      <name val="Arial"/>
      <family val="0"/>
      <charset val="1"/>
    </font>
    <font>
      <i val="true"/>
      <sz val="9"/>
      <color rgb="FF008000"/>
      <name val="Arial"/>
      <family val="0"/>
      <charset val="1"/>
    </font>
    <font>
      <b val="true"/>
      <sz val="18"/>
      <color rgb="FF1F3864"/>
      <name val="Arial"/>
      <family val="0"/>
      <charset val="1"/>
    </font>
    <font>
      <sz val="9"/>
      <color rgb="FF595959"/>
      <name val="Arial"/>
      <family val="0"/>
      <charset val="1"/>
    </font>
    <font>
      <sz val="8"/>
      <color rgb="FF808080"/>
      <name val="Arial"/>
      <family val="0"/>
      <charset val="1"/>
    </font>
  </fonts>
  <fills count="6">
    <fill>
      <patternFill patternType="none"/>
    </fill>
    <fill>
      <patternFill patternType="gray125"/>
    </fill>
    <fill>
      <patternFill patternType="solid">
        <fgColor rgb="FFFFF9C4"/>
        <bgColor rgb="FFFFFF99"/>
      </patternFill>
    </fill>
    <fill>
      <patternFill patternType="solid">
        <fgColor rgb="FFDCE3EF"/>
        <bgColor rgb="FFE7E6E6"/>
      </patternFill>
    </fill>
    <fill>
      <patternFill patternType="solid">
        <fgColor rgb="FF1F3864"/>
        <bgColor rgb="FF333333"/>
      </patternFill>
    </fill>
    <fill>
      <patternFill patternType="solid">
        <fgColor rgb="FFE7E6E6"/>
        <bgColor rgb="FFDCE3EF"/>
      </patternFill>
    </fill>
  </fills>
  <borders count="6">
    <border diagonalUp="false" diagonalDown="false">
      <left/>
      <right/>
      <top/>
      <bottom/>
      <diagonal/>
    </border>
    <border diagonalUp="false" diagonalDown="false">
      <left/>
      <right/>
      <top/>
      <bottom style="medium">
        <color rgb="FF1F3864"/>
      </bottom>
      <diagonal/>
    </border>
    <border diagonalUp="false" diagonalDown="false">
      <left style="thin">
        <color rgb="FFA6A6A6"/>
      </left>
      <right style="thin">
        <color rgb="FFA6A6A6"/>
      </right>
      <top style="thin">
        <color rgb="FFA6A6A6"/>
      </top>
      <bottom style="thin">
        <color rgb="FFA6A6A6"/>
      </bottom>
      <diagonal/>
    </border>
    <border diagonalUp="false" diagonalDown="false">
      <left/>
      <right/>
      <top/>
      <bottom style="thick">
        <color rgb="FF1F3864"/>
      </bottom>
      <diagonal/>
    </border>
    <border diagonalUp="false" diagonalDown="false">
      <left/>
      <right/>
      <top/>
      <bottom style="thin">
        <color rgb="FFA6A6A6"/>
      </bottom>
      <diagonal/>
    </border>
    <border diagonalUp="false" diagonalDown="false">
      <left/>
      <right/>
      <top style="thin">
        <color rgb="FFA6A6A6"/>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2"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2" borderId="2" xfId="0" applyFont="true" applyBorder="true" applyAlignment="false" applyProtection="false">
      <alignment horizontal="general" vertical="bottom" textRotation="0" wrapText="false" indent="0" shrinkToFit="false"/>
      <protection locked="true" hidden="false"/>
    </xf>
    <xf numFmtId="165" fontId="10" fillId="2" borderId="2"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6" fontId="10" fillId="2" borderId="2" xfId="0" applyFont="true" applyBorder="true" applyAlignment="false" applyProtection="false">
      <alignment horizontal="general" vertical="bottom" textRotation="0" wrapText="false" indent="0" shrinkToFit="false"/>
      <protection locked="true" hidden="false"/>
    </xf>
    <xf numFmtId="167" fontId="10" fillId="2" borderId="2" xfId="0" applyFont="true" applyBorder="true" applyAlignment="false" applyProtection="false">
      <alignment horizontal="general" vertical="bottom" textRotation="0" wrapText="false" indent="0" shrinkToFit="false"/>
      <protection locked="true" hidden="false"/>
    </xf>
    <xf numFmtId="168" fontId="10" fillId="2" borderId="2" xfId="0" applyFont="true" applyBorder="true" applyAlignment="false" applyProtection="false">
      <alignment horizontal="general" vertical="bottom" textRotation="0" wrapText="false" indent="0" shrinkToFit="false"/>
      <protection locked="true" hidden="false"/>
    </xf>
    <xf numFmtId="169" fontId="10" fillId="2" borderId="2" xfId="0" applyFont="true" applyBorder="true" applyAlignment="false" applyProtection="false">
      <alignment horizontal="general" vertical="bottom" textRotation="0" wrapText="false" indent="0" shrinkToFit="false"/>
      <protection locked="true" hidden="false"/>
    </xf>
    <xf numFmtId="169" fontId="11" fillId="0" borderId="2" xfId="0" applyFont="true" applyBorder="true" applyAlignment="false" applyProtection="false">
      <alignment horizontal="general" vertical="bottom" textRotation="0" wrapText="false" indent="0" shrinkToFit="false"/>
      <protection locked="true" hidden="false"/>
    </xf>
    <xf numFmtId="169" fontId="8" fillId="0" borderId="2" xfId="0" applyFont="true" applyBorder="true" applyAlignment="false" applyProtection="false">
      <alignment horizontal="general" vertical="bottom" textRotation="0" wrapText="false" indent="0" shrinkToFit="false"/>
      <protection locked="true" hidden="false"/>
    </xf>
    <xf numFmtId="170" fontId="8" fillId="0" borderId="2" xfId="0" applyFont="true" applyBorder="true" applyAlignment="false" applyProtection="false">
      <alignment horizontal="general" vertical="bottom" textRotation="0" wrapText="false" indent="0" shrinkToFit="false"/>
      <protection locked="true" hidden="false"/>
    </xf>
    <xf numFmtId="170" fontId="11" fillId="0" borderId="2"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8" fontId="11" fillId="0" borderId="2" xfId="0" applyFont="true" applyBorder="true" applyAlignment="false" applyProtection="false">
      <alignment horizontal="general" vertical="bottom" textRotation="0" wrapText="false" indent="0" shrinkToFit="false"/>
      <protection locked="true" hidden="false"/>
    </xf>
    <xf numFmtId="164" fontId="8" fillId="3" borderId="0" xfId="0" applyFont="true" applyBorder="true" applyAlignment="true" applyProtection="false">
      <alignment horizontal="center" vertical="center" textRotation="0" wrapText="true" indent="0" shrinkToFit="false"/>
      <protection locked="true" hidden="false"/>
    </xf>
    <xf numFmtId="164" fontId="16" fillId="4" borderId="2" xfId="0" applyFont="true" applyBorder="true" applyAlignment="true" applyProtection="false">
      <alignment horizontal="center" vertical="center" textRotation="0" wrapText="true" indent="0" shrinkToFit="false"/>
      <protection locked="true" hidden="false"/>
    </xf>
    <xf numFmtId="164" fontId="12" fillId="2" borderId="2" xfId="0" applyFont="true" applyBorder="true" applyAlignment="false" applyProtection="false">
      <alignment horizontal="general" vertical="bottom" textRotation="0" wrapText="false" indent="0" shrinkToFit="false"/>
      <protection locked="true" hidden="false"/>
    </xf>
    <xf numFmtId="164" fontId="12" fillId="2" borderId="2" xfId="0" applyFont="true" applyBorder="true" applyAlignment="true" applyProtection="false">
      <alignment horizontal="general" vertical="top" textRotation="0" wrapText="true" indent="0" shrinkToFit="false"/>
      <protection locked="true" hidden="false"/>
    </xf>
    <xf numFmtId="171" fontId="12" fillId="2" borderId="2" xfId="0" applyFont="true" applyBorder="true" applyAlignment="false" applyProtection="false">
      <alignment horizontal="general" vertical="bottom" textRotation="0" wrapText="false" indent="0" shrinkToFit="false"/>
      <protection locked="true" hidden="false"/>
    </xf>
    <xf numFmtId="172" fontId="12" fillId="2" borderId="2" xfId="0" applyFont="true" applyBorder="true" applyAlignment="false" applyProtection="false">
      <alignment horizontal="general" vertical="bottom" textRotation="0" wrapText="false" indent="0" shrinkToFit="false"/>
      <protection locked="true" hidden="false"/>
    </xf>
    <xf numFmtId="170" fontId="10" fillId="2" borderId="2" xfId="0" applyFont="true" applyBorder="true" applyAlignment="false" applyProtection="false">
      <alignment horizontal="general" vertical="bottom" textRotation="0" wrapText="false" indent="0" shrinkToFit="false"/>
      <protection locked="true" hidden="false"/>
    </xf>
    <xf numFmtId="172" fontId="9" fillId="0" borderId="0" xfId="0" applyFont="true" applyBorder="false" applyAlignment="false" applyProtection="false">
      <alignment horizontal="general" vertical="bottom" textRotation="0" wrapText="false" indent="0" shrinkToFit="false"/>
      <protection locked="true" hidden="false"/>
    </xf>
    <xf numFmtId="172" fontId="8" fillId="0" borderId="0" xfId="0" applyFont="true" applyBorder="false" applyAlignment="false" applyProtection="false">
      <alignment horizontal="general" vertical="bottom" textRotation="0" wrapText="false" indent="0" shrinkToFit="false"/>
      <protection locked="true" hidden="false"/>
    </xf>
    <xf numFmtId="164" fontId="10" fillId="2" borderId="2" xfId="0" applyFont="true" applyBorder="true" applyAlignment="true" applyProtection="false">
      <alignment horizontal="general" vertical="top" textRotation="0" wrapText="true" indent="0" shrinkToFit="false"/>
      <protection locked="true" hidden="false"/>
    </xf>
    <xf numFmtId="171" fontId="10" fillId="2" borderId="2" xfId="0" applyFont="true" applyBorder="true" applyAlignment="false" applyProtection="false">
      <alignment horizontal="general" vertical="bottom" textRotation="0" wrapText="false" indent="0" shrinkToFit="false"/>
      <protection locked="true" hidden="false"/>
    </xf>
    <xf numFmtId="172" fontId="10" fillId="2" borderId="2" xfId="0" applyFont="true" applyBorder="true" applyAlignment="false" applyProtection="false">
      <alignment horizontal="general" vertical="bottom" textRotation="0" wrapText="false" indent="0" shrinkToFit="false"/>
      <protection locked="true" hidden="false"/>
    </xf>
    <xf numFmtId="169" fontId="8" fillId="5" borderId="2" xfId="0" applyFont="true" applyBorder="tru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1" fillId="0" borderId="2" xfId="0" applyFont="true" applyBorder="true" applyAlignment="true" applyProtection="false">
      <alignment horizontal="general" vertical="top" textRotation="0" wrapText="true" indent="0" shrinkToFit="false"/>
      <protection locked="true" hidden="false"/>
    </xf>
    <xf numFmtId="164" fontId="18" fillId="0" borderId="0" xfId="0" applyFont="true" applyBorder="true" applyAlignment="true" applyProtection="false">
      <alignment horizontal="left" vertical="bottom" textRotation="0" wrapText="fals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64" fontId="4" fillId="0" borderId="3"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left"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73" fontId="9" fillId="0" borderId="0" xfId="0" applyFont="true" applyBorder="true" applyAlignment="true" applyProtection="false">
      <alignment horizontal="left" vertical="bottom" textRotation="0" wrapText="false" indent="0" shrinkToFit="false"/>
      <protection locked="true" hidden="false"/>
    </xf>
    <xf numFmtId="164" fontId="9" fillId="0" borderId="0" xfId="0" applyFont="true" applyBorder="true" applyAlignment="true" applyProtection="false">
      <alignment horizontal="left" vertical="bottom" textRotation="0" wrapText="false" indent="0" shrinkToFit="false"/>
      <protection locked="true" hidden="false"/>
    </xf>
    <xf numFmtId="164" fontId="8" fillId="0" borderId="0"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false" applyAlignment="true" applyProtection="false">
      <alignment horizontal="center" vertical="center" textRotation="0" wrapText="true" indent="0" shrinkToFit="false"/>
      <protection locked="true" hidden="false"/>
    </xf>
    <xf numFmtId="164" fontId="9" fillId="0" borderId="0"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72" fontId="4" fillId="0" borderId="0" xfId="0" applyFont="true" applyBorder="false" applyAlignment="false" applyProtection="false">
      <alignment horizontal="general" vertical="bottom" textRotation="0" wrapText="false" indent="0" shrinkToFit="false"/>
      <protection locked="true" hidden="false"/>
    </xf>
    <xf numFmtId="164" fontId="16" fillId="4" borderId="2" xfId="0" applyFont="true" applyBorder="true" applyAlignment="true" applyProtection="false">
      <alignment horizontal="left" vertical="center" textRotation="0" wrapText="false" indent="0" shrinkToFit="false"/>
      <protection locked="true" hidden="false"/>
    </xf>
    <xf numFmtId="164" fontId="4" fillId="0" borderId="0" xfId="0" applyFont="true" applyBorder="false" applyAlignment="true" applyProtection="false">
      <alignment horizontal="right" vertical="top"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4" fillId="0" borderId="4" xfId="0" applyFont="true" applyBorder="true" applyAlignment="false" applyProtection="false">
      <alignment horizontal="general" vertical="bottom" textRotation="0" wrapText="false" indent="0" shrinkToFit="false"/>
      <protection locked="true" hidden="false"/>
    </xf>
    <xf numFmtId="169" fontId="4"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69" fontId="8" fillId="5" borderId="5" xfId="0" applyFont="true" applyBorder="true" applyAlignment="false" applyProtection="false">
      <alignment horizontal="general" vertical="bottom" textRotation="0" wrapText="false" indent="0" shrinkToFit="false"/>
      <protection locked="true" hidden="false"/>
    </xf>
    <xf numFmtId="174" fontId="9" fillId="0" borderId="0" xfId="0" applyFont="true" applyBorder="false" applyAlignment="false" applyProtection="false">
      <alignment horizontal="general" vertical="bottom" textRotation="0" wrapText="false" indent="0" shrinkToFit="false"/>
      <protection locked="true" hidden="false"/>
    </xf>
    <xf numFmtId="175" fontId="20" fillId="0" borderId="0" xfId="0" applyFont="true" applyBorder="false" applyAlignment="false" applyProtection="false">
      <alignment horizontal="general" vertical="bottom" textRotation="0" wrapText="false" indent="0" shrinkToFit="false"/>
      <protection locked="true" hidden="false"/>
    </xf>
    <xf numFmtId="170" fontId="4" fillId="0" borderId="0" xfId="0" applyFont="true" applyBorder="false" applyAlignment="false" applyProtection="false">
      <alignment horizontal="general" vertical="bottom" textRotation="0" wrapText="false" indent="0" shrinkToFit="false"/>
      <protection locked="true" hidden="false"/>
    </xf>
    <xf numFmtId="170" fontId="8" fillId="5"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9C4"/>
          <bgColor rgb="FF000000"/>
        </patternFill>
      </fill>
    </dxf>
    <dxf>
      <fill>
        <patternFill patternType="solid">
          <fgColor rgb="FF0000FF"/>
          <bgColor rgb="FF000000"/>
        </patternFill>
      </fill>
    </dxf>
    <dxf>
      <fill>
        <patternFill>
          <bgColor rgb="FFF8CBAD"/>
        </patternFill>
      </fill>
    </dxf>
    <dxf>
      <font>
        <name val="Arial"/>
        <charset val="1"/>
        <family val="0"/>
        <b val="1"/>
        <color rgb="FFFFFFFF"/>
      </font>
      <fill>
        <patternFill>
          <bgColor rgb="FF1F3864"/>
        </patternFill>
      </fill>
    </dxf>
    <dxf>
      <font>
        <name val="Arial"/>
        <charset val="1"/>
        <family val="0"/>
        <b val="1"/>
      </font>
      <border diagonalUp="false" diagonalDown="false">
        <left/>
        <right/>
        <top style="thin">
          <color rgb="FFA6A6A6"/>
        </top>
        <bottom/>
        <diagonal/>
      </border>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9C4"/>
      <rgbColor rgb="FFE7E6E6"/>
      <rgbColor rgb="FF660066"/>
      <rgbColor rgb="FFFF8080"/>
      <rgbColor rgb="FF0066CC"/>
      <rgbColor rgb="FFDCE3E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8CBAD"/>
      <rgbColor rgb="FF2E75B6"/>
      <rgbColor rgb="FF33CCCC"/>
      <rgbColor rgb="FF99CC00"/>
      <rgbColor rgb="FFFFCC00"/>
      <rgbColor rgb="FFBF9000"/>
      <rgbColor rgb="FFFF6600"/>
      <rgbColor rgb="FF595959"/>
      <rgbColor rgb="FFA6A6A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26"/>
    <col collapsed="false" customWidth="true" hidden="false" outlineLevel="0" max="3" min="3" style="0" width="100"/>
  </cols>
  <sheetData>
    <row r="1" customFormat="false" ht="19.7" hidden="false" customHeight="false" outlineLevel="0" collapsed="false">
      <c r="A1" s="1"/>
      <c r="B1" s="2" t="s">
        <v>0</v>
      </c>
      <c r="C1" s="1"/>
    </row>
    <row r="2" customFormat="false" ht="15" hidden="false" customHeight="false" outlineLevel="0" collapsed="false">
      <c r="A2" s="1"/>
      <c r="B2" s="3" t="s">
        <v>1</v>
      </c>
      <c r="C2" s="1"/>
    </row>
    <row r="3" customFormat="false" ht="15" hidden="false" customHeight="false" outlineLevel="0" collapsed="false">
      <c r="A3" s="1"/>
      <c r="B3" s="1"/>
      <c r="C3" s="1"/>
    </row>
    <row r="4" customFormat="false" ht="15" hidden="false" customHeight="false" outlineLevel="0" collapsed="false">
      <c r="A4" s="1"/>
      <c r="B4" s="4" t="s">
        <v>2</v>
      </c>
      <c r="C4" s="1"/>
    </row>
    <row r="5" customFormat="false" ht="15" hidden="false" customHeight="false" outlineLevel="0" collapsed="false">
      <c r="A5" s="1"/>
      <c r="B5" s="5" t="s">
        <v>3</v>
      </c>
      <c r="C5" s="6" t="s">
        <v>4</v>
      </c>
    </row>
    <row r="6" customFormat="false" ht="27.75" hidden="false" customHeight="true" outlineLevel="0" collapsed="false">
      <c r="A6" s="1"/>
      <c r="B6" s="5" t="s">
        <v>5</v>
      </c>
      <c r="C6" s="6" t="s">
        <v>6</v>
      </c>
    </row>
    <row r="7" customFormat="false" ht="27.75" hidden="false" customHeight="true" outlineLevel="0" collapsed="false">
      <c r="A7" s="1"/>
      <c r="B7" s="5" t="s">
        <v>7</v>
      </c>
      <c r="C7" s="6" t="s">
        <v>8</v>
      </c>
    </row>
    <row r="8" customFormat="false" ht="27.75" hidden="false" customHeight="true" outlineLevel="0" collapsed="false">
      <c r="A8" s="1"/>
      <c r="B8" s="5"/>
      <c r="C8" s="6" t="s">
        <v>9</v>
      </c>
    </row>
    <row r="9" customFormat="false" ht="27.75" hidden="false" customHeight="true" outlineLevel="0" collapsed="false">
      <c r="A9" s="1"/>
      <c r="B9" s="5" t="s">
        <v>10</v>
      </c>
      <c r="C9" s="6" t="s">
        <v>11</v>
      </c>
    </row>
    <row r="10" customFormat="false" ht="27.75" hidden="false" customHeight="true" outlineLevel="0" collapsed="false">
      <c r="A10" s="1"/>
      <c r="B10" s="5" t="s">
        <v>12</v>
      </c>
      <c r="C10" s="6" t="s">
        <v>13</v>
      </c>
    </row>
    <row r="11" customFormat="false" ht="27.75" hidden="false" customHeight="true" outlineLevel="0" collapsed="false">
      <c r="A11" s="1"/>
      <c r="B11" s="5" t="s">
        <v>14</v>
      </c>
      <c r="C11" s="6" t="s">
        <v>15</v>
      </c>
    </row>
    <row r="12" customFormat="false" ht="27.75" hidden="false" customHeight="true" outlineLevel="0" collapsed="false">
      <c r="A12" s="1"/>
      <c r="B12" s="5" t="s">
        <v>16</v>
      </c>
      <c r="C12" s="6" t="s">
        <v>17</v>
      </c>
    </row>
    <row r="13" customFormat="false" ht="27.75" hidden="false" customHeight="true" outlineLevel="0" collapsed="false">
      <c r="A13" s="1"/>
      <c r="B13" s="5"/>
      <c r="C13" s="6" t="s">
        <v>18</v>
      </c>
    </row>
    <row r="14" customFormat="false" ht="27.75" hidden="false" customHeight="true" outlineLevel="0" collapsed="false">
      <c r="A14" s="1"/>
      <c r="B14" s="5" t="s">
        <v>19</v>
      </c>
      <c r="C14" s="6" t="s">
        <v>20</v>
      </c>
    </row>
    <row r="15" customFormat="false" ht="15" hidden="false" customHeight="false" outlineLevel="0" collapsed="false">
      <c r="A15" s="1"/>
      <c r="B15" s="5"/>
      <c r="C15" s="6"/>
    </row>
    <row r="16" customFormat="false" ht="15" hidden="false" customHeight="false" outlineLevel="0" collapsed="false">
      <c r="A16" s="1"/>
      <c r="B16" s="4" t="s">
        <v>21</v>
      </c>
      <c r="C16" s="1"/>
    </row>
    <row r="17" customFormat="false" ht="15" hidden="false" customHeight="false" outlineLevel="0" collapsed="false">
      <c r="A17" s="1"/>
      <c r="B17" s="7" t="s">
        <v>22</v>
      </c>
      <c r="C17" s="6" t="s">
        <v>23</v>
      </c>
    </row>
    <row r="18" customFormat="false" ht="15" hidden="false" customHeight="false" outlineLevel="0" collapsed="false">
      <c r="A18" s="1"/>
      <c r="B18" s="8" t="s">
        <v>24</v>
      </c>
      <c r="C18" s="6" t="s">
        <v>25</v>
      </c>
    </row>
    <row r="19" customFormat="false" ht="15" hidden="false" customHeight="false" outlineLevel="0" collapsed="false">
      <c r="A19" s="1"/>
      <c r="B19" s="5" t="s">
        <v>26</v>
      </c>
      <c r="C19" s="6" t="s">
        <v>27</v>
      </c>
    </row>
    <row r="20" customFormat="false" ht="15" hidden="false" customHeight="false" outlineLevel="0" collapsed="false">
      <c r="A20" s="1"/>
      <c r="B20" s="9" t="s">
        <v>28</v>
      </c>
      <c r="C20" s="6" t="s">
        <v>29</v>
      </c>
    </row>
    <row r="21" customFormat="false" ht="15" hidden="false" customHeight="false" outlineLevel="0" collapsed="false">
      <c r="A21" s="1"/>
      <c r="B21" s="5"/>
      <c r="C21" s="6"/>
    </row>
    <row r="22" customFormat="false" ht="15" hidden="false" customHeight="false" outlineLevel="0" collapsed="false">
      <c r="A22" s="1"/>
      <c r="B22" s="4" t="s">
        <v>30</v>
      </c>
      <c r="C22" s="1"/>
    </row>
    <row r="23" customFormat="false" ht="27.75" hidden="false" customHeight="true" outlineLevel="0" collapsed="false">
      <c r="A23" s="1"/>
      <c r="B23" s="5" t="s">
        <v>31</v>
      </c>
      <c r="C23" s="6" t="s">
        <v>32</v>
      </c>
    </row>
    <row r="24" customFormat="false" ht="27.75" hidden="false" customHeight="true" outlineLevel="0" collapsed="false">
      <c r="A24" s="1"/>
      <c r="B24" s="5" t="s">
        <v>33</v>
      </c>
      <c r="C24" s="6" t="s">
        <v>34</v>
      </c>
    </row>
    <row r="25" customFormat="false" ht="27.75" hidden="false" customHeight="true" outlineLevel="0" collapsed="false">
      <c r="A25" s="1"/>
      <c r="B25" s="5" t="s">
        <v>35</v>
      </c>
      <c r="C25" s="6" t="s">
        <v>36</v>
      </c>
    </row>
    <row r="26" customFormat="false" ht="15" hidden="false" customHeight="false" outlineLevel="0" collapsed="false">
      <c r="A26" s="1"/>
      <c r="B26" s="5" t="s">
        <v>37</v>
      </c>
      <c r="C26" s="6" t="s">
        <v>38</v>
      </c>
    </row>
    <row r="27" customFormat="false" ht="15" hidden="false" customHeight="false" outlineLevel="0" collapsed="false">
      <c r="A27" s="1"/>
      <c r="B27" s="5" t="s">
        <v>39</v>
      </c>
      <c r="C27" s="6" t="s">
        <v>40</v>
      </c>
    </row>
    <row r="28" customFormat="false" ht="15" hidden="false" customHeight="false" outlineLevel="0" collapsed="false">
      <c r="A28" s="1"/>
      <c r="B28" s="5" t="s">
        <v>41</v>
      </c>
      <c r="C28" s="6" t="s">
        <v>42</v>
      </c>
    </row>
    <row r="29" customFormat="false" ht="15" hidden="false" customHeight="false" outlineLevel="0" collapsed="false">
      <c r="A29" s="1"/>
      <c r="B29" s="5" t="s">
        <v>43</v>
      </c>
      <c r="C29" s="6" t="s">
        <v>44</v>
      </c>
    </row>
    <row r="30" customFormat="false" ht="15" hidden="false" customHeight="false" outlineLevel="0" collapsed="false">
      <c r="A30" s="1"/>
      <c r="B30" s="5" t="s">
        <v>45</v>
      </c>
      <c r="C30" s="6" t="s">
        <v>46</v>
      </c>
    </row>
    <row r="31" customFormat="false" ht="15" hidden="false" customHeight="false" outlineLevel="0" collapsed="false">
      <c r="A31" s="1"/>
      <c r="B31" s="5"/>
      <c r="C31" s="6"/>
    </row>
    <row r="32" customFormat="false" ht="27.75" hidden="false" customHeight="true" outlineLevel="0" collapsed="false">
      <c r="A32" s="1"/>
      <c r="B32" s="5" t="s">
        <v>47</v>
      </c>
      <c r="C32" s="6" t="s">
        <v>48</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9000"/>
    <pageSetUpPr fitToPage="true"/>
  </sheetPr>
  <dimension ref="A1:C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8"/>
    <col collapsed="false" customWidth="true" hidden="false" outlineLevel="0" max="2" min="2" style="0" width="42"/>
    <col collapsed="false" customWidth="true" hidden="false" outlineLevel="0" max="3" min="3" style="0" width="60"/>
  </cols>
  <sheetData>
    <row r="1" customFormat="false" ht="19.7" hidden="false" customHeight="false" outlineLevel="0" collapsed="false">
      <c r="A1" s="2" t="s">
        <v>49</v>
      </c>
      <c r="B1" s="1"/>
      <c r="C1" s="1"/>
    </row>
    <row r="2" customFormat="false" ht="15" hidden="false" customHeight="false" outlineLevel="0" collapsed="false">
      <c r="A2" s="10" t="s">
        <v>50</v>
      </c>
      <c r="B2" s="1"/>
      <c r="C2" s="1"/>
    </row>
    <row r="3" customFormat="false" ht="15" hidden="false" customHeight="false" outlineLevel="0" collapsed="false">
      <c r="A3" s="1"/>
      <c r="B3" s="1"/>
      <c r="C3" s="1"/>
    </row>
    <row r="4" customFormat="false" ht="15" hidden="false" customHeight="false" outlineLevel="0" collapsed="false">
      <c r="A4" s="11" t="s">
        <v>51</v>
      </c>
      <c r="B4" s="12"/>
      <c r="C4" s="1"/>
    </row>
    <row r="5" customFormat="false" ht="15" hidden="false" customHeight="false" outlineLevel="0" collapsed="false">
      <c r="A5" s="13" t="s">
        <v>52</v>
      </c>
      <c r="B5" s="14" t="s">
        <v>53</v>
      </c>
      <c r="C5" s="1"/>
    </row>
    <row r="6" customFormat="false" ht="15" hidden="false" customHeight="false" outlineLevel="0" collapsed="false">
      <c r="A6" s="13" t="s">
        <v>54</v>
      </c>
      <c r="B6" s="14" t="s">
        <v>55</v>
      </c>
      <c r="C6" s="1"/>
    </row>
    <row r="7" customFormat="false" ht="15" hidden="false" customHeight="false" outlineLevel="0" collapsed="false">
      <c r="A7" s="13" t="s">
        <v>56</v>
      </c>
      <c r="B7" s="14" t="s">
        <v>57</v>
      </c>
      <c r="C7" s="1"/>
    </row>
    <row r="8" customFormat="false" ht="15" hidden="false" customHeight="false" outlineLevel="0" collapsed="false">
      <c r="A8" s="13" t="s">
        <v>58</v>
      </c>
      <c r="B8" s="14" t="s">
        <v>59</v>
      </c>
      <c r="C8" s="1"/>
    </row>
    <row r="9" customFormat="false" ht="15" hidden="false" customHeight="false" outlineLevel="0" collapsed="false">
      <c r="A9" s="13" t="s">
        <v>60</v>
      </c>
      <c r="B9" s="14" t="s">
        <v>61</v>
      </c>
      <c r="C9" s="1"/>
    </row>
    <row r="10" customFormat="false" ht="15" hidden="false" customHeight="false" outlineLevel="0" collapsed="false">
      <c r="A10" s="1"/>
      <c r="B10" s="1"/>
      <c r="C10" s="1"/>
    </row>
    <row r="11" customFormat="false" ht="15" hidden="false" customHeight="false" outlineLevel="0" collapsed="false">
      <c r="A11" s="11" t="s">
        <v>62</v>
      </c>
      <c r="B11" s="12"/>
      <c r="C11" s="1"/>
    </row>
    <row r="12" customFormat="false" ht="15" hidden="false" customHeight="false" outlineLevel="0" collapsed="false">
      <c r="A12" s="13" t="s">
        <v>63</v>
      </c>
      <c r="B12" s="14"/>
      <c r="C12" s="1"/>
    </row>
    <row r="13" customFormat="false" ht="15" hidden="false" customHeight="false" outlineLevel="0" collapsed="false">
      <c r="A13" s="13" t="s">
        <v>64</v>
      </c>
      <c r="B13" s="14"/>
      <c r="C13" s="1"/>
    </row>
    <row r="14" customFormat="false" ht="15" hidden="false" customHeight="false" outlineLevel="0" collapsed="false">
      <c r="A14" s="13" t="s">
        <v>54</v>
      </c>
      <c r="B14" s="14"/>
      <c r="C14" s="1"/>
    </row>
    <row r="15" customFormat="false" ht="15" hidden="false" customHeight="false" outlineLevel="0" collapsed="false">
      <c r="A15" s="13" t="s">
        <v>56</v>
      </c>
      <c r="B15" s="14"/>
      <c r="C15" s="1"/>
    </row>
    <row r="16" customFormat="false" ht="15" hidden="false" customHeight="false" outlineLevel="0" collapsed="false">
      <c r="A16" s="13" t="s">
        <v>65</v>
      </c>
      <c r="B16" s="14"/>
      <c r="C16" s="1"/>
    </row>
    <row r="17" customFormat="false" ht="15" hidden="false" customHeight="false" outlineLevel="0" collapsed="false">
      <c r="A17" s="13" t="s">
        <v>66</v>
      </c>
      <c r="B17" s="14"/>
      <c r="C17" s="1"/>
    </row>
    <row r="18" customFormat="false" ht="15" hidden="false" customHeight="false" outlineLevel="0" collapsed="false">
      <c r="A18" s="1"/>
      <c r="B18" s="1"/>
      <c r="C18" s="1"/>
    </row>
    <row r="19" customFormat="false" ht="15" hidden="false" customHeight="false" outlineLevel="0" collapsed="false">
      <c r="A19" s="11" t="s">
        <v>67</v>
      </c>
      <c r="B19" s="12"/>
      <c r="C19" s="1"/>
    </row>
    <row r="20" customFormat="false" ht="15" hidden="false" customHeight="false" outlineLevel="0" collapsed="false">
      <c r="A20" s="13" t="s">
        <v>68</v>
      </c>
      <c r="B20" s="14"/>
      <c r="C20" s="1"/>
    </row>
    <row r="21" customFormat="false" ht="15" hidden="false" customHeight="false" outlineLevel="0" collapsed="false">
      <c r="A21" s="13" t="s">
        <v>69</v>
      </c>
      <c r="B21" s="14"/>
      <c r="C21" s="1"/>
    </row>
    <row r="22" customFormat="false" ht="15" hidden="false" customHeight="false" outlineLevel="0" collapsed="false">
      <c r="A22" s="13" t="s">
        <v>70</v>
      </c>
      <c r="B22" s="14"/>
      <c r="C22" s="1"/>
    </row>
    <row r="23" customFormat="false" ht="15" hidden="false" customHeight="false" outlineLevel="0" collapsed="false">
      <c r="A23" s="13" t="s">
        <v>71</v>
      </c>
      <c r="B23" s="14"/>
      <c r="C23" s="1"/>
    </row>
    <row r="24" customFormat="false" ht="15" hidden="false" customHeight="false" outlineLevel="0" collapsed="false">
      <c r="A24" s="13" t="s">
        <v>72</v>
      </c>
      <c r="B24" s="14" t="s">
        <v>73</v>
      </c>
      <c r="C24" s="1"/>
    </row>
    <row r="25" customFormat="false" ht="15" hidden="false" customHeight="false" outlineLevel="0" collapsed="false">
      <c r="A25" s="13" t="s">
        <v>74</v>
      </c>
      <c r="B25" s="15"/>
      <c r="C25" s="16" t="s">
        <v>75</v>
      </c>
    </row>
    <row r="26" customFormat="false" ht="15" hidden="false" customHeight="false" outlineLevel="0" collapsed="false">
      <c r="A26" s="13" t="s">
        <v>76</v>
      </c>
      <c r="B26" s="14" t="s">
        <v>77</v>
      </c>
      <c r="C26" s="1"/>
    </row>
    <row r="27" customFormat="false" ht="15" hidden="false" customHeight="false" outlineLevel="0" collapsed="false">
      <c r="A27" s="13" t="s">
        <v>78</v>
      </c>
      <c r="B27" s="15"/>
      <c r="C27" s="1"/>
    </row>
    <row r="28" customFormat="false" ht="15" hidden="false" customHeight="false" outlineLevel="0" collapsed="false">
      <c r="A28" s="13" t="s">
        <v>79</v>
      </c>
      <c r="B28" s="14"/>
      <c r="C28" s="16" t="s">
        <v>80</v>
      </c>
    </row>
    <row r="29" customFormat="false" ht="15" hidden="false" customHeight="false" outlineLevel="0" collapsed="false">
      <c r="A29" s="13" t="s">
        <v>81</v>
      </c>
      <c r="B29" s="14" t="s">
        <v>82</v>
      </c>
      <c r="C29" s="1"/>
    </row>
    <row r="30" customFormat="false" ht="15" hidden="false" customHeight="false" outlineLevel="0" collapsed="false">
      <c r="A30" s="1"/>
      <c r="B30" s="1"/>
      <c r="C30" s="1"/>
    </row>
    <row r="31" customFormat="false" ht="15" hidden="false" customHeight="false" outlineLevel="0" collapsed="false">
      <c r="A31" s="11" t="s">
        <v>83</v>
      </c>
      <c r="B31" s="12"/>
      <c r="C31" s="1"/>
    </row>
    <row r="32" customFormat="false" ht="15" hidden="false" customHeight="false" outlineLevel="0" collapsed="false">
      <c r="A32" s="13" t="s">
        <v>84</v>
      </c>
      <c r="B32" s="14"/>
      <c r="C32" s="1"/>
    </row>
    <row r="33" customFormat="false" ht="15" hidden="false" customHeight="false" outlineLevel="0" collapsed="false">
      <c r="A33" s="13" t="s">
        <v>85</v>
      </c>
      <c r="B33" s="14"/>
      <c r="C33" s="1"/>
    </row>
    <row r="34" customFormat="false" ht="15" hidden="false" customHeight="false" outlineLevel="0" collapsed="false">
      <c r="A34" s="13" t="s">
        <v>86</v>
      </c>
      <c r="B34" s="14"/>
      <c r="C34" s="1"/>
    </row>
    <row r="35" customFormat="false" ht="15" hidden="false" customHeight="false" outlineLevel="0" collapsed="false">
      <c r="A35" s="1"/>
      <c r="B35" s="1"/>
      <c r="C35" s="1"/>
    </row>
    <row r="36" customFormat="false" ht="15" hidden="false" customHeight="false" outlineLevel="0" collapsed="false">
      <c r="A36" s="11" t="s">
        <v>87</v>
      </c>
      <c r="B36" s="12"/>
      <c r="C36" s="1"/>
    </row>
    <row r="37" customFormat="false" ht="15" hidden="false" customHeight="false" outlineLevel="0" collapsed="false">
      <c r="A37" s="13" t="s">
        <v>88</v>
      </c>
      <c r="B37" s="17" t="n">
        <v>0.09</v>
      </c>
      <c r="C37" s="16" t="s">
        <v>89</v>
      </c>
    </row>
    <row r="38" customFormat="false" ht="15" hidden="false" customHeight="false" outlineLevel="0" collapsed="false">
      <c r="A38" s="13" t="s">
        <v>90</v>
      </c>
      <c r="B38" s="14" t="s">
        <v>91</v>
      </c>
      <c r="C38" s="1"/>
    </row>
    <row r="39" customFormat="false" ht="15" hidden="false" customHeight="false" outlineLevel="0" collapsed="false">
      <c r="A39" s="13" t="s">
        <v>92</v>
      </c>
      <c r="B39" s="18" t="n">
        <v>0.2</v>
      </c>
      <c r="C39" s="16" t="s">
        <v>93</v>
      </c>
    </row>
    <row r="40" customFormat="false" ht="15" hidden="false" customHeight="false" outlineLevel="0" collapsed="false">
      <c r="A40" s="13" t="s">
        <v>94</v>
      </c>
      <c r="B40" s="18" t="n">
        <v>0.15</v>
      </c>
      <c r="C40" s="16" t="s">
        <v>95</v>
      </c>
    </row>
    <row r="41" customFormat="false" ht="15" hidden="false" customHeight="false" outlineLevel="0" collapsed="false">
      <c r="A41" s="13" t="s">
        <v>96</v>
      </c>
      <c r="B41" s="14" t="s">
        <v>97</v>
      </c>
      <c r="C41" s="1"/>
    </row>
    <row r="42" customFormat="false" ht="15" hidden="false" customHeight="false" outlineLevel="0" collapsed="false">
      <c r="A42" s="13" t="s">
        <v>98</v>
      </c>
      <c r="B42" s="17" t="n">
        <v>0.015</v>
      </c>
      <c r="C42" s="16" t="s">
        <v>99</v>
      </c>
    </row>
    <row r="43" customFormat="false" ht="15" hidden="false" customHeight="false" outlineLevel="0" collapsed="false">
      <c r="A43" s="13" t="s">
        <v>100</v>
      </c>
      <c r="B43" s="19" t="n">
        <v>30</v>
      </c>
      <c r="C43" s="16" t="s">
        <v>101</v>
      </c>
    </row>
    <row r="44" customFormat="false" ht="15" hidden="false" customHeight="false" outlineLevel="0" collapsed="false">
      <c r="A44" s="13" t="s">
        <v>102</v>
      </c>
      <c r="B44" s="18" t="n">
        <v>0.03</v>
      </c>
      <c r="C44" s="16" t="s">
        <v>103</v>
      </c>
    </row>
    <row r="45" customFormat="false" ht="15" hidden="false" customHeight="false" outlineLevel="0" collapsed="false">
      <c r="A45" s="13" t="s">
        <v>104</v>
      </c>
      <c r="B45" s="15"/>
      <c r="C45" s="1"/>
    </row>
    <row r="46" customFormat="false" ht="15" hidden="false" customHeight="false" outlineLevel="0" collapsed="false">
      <c r="A46" s="13" t="s">
        <v>105</v>
      </c>
      <c r="B46" s="15"/>
      <c r="C46" s="1"/>
    </row>
    <row r="47" customFormat="false" ht="15" hidden="false" customHeight="false" outlineLevel="0" collapsed="false">
      <c r="A47" s="13" t="s">
        <v>106</v>
      </c>
      <c r="B47" s="14" t="s">
        <v>107</v>
      </c>
      <c r="C47" s="1"/>
    </row>
    <row r="48" customFormat="false" ht="15" hidden="false" customHeight="false" outlineLevel="0" collapsed="false">
      <c r="A48" s="13" t="s">
        <v>108</v>
      </c>
      <c r="B48" s="18" t="n">
        <v>0.05</v>
      </c>
      <c r="C48" s="16" t="s">
        <v>109</v>
      </c>
    </row>
    <row r="49" customFormat="false" ht="15" hidden="false" customHeight="false" outlineLevel="0" collapsed="false">
      <c r="A49" s="13" t="s">
        <v>110</v>
      </c>
      <c r="B49" s="19" t="n">
        <v>2</v>
      </c>
      <c r="C49" s="16" t="s">
        <v>111</v>
      </c>
    </row>
    <row r="50" customFormat="false" ht="15" hidden="false" customHeight="false" outlineLevel="0" collapsed="false">
      <c r="A50" s="13" t="s">
        <v>112</v>
      </c>
      <c r="B50" s="20" t="n">
        <v>350</v>
      </c>
      <c r="C50" s="16" t="s">
        <v>113</v>
      </c>
    </row>
    <row r="51" customFormat="false" ht="15" hidden="false" customHeight="false" outlineLevel="0" collapsed="false">
      <c r="A51" s="1"/>
      <c r="B51" s="1"/>
      <c r="C51" s="1"/>
    </row>
    <row r="52" customFormat="false" ht="15" hidden="false" customHeight="false" outlineLevel="0" collapsed="false">
      <c r="A52" s="11" t="s">
        <v>114</v>
      </c>
      <c r="B52" s="12"/>
      <c r="C52" s="1"/>
    </row>
    <row r="53" customFormat="false" ht="15" hidden="false" customHeight="false" outlineLevel="0" collapsed="false">
      <c r="A53" s="13" t="s">
        <v>115</v>
      </c>
      <c r="B53" s="14" t="s">
        <v>116</v>
      </c>
      <c r="C53" s="1"/>
    </row>
    <row r="54" customFormat="false" ht="15" hidden="false" customHeight="false" outlineLevel="0" collapsed="false">
      <c r="A54" s="13" t="s">
        <v>117</v>
      </c>
      <c r="B54" s="14" t="s">
        <v>118</v>
      </c>
      <c r="C54" s="1"/>
    </row>
    <row r="55" customFormat="false" ht="15" hidden="false" customHeight="false" outlineLevel="0" collapsed="false">
      <c r="A55" s="13" t="s">
        <v>119</v>
      </c>
      <c r="B55" s="14" t="s">
        <v>120</v>
      </c>
      <c r="C55" s="1"/>
    </row>
    <row r="56" customFormat="false" ht="15" hidden="false" customHeight="false" outlineLevel="0" collapsed="false">
      <c r="A56" s="13" t="s">
        <v>121</v>
      </c>
      <c r="B56" s="14" t="s">
        <v>122</v>
      </c>
      <c r="C56" s="1"/>
    </row>
    <row r="57" customFormat="false" ht="15" hidden="false" customHeight="false" outlineLevel="0" collapsed="false">
      <c r="A57" s="13" t="s">
        <v>123</v>
      </c>
      <c r="B57" s="14" t="s">
        <v>124</v>
      </c>
      <c r="C57" s="1"/>
    </row>
    <row r="58" customFormat="false" ht="15" hidden="false" customHeight="false" outlineLevel="0" collapsed="false">
      <c r="A58" s="13" t="s">
        <v>125</v>
      </c>
      <c r="B58" s="14" t="s">
        <v>126</v>
      </c>
      <c r="C58" s="1"/>
    </row>
    <row r="59" customFormat="false" ht="15" hidden="false" customHeight="false" outlineLevel="0" collapsed="false">
      <c r="A59" s="13" t="s">
        <v>127</v>
      </c>
      <c r="B59" s="14" t="s">
        <v>128</v>
      </c>
      <c r="C59" s="1"/>
    </row>
    <row r="60" customFormat="false" ht="15" hidden="false" customHeight="false" outlineLevel="0" collapsed="false">
      <c r="A60" s="13" t="s">
        <v>129</v>
      </c>
      <c r="B60" s="14"/>
      <c r="C60" s="1"/>
    </row>
    <row r="61" customFormat="false" ht="15" hidden="false" customHeight="false" outlineLevel="0" collapsed="false">
      <c r="A61" s="1"/>
      <c r="B61" s="1"/>
      <c r="C61" s="1"/>
    </row>
    <row r="62" customFormat="false" ht="15" hidden="false" customHeight="false" outlineLevel="0" collapsed="false">
      <c r="A62" s="11" t="s">
        <v>130</v>
      </c>
      <c r="B62" s="12"/>
      <c r="C62" s="1"/>
    </row>
    <row r="63" customFormat="false" ht="15" hidden="false" customHeight="false" outlineLevel="0" collapsed="false">
      <c r="A63" s="13" t="s">
        <v>131</v>
      </c>
      <c r="B63" s="21" t="n">
        <f aca="false">SUMIFS('Line Detail'!$U$6:$U$505,'Line Detail'!$B$6:$B$505,"Base")</f>
        <v>3285</v>
      </c>
      <c r="C63" s="1"/>
    </row>
    <row r="64" customFormat="false" ht="15" hidden="false" customHeight="false" outlineLevel="0" collapsed="false">
      <c r="A64" s="13" t="s">
        <v>132</v>
      </c>
      <c r="B64" s="21" t="n">
        <f aca="false">SUMIFS('Line Detail'!$V$6:$V$505,'Line Detail'!$B$6:$B$505,"Base")</f>
        <v>1575</v>
      </c>
      <c r="C64" s="1"/>
    </row>
    <row r="65" customFormat="false" ht="15" hidden="false" customHeight="false" outlineLevel="0" collapsed="false">
      <c r="A65" s="13" t="s">
        <v>133</v>
      </c>
      <c r="B65" s="21" t="n">
        <f aca="false">SUMIFS('Line Detail'!$X$6:$X$505,'Line Detail'!$B$6:$B$505,"Base")</f>
        <v>369.5625</v>
      </c>
      <c r="C65" s="1"/>
    </row>
    <row r="66" customFormat="false" ht="15" hidden="false" customHeight="false" outlineLevel="0" collapsed="false">
      <c r="A66" s="13" t="s">
        <v>134</v>
      </c>
      <c r="B66" s="21" t="n">
        <f aca="false">SUMIFS('Line Detail'!$R$6:$R$505,'Line Detail'!$B$6:$B$505,"Base")</f>
        <v>6328.75367647059</v>
      </c>
      <c r="C66" s="1"/>
    </row>
    <row r="67" customFormat="false" ht="15" hidden="false" customHeight="false" outlineLevel="0" collapsed="false">
      <c r="A67" s="13" t="s">
        <v>135</v>
      </c>
      <c r="B67" s="22" t="n">
        <f aca="false">B66-B63-B64-B65</f>
        <v>1099.19117647059</v>
      </c>
      <c r="C67" s="1"/>
    </row>
    <row r="68" customFormat="false" ht="15" hidden="false" customHeight="false" outlineLevel="0" collapsed="false">
      <c r="A68" s="13" t="s">
        <v>136</v>
      </c>
      <c r="B68" s="23" t="n">
        <f aca="false">IF(B66-B65=0,0,B67/(B66-B65))</f>
        <v>0.184453081621321</v>
      </c>
      <c r="C68" s="1"/>
    </row>
    <row r="69" customFormat="false" ht="15" hidden="false" customHeight="false" outlineLevel="0" collapsed="false">
      <c r="A69" s="13" t="s">
        <v>137</v>
      </c>
      <c r="B69" s="24" t="n">
        <f aca="false">IF(B66=0,0,SUMIFS('Line Detail'!$Q$6:$Q$505,'Line Detail'!$B$6:$B$505,"Base")/B66)</f>
        <v>0.292781370739639</v>
      </c>
      <c r="C69" s="16" t="s">
        <v>138</v>
      </c>
    </row>
    <row r="70" customFormat="false" ht="15" hidden="false" customHeight="false" outlineLevel="0" collapsed="false">
      <c r="A70" s="13" t="s">
        <v>139</v>
      </c>
      <c r="B70" s="21" t="n">
        <f aca="false">SUMIFS('Line Detail'!$R$6:$R$505,'Line Detail'!$B$6:$B$505,"Base",'Line Detail'!$C$6:$C$505,"")</f>
        <v>0</v>
      </c>
      <c r="C70" s="25" t="s">
        <v>140</v>
      </c>
    </row>
    <row r="71" customFormat="false" ht="15" hidden="false" customHeight="false" outlineLevel="0" collapsed="false">
      <c r="A71" s="13" t="s">
        <v>141</v>
      </c>
      <c r="B71" s="26" t="n">
        <f aca="false">COUNTIFS('Line Detail'!$F$6:$F$505,"?*",'Line Detail'!$B$6:$B$505,"")</f>
        <v>0</v>
      </c>
      <c r="C71" s="25" t="s">
        <v>142</v>
      </c>
    </row>
    <row r="72" customFormat="false" ht="15" hidden="false" customHeight="false" outlineLevel="0" collapsed="false">
      <c r="A72" s="13" t="s">
        <v>143</v>
      </c>
      <c r="B72" s="26" t="n">
        <f aca="false">Lists!$J$2</f>
        <v>3</v>
      </c>
      <c r="C72" s="16" t="s">
        <v>144</v>
      </c>
    </row>
  </sheetData>
  <dataValidations count="3">
    <dataValidation allowBlank="true" errorStyle="stop" operator="between" showDropDown="false" showErrorMessage="false" showInputMessage="false" sqref="B38" type="list">
      <formula1>Lists!$F$2:$F$3</formula1>
      <formula2>0</formula2>
    </dataValidation>
    <dataValidation allowBlank="true" errorStyle="stop" operator="between" showDropDown="false" showErrorMessage="false" showInputMessage="false" sqref="B41" type="list">
      <formula1>Lists!$F$2:$F$3</formula1>
      <formula2>0</formula2>
    </dataValidation>
    <dataValidation allowBlank="true" errorStyle="stop" operator="between" showDropDown="false" showErrorMessage="false" showInputMessage="false" sqref="B24" type="list">
      <formula1>Lists!$G$2:$G$8</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9000"/>
    <pageSetUpPr fitToPage="true"/>
  </sheetPr>
  <dimension ref="A1:X5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6" ySplit="5" topLeftCell="G6" activePane="bottomRight" state="frozen"/>
      <selection pane="topLeft" activeCell="A1" activeCellId="0" sqref="A1"/>
      <selection pane="topRight" activeCell="G1" activeCellId="0" sqref="G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10"/>
    <col collapsed="false" customWidth="true" hidden="false" outlineLevel="0" max="3" min="3" style="0" width="34"/>
    <col collapsed="false" customWidth="true" hidden="false" outlineLevel="0" max="4" min="4" style="0" width="18"/>
    <col collapsed="false" customWidth="true" hidden="false" outlineLevel="0" max="5" min="5" style="0" width="12"/>
    <col collapsed="false" customWidth="true" hidden="false" outlineLevel="0" max="6" min="6" style="0" width="60"/>
    <col collapsed="false" customWidth="true" hidden="false" outlineLevel="0" max="7" min="7" style="0" width="11"/>
    <col collapsed="false" customWidth="true" hidden="false" outlineLevel="0" max="8" min="8" style="0" width="7"/>
    <col collapsed="false" customWidth="true" hidden="false" outlineLevel="0" max="10" min="9" style="0" width="12"/>
    <col collapsed="false" customWidth="true" hidden="false" outlineLevel="0" max="12" min="11" style="0" width="10"/>
    <col collapsed="false" customWidth="true" hidden="false" outlineLevel="0" max="15" min="13" style="0" width="12"/>
    <col collapsed="false" customWidth="true" hidden="false" outlineLevel="0" max="18" min="16" style="0" width="14"/>
    <col collapsed="false" customWidth="true" hidden="false" outlineLevel="0" max="20" min="19" style="0" width="28"/>
    <col collapsed="false" customWidth="true" hidden="false" outlineLevel="0" max="22" min="21" style="0" width="13"/>
    <col collapsed="false" customWidth="true" hidden="false" outlineLevel="0" max="23" min="23" style="0" width="8"/>
    <col collapsed="false" customWidth="true" hidden="false" outlineLevel="0" max="24" min="24" style="0" width="11"/>
  </cols>
  <sheetData>
    <row r="1" customFormat="false" ht="19.7" hidden="false" customHeight="false" outlineLevel="0" collapsed="false">
      <c r="A1" s="2" t="s">
        <v>145</v>
      </c>
      <c r="B1" s="1"/>
      <c r="C1" s="1"/>
      <c r="D1" s="1"/>
      <c r="E1" s="1"/>
      <c r="F1" s="1"/>
      <c r="G1" s="1"/>
      <c r="H1" s="1"/>
      <c r="I1" s="1"/>
      <c r="J1" s="1"/>
      <c r="K1" s="1"/>
      <c r="L1" s="1"/>
      <c r="M1" s="1"/>
      <c r="N1" s="1"/>
      <c r="O1" s="1"/>
      <c r="P1" s="1"/>
      <c r="Q1" s="1"/>
      <c r="R1" s="1"/>
      <c r="S1" s="1"/>
      <c r="T1" s="1"/>
      <c r="U1" s="1"/>
      <c r="V1" s="1"/>
      <c r="W1" s="1"/>
      <c r="X1" s="1"/>
    </row>
    <row r="2" customFormat="false" ht="15" hidden="false" customHeight="false" outlineLevel="0" collapsed="false">
      <c r="A2" s="5" t="str">
        <f aca="false">"Job: "&amp;IF('Job Info'!$B$20="","[Job Name]",'Job Info'!$B$20)&amp;"   |   Tax on material: "&amp;IF('Job Info'!$B$38="Yes",TEXT('Job Info'!$B$37,"0.00%"),"not included")&amp;"   |   Default margins: Mat "&amp;TEXT('Job Info'!$B$39,"0.0%")&amp;" / Labor "&amp;TEXT('Job Info'!$B$40,"0.0%")</f>
        <v>Job: [Job Name]   |   Tax on material: 9.00%   |   Default margins: Mat 20.0% / Labor 15.0%</v>
      </c>
      <c r="B2" s="1"/>
      <c r="C2" s="1"/>
      <c r="D2" s="1"/>
      <c r="E2" s="1"/>
      <c r="F2" s="1"/>
      <c r="G2" s="1"/>
      <c r="H2" s="1"/>
      <c r="I2" s="1"/>
      <c r="J2" s="1"/>
      <c r="K2" s="1"/>
      <c r="L2" s="1"/>
      <c r="M2" s="1"/>
      <c r="N2" s="1"/>
      <c r="O2" s="1"/>
      <c r="P2" s="1"/>
      <c r="Q2" s="1"/>
      <c r="R2" s="1"/>
      <c r="S2" s="1"/>
      <c r="T2" s="1"/>
      <c r="U2" s="1"/>
      <c r="V2" s="1"/>
      <c r="W2" s="1"/>
      <c r="X2" s="1"/>
    </row>
    <row r="3" customFormat="false" ht="15" hidden="false" customHeight="false" outlineLevel="0" collapsed="false">
      <c r="A3" s="10" t="s">
        <v>146</v>
      </c>
      <c r="B3" s="1"/>
      <c r="C3" s="1"/>
      <c r="D3" s="1"/>
      <c r="E3" s="1"/>
      <c r="F3" s="1"/>
      <c r="G3" s="1"/>
      <c r="H3" s="1"/>
      <c r="I3" s="1"/>
      <c r="J3" s="1"/>
      <c r="K3" s="1"/>
      <c r="L3" s="1"/>
      <c r="M3" s="1"/>
      <c r="N3" s="1"/>
      <c r="O3" s="1"/>
      <c r="P3" s="1"/>
      <c r="Q3" s="1"/>
      <c r="R3" s="1"/>
      <c r="S3" s="1"/>
      <c r="T3" s="1"/>
      <c r="U3" s="1"/>
      <c r="V3" s="1"/>
      <c r="W3" s="1"/>
      <c r="X3" s="1"/>
    </row>
    <row r="4" customFormat="false" ht="15" hidden="false" customHeight="true" outlineLevel="0" collapsed="false">
      <c r="A4" s="27" t="s">
        <v>147</v>
      </c>
      <c r="B4" s="27"/>
      <c r="C4" s="27"/>
      <c r="D4" s="27"/>
      <c r="E4" s="27"/>
      <c r="F4" s="27"/>
      <c r="G4" s="27"/>
      <c r="H4" s="27"/>
      <c r="I4" s="27" t="s">
        <v>148</v>
      </c>
      <c r="J4" s="27"/>
      <c r="K4" s="27"/>
      <c r="L4" s="27"/>
      <c r="M4" s="27" t="s">
        <v>149</v>
      </c>
      <c r="N4" s="27"/>
      <c r="O4" s="27"/>
      <c r="P4" s="27"/>
      <c r="Q4" s="27"/>
      <c r="R4" s="27"/>
      <c r="S4" s="27" t="s">
        <v>150</v>
      </c>
      <c r="T4" s="27"/>
      <c r="U4" s="27" t="s">
        <v>151</v>
      </c>
      <c r="V4" s="27"/>
      <c r="W4" s="27"/>
      <c r="X4" s="27"/>
    </row>
    <row r="5" customFormat="false" ht="42" hidden="false" customHeight="true" outlineLevel="0" collapsed="false">
      <c r="A5" s="28" t="s">
        <v>152</v>
      </c>
      <c r="B5" s="28" t="s">
        <v>153</v>
      </c>
      <c r="C5" s="28" t="s">
        <v>154</v>
      </c>
      <c r="D5" s="28" t="s">
        <v>155</v>
      </c>
      <c r="E5" s="28" t="s">
        <v>156</v>
      </c>
      <c r="F5" s="28" t="s">
        <v>157</v>
      </c>
      <c r="G5" s="28" t="s">
        <v>158</v>
      </c>
      <c r="H5" s="28" t="s">
        <v>159</v>
      </c>
      <c r="I5" s="28" t="s">
        <v>160</v>
      </c>
      <c r="J5" s="28" t="s">
        <v>161</v>
      </c>
      <c r="K5" s="28" t="s">
        <v>162</v>
      </c>
      <c r="L5" s="28" t="s">
        <v>163</v>
      </c>
      <c r="M5" s="28" t="s">
        <v>164</v>
      </c>
      <c r="N5" s="28" t="s">
        <v>165</v>
      </c>
      <c r="O5" s="28" t="s">
        <v>166</v>
      </c>
      <c r="P5" s="28" t="s">
        <v>167</v>
      </c>
      <c r="Q5" s="28" t="s">
        <v>168</v>
      </c>
      <c r="R5" s="28" t="s">
        <v>169</v>
      </c>
      <c r="S5" s="28" t="s">
        <v>170</v>
      </c>
      <c r="T5" s="28" t="s">
        <v>171</v>
      </c>
      <c r="U5" s="28" t="s">
        <v>172</v>
      </c>
      <c r="V5" s="28" t="s">
        <v>173</v>
      </c>
      <c r="W5" s="28" t="s">
        <v>174</v>
      </c>
      <c r="X5" s="28" t="s">
        <v>175</v>
      </c>
    </row>
    <row r="6" customFormat="false" ht="15" hidden="false" customHeight="false" outlineLevel="0" collapsed="false">
      <c r="A6" s="13" t="n">
        <f aca="false">IF(F6="","",ROW()-5)</f>
        <v>1</v>
      </c>
      <c r="B6" s="29" t="s">
        <v>176</v>
      </c>
      <c r="C6" s="29" t="s">
        <v>177</v>
      </c>
      <c r="D6" s="29" t="s">
        <v>116</v>
      </c>
      <c r="E6" s="29"/>
      <c r="F6" s="30" t="s">
        <v>178</v>
      </c>
      <c r="G6" s="31" t="n">
        <v>1000</v>
      </c>
      <c r="H6" s="29" t="s">
        <v>179</v>
      </c>
      <c r="I6" s="32" t="n">
        <v>1.45</v>
      </c>
      <c r="J6" s="32" t="n">
        <v>1.1</v>
      </c>
      <c r="K6" s="33"/>
      <c r="L6" s="33"/>
      <c r="M6" s="34" t="n">
        <f aca="false">IF(F6="","",N(I6)/(1-IF(K6="",'Job Info'!$B$39,K6))*(1+IF('Job Info'!$B$38="Yes",'Job Info'!$B$37,0)))</f>
        <v>1.975625</v>
      </c>
      <c r="N6" s="34" t="n">
        <f aca="false">IF(F6="","",N(J6)/(1-IF(L6="",'Job Info'!$B$40,L6)))</f>
        <v>1.29411764705882</v>
      </c>
      <c r="O6" s="34" t="n">
        <f aca="false">IF(F6="","",M6+N6)</f>
        <v>3.26974264705882</v>
      </c>
      <c r="P6" s="34" t="n">
        <f aca="false">IF(F6="","",N(G6)*M6)</f>
        <v>1975.625</v>
      </c>
      <c r="Q6" s="34" t="n">
        <f aca="false">IF(F6="","",N(G6)*N6)</f>
        <v>1294.11764705882</v>
      </c>
      <c r="R6" s="35" t="n">
        <f aca="false">IF(F6="","",P6+Q6)</f>
        <v>3269.74264705882</v>
      </c>
      <c r="S6" s="30"/>
      <c r="T6" s="30" t="s">
        <v>180</v>
      </c>
      <c r="U6" s="34" t="n">
        <f aca="false">IF(F6="","",N(G6)*N(I6))</f>
        <v>1450</v>
      </c>
      <c r="V6" s="34" t="n">
        <f aca="false">IF(F6="","",N(G6)*N(J6))</f>
        <v>1100</v>
      </c>
      <c r="W6" s="13" t="n">
        <f aca="false">IF(F6="","",IF(B6="Excluded","",COUNTIFS($F$6:F6,"?*",$B$6:B6,"&lt;&gt;Excluded")))</f>
        <v>1</v>
      </c>
      <c r="X6" s="34" t="n">
        <f aca="false">IF(F6="","",N(G6)*N(I6)/(1-IF(K6="",'Job Info'!$B$39,K6))*IF('Job Info'!$B$38="Yes",'Job Info'!$B$37,0))</f>
        <v>163.125</v>
      </c>
    </row>
    <row r="7" customFormat="false" ht="23.85" hidden="false" customHeight="false" outlineLevel="0" collapsed="false">
      <c r="A7" s="13" t="n">
        <f aca="false">IF(F7="","",ROW()-5)</f>
        <v>2</v>
      </c>
      <c r="B7" s="29" t="s">
        <v>176</v>
      </c>
      <c r="C7" s="29" t="s">
        <v>181</v>
      </c>
      <c r="D7" s="29" t="s">
        <v>116</v>
      </c>
      <c r="E7" s="29" t="s">
        <v>182</v>
      </c>
      <c r="F7" s="30" t="s">
        <v>183</v>
      </c>
      <c r="G7" s="31" t="n">
        <v>10</v>
      </c>
      <c r="H7" s="29" t="s">
        <v>184</v>
      </c>
      <c r="I7" s="32" t="n">
        <v>165</v>
      </c>
      <c r="J7" s="32" t="n">
        <v>38</v>
      </c>
      <c r="K7" s="33"/>
      <c r="L7" s="33"/>
      <c r="M7" s="34" t="n">
        <f aca="false">IF(F7="","",N(I7)/(1-IF(K7="",'Job Info'!$B$39,K7))*(1+IF('Job Info'!$B$38="Yes",'Job Info'!$B$37,0)))</f>
        <v>224.8125</v>
      </c>
      <c r="N7" s="34" t="n">
        <f aca="false">IF(F7="","",N(J7)/(1-IF(L7="",'Job Info'!$B$40,L7)))</f>
        <v>44.7058823529412</v>
      </c>
      <c r="O7" s="34" t="n">
        <f aca="false">IF(F7="","",M7+N7)</f>
        <v>269.518382352941</v>
      </c>
      <c r="P7" s="34" t="n">
        <f aca="false">IF(F7="","",N(G7)*M7)</f>
        <v>2248.125</v>
      </c>
      <c r="Q7" s="34" t="n">
        <f aca="false">IF(F7="","",N(G7)*N7)</f>
        <v>447.058823529412</v>
      </c>
      <c r="R7" s="35" t="n">
        <f aca="false">IF(F7="","",P7+Q7)</f>
        <v>2695.18382352941</v>
      </c>
      <c r="S7" s="30"/>
      <c r="T7" s="30" t="s">
        <v>180</v>
      </c>
      <c r="U7" s="34" t="n">
        <f aca="false">IF(F7="","",N(G7)*N(I7))</f>
        <v>1650</v>
      </c>
      <c r="V7" s="34" t="n">
        <f aca="false">IF(F7="","",N(G7)*N(J7))</f>
        <v>380</v>
      </c>
      <c r="W7" s="13" t="n">
        <f aca="false">IF(F7="","",IF(B7="Excluded","",COUNTIFS($F$6:F7,"?*",$B$6:B7,"&lt;&gt;Excluded")))</f>
        <v>2</v>
      </c>
      <c r="X7" s="34" t="n">
        <f aca="false">IF(F7="","",N(G7)*N(I7)/(1-IF(K7="",'Job Info'!$B$39,K7))*IF('Job Info'!$B$38="Yes",'Job Info'!$B$37,0))</f>
        <v>185.625</v>
      </c>
    </row>
    <row r="8" customFormat="false" ht="15" hidden="false" customHeight="false" outlineLevel="0" collapsed="false">
      <c r="A8" s="13" t="n">
        <f aca="false">IF(F8="","",ROW()-5)</f>
        <v>3</v>
      </c>
      <c r="B8" s="29" t="s">
        <v>176</v>
      </c>
      <c r="C8" s="29" t="s">
        <v>185</v>
      </c>
      <c r="D8" s="29" t="s">
        <v>116</v>
      </c>
      <c r="E8" s="29" t="s">
        <v>186</v>
      </c>
      <c r="F8" s="30" t="s">
        <v>187</v>
      </c>
      <c r="G8" s="31" t="n">
        <v>10</v>
      </c>
      <c r="H8" s="29" t="s">
        <v>188</v>
      </c>
      <c r="I8" s="32" t="n">
        <v>18.5</v>
      </c>
      <c r="J8" s="32" t="n">
        <v>9.5</v>
      </c>
      <c r="K8" s="33"/>
      <c r="L8" s="33"/>
      <c r="M8" s="34" t="n">
        <f aca="false">IF(F8="","",N(I8)/(1-IF(K8="",'Job Info'!$B$39,K8))*(1+IF('Job Info'!$B$38="Yes",'Job Info'!$B$37,0)))</f>
        <v>25.20625</v>
      </c>
      <c r="N8" s="34" t="n">
        <f aca="false">IF(F8="","",N(J8)/(1-IF(L8="",'Job Info'!$B$40,L8)))</f>
        <v>11.1764705882353</v>
      </c>
      <c r="O8" s="34" t="n">
        <f aca="false">IF(F8="","",M8+N8)</f>
        <v>36.3827205882353</v>
      </c>
      <c r="P8" s="34" t="n">
        <f aca="false">IF(F8="","",N(G8)*M8)</f>
        <v>252.0625</v>
      </c>
      <c r="Q8" s="34" t="n">
        <f aca="false">IF(F8="","",N(G8)*N8)</f>
        <v>111.764705882353</v>
      </c>
      <c r="R8" s="35" t="n">
        <f aca="false">IF(F8="","",P8+Q8)</f>
        <v>363.827205882353</v>
      </c>
      <c r="S8" s="30"/>
      <c r="T8" s="30" t="s">
        <v>180</v>
      </c>
      <c r="U8" s="34" t="n">
        <f aca="false">IF(F8="","",N(G8)*N(I8))</f>
        <v>185</v>
      </c>
      <c r="V8" s="34" t="n">
        <f aca="false">IF(F8="","",N(G8)*N(J8))</f>
        <v>95</v>
      </c>
      <c r="W8" s="13" t="n">
        <f aca="false">IF(F8="","",IF(B8="Excluded","",COUNTIFS($F$6:F8,"?*",$B$6:B8,"&lt;&gt;Excluded")))</f>
        <v>3</v>
      </c>
      <c r="X8" s="34" t="n">
        <f aca="false">IF(F8="","",N(G8)*N(I8)/(1-IF(K8="",'Job Info'!$B$39,K8))*IF('Job Info'!$B$38="Yes",'Job Info'!$B$37,0))</f>
        <v>20.8125</v>
      </c>
    </row>
    <row r="9" customFormat="false" ht="15" hidden="false" customHeight="false" outlineLevel="0" collapsed="false">
      <c r="A9" s="13" t="n">
        <f aca="false">IF(F9="","",ROW()-5)</f>
        <v>4</v>
      </c>
      <c r="B9" s="29" t="s">
        <v>189</v>
      </c>
      <c r="C9" s="29" t="s">
        <v>185</v>
      </c>
      <c r="D9" s="29" t="s">
        <v>116</v>
      </c>
      <c r="E9" s="29" t="s">
        <v>190</v>
      </c>
      <c r="F9" s="30" t="s">
        <v>191</v>
      </c>
      <c r="G9" s="31" t="n">
        <v>10</v>
      </c>
      <c r="H9" s="29" t="s">
        <v>184</v>
      </c>
      <c r="I9" s="32" t="n">
        <v>240</v>
      </c>
      <c r="J9" s="32" t="n">
        <v>25</v>
      </c>
      <c r="K9" s="33"/>
      <c r="L9" s="33"/>
      <c r="M9" s="34" t="n">
        <f aca="false">IF(F9="","",N(I9)/(1-IF(K9="",'Job Info'!$B$39,K9))*(1+IF('Job Info'!$B$38="Yes",'Job Info'!$B$37,0)))</f>
        <v>327</v>
      </c>
      <c r="N9" s="34" t="n">
        <f aca="false">IF(F9="","",N(J9)/(1-IF(L9="",'Job Info'!$B$40,L9)))</f>
        <v>29.4117647058824</v>
      </c>
      <c r="O9" s="34" t="n">
        <f aca="false">IF(F9="","",M9+N9)</f>
        <v>356.411764705882</v>
      </c>
      <c r="P9" s="34" t="n">
        <f aca="false">IF(F9="","",N(G9)*M9)</f>
        <v>3270</v>
      </c>
      <c r="Q9" s="34" t="n">
        <f aca="false">IF(F9="","",N(G9)*N9)</f>
        <v>294.117647058824</v>
      </c>
      <c r="R9" s="35" t="n">
        <f aca="false">IF(F9="","",P9+Q9)</f>
        <v>3564.11764705882</v>
      </c>
      <c r="S9" s="30" t="s">
        <v>192</v>
      </c>
      <c r="T9" s="30" t="s">
        <v>180</v>
      </c>
      <c r="U9" s="34" t="n">
        <f aca="false">IF(F9="","",N(G9)*N(I9))</f>
        <v>2400</v>
      </c>
      <c r="V9" s="34" t="n">
        <f aca="false">IF(F9="","",N(G9)*N(J9))</f>
        <v>250</v>
      </c>
      <c r="W9" s="13" t="n">
        <f aca="false">IF(F9="","",IF(B9="Excluded","",COUNTIFS($F$6:F9,"?*",$B$6:B9,"&lt;&gt;Excluded")))</f>
        <v>4</v>
      </c>
      <c r="X9" s="34" t="n">
        <f aca="false">IF(F9="","",N(G9)*N(I9)/(1-IF(K9="",'Job Info'!$B$39,K9))*IF('Job Info'!$B$38="Yes",'Job Info'!$B$37,0))</f>
        <v>270</v>
      </c>
    </row>
    <row r="10" customFormat="false" ht="15" hidden="false" customHeight="false" outlineLevel="0" collapsed="false">
      <c r="A10" s="13" t="str">
        <f aca="false">IF(F10="","",ROW()-5)</f>
        <v/>
      </c>
      <c r="B10" s="14"/>
      <c r="C10" s="14"/>
      <c r="D10" s="14"/>
      <c r="E10" s="14"/>
      <c r="F10" s="36"/>
      <c r="G10" s="37"/>
      <c r="H10" s="14"/>
      <c r="I10" s="38"/>
      <c r="J10" s="38"/>
      <c r="K10" s="33"/>
      <c r="L10" s="33"/>
      <c r="M10" s="34" t="str">
        <f aca="false">IF(F10="","",N(I10)/(1-IF(K10="",'Job Info'!$B$39,K10))*(1+IF('Job Info'!$B$38="Yes",'Job Info'!$B$37,0)))</f>
        <v/>
      </c>
      <c r="N10" s="34" t="str">
        <f aca="false">IF(F10="","",N(J10)/(1-IF(L10="",'Job Info'!$B$40,L10)))</f>
        <v/>
      </c>
      <c r="O10" s="34" t="str">
        <f aca="false">IF(F10="","",M10+N10)</f>
        <v/>
      </c>
      <c r="P10" s="34" t="str">
        <f aca="false">IF(F10="","",N(G10)*M10)</f>
        <v/>
      </c>
      <c r="Q10" s="34" t="str">
        <f aca="false">IF(F10="","",N(G10)*N10)</f>
        <v/>
      </c>
      <c r="R10" s="35" t="str">
        <f aca="false">IF(F10="","",P10+Q10)</f>
        <v/>
      </c>
      <c r="S10" s="36"/>
      <c r="T10" s="36"/>
      <c r="U10" s="34" t="str">
        <f aca="false">IF(F10="","",N(G10)*N(I10))</f>
        <v/>
      </c>
      <c r="V10" s="34" t="str">
        <f aca="false">IF(F10="","",N(G10)*N(J10))</f>
        <v/>
      </c>
      <c r="W10" s="13" t="str">
        <f aca="false">IF(F10="","",IF(B10="Excluded","",COUNTIFS($F$6:F10,"?*",$B$6:B10,"&lt;&gt;Excluded")))</f>
        <v/>
      </c>
      <c r="X10" s="34" t="str">
        <f aca="false">IF(F10="","",N(G10)*N(I10)/(1-IF(K10="",'Job Info'!$B$39,K10))*IF('Job Info'!$B$38="Yes",'Job Info'!$B$37,0))</f>
        <v/>
      </c>
    </row>
    <row r="11" customFormat="false" ht="15" hidden="false" customHeight="false" outlineLevel="0" collapsed="false">
      <c r="A11" s="13" t="str">
        <f aca="false">IF(F11="","",ROW()-5)</f>
        <v/>
      </c>
      <c r="B11" s="14"/>
      <c r="C11" s="14"/>
      <c r="D11" s="14"/>
      <c r="E11" s="14"/>
      <c r="F11" s="36"/>
      <c r="G11" s="37"/>
      <c r="H11" s="14"/>
      <c r="I11" s="38"/>
      <c r="J11" s="38"/>
      <c r="K11" s="33"/>
      <c r="L11" s="33"/>
      <c r="M11" s="34" t="str">
        <f aca="false">IF(F11="","",N(I11)/(1-IF(K11="",'Job Info'!$B$39,K11))*(1+IF('Job Info'!$B$38="Yes",'Job Info'!$B$37,0)))</f>
        <v/>
      </c>
      <c r="N11" s="34" t="str">
        <f aca="false">IF(F11="","",N(J11)/(1-IF(L11="",'Job Info'!$B$40,L11)))</f>
        <v/>
      </c>
      <c r="O11" s="34" t="str">
        <f aca="false">IF(F11="","",M11+N11)</f>
        <v/>
      </c>
      <c r="P11" s="34" t="str">
        <f aca="false">IF(F11="","",N(G11)*M11)</f>
        <v/>
      </c>
      <c r="Q11" s="34" t="str">
        <f aca="false">IF(F11="","",N(G11)*N11)</f>
        <v/>
      </c>
      <c r="R11" s="35" t="str">
        <f aca="false">IF(F11="","",P11+Q11)</f>
        <v/>
      </c>
      <c r="S11" s="36"/>
      <c r="T11" s="36"/>
      <c r="U11" s="34" t="str">
        <f aca="false">IF(F11="","",N(G11)*N(I11))</f>
        <v/>
      </c>
      <c r="V11" s="34" t="str">
        <f aca="false">IF(F11="","",N(G11)*N(J11))</f>
        <v/>
      </c>
      <c r="W11" s="13" t="str">
        <f aca="false">IF(F11="","",IF(B11="Excluded","",COUNTIFS($F$6:F11,"?*",$B$6:B11,"&lt;&gt;Excluded")))</f>
        <v/>
      </c>
      <c r="X11" s="34" t="str">
        <f aca="false">IF(F11="","",N(G11)*N(I11)/(1-IF(K11="",'Job Info'!$B$39,K11))*IF('Job Info'!$B$38="Yes",'Job Info'!$B$37,0))</f>
        <v/>
      </c>
    </row>
    <row r="12" customFormat="false" ht="15" hidden="false" customHeight="false" outlineLevel="0" collapsed="false">
      <c r="A12" s="13" t="str">
        <f aca="false">IF(F12="","",ROW()-5)</f>
        <v/>
      </c>
      <c r="B12" s="14"/>
      <c r="C12" s="14"/>
      <c r="D12" s="14"/>
      <c r="E12" s="14"/>
      <c r="F12" s="36"/>
      <c r="G12" s="37"/>
      <c r="H12" s="14"/>
      <c r="I12" s="38"/>
      <c r="J12" s="38"/>
      <c r="K12" s="33"/>
      <c r="L12" s="33"/>
      <c r="M12" s="34" t="str">
        <f aca="false">IF(F12="","",N(I12)/(1-IF(K12="",'Job Info'!$B$39,K12))*(1+IF('Job Info'!$B$38="Yes",'Job Info'!$B$37,0)))</f>
        <v/>
      </c>
      <c r="N12" s="34" t="str">
        <f aca="false">IF(F12="","",N(J12)/(1-IF(L12="",'Job Info'!$B$40,L12)))</f>
        <v/>
      </c>
      <c r="O12" s="34" t="str">
        <f aca="false">IF(F12="","",M12+N12)</f>
        <v/>
      </c>
      <c r="P12" s="34" t="str">
        <f aca="false">IF(F12="","",N(G12)*M12)</f>
        <v/>
      </c>
      <c r="Q12" s="34" t="str">
        <f aca="false">IF(F12="","",N(G12)*N12)</f>
        <v/>
      </c>
      <c r="R12" s="35" t="str">
        <f aca="false">IF(F12="","",P12+Q12)</f>
        <v/>
      </c>
      <c r="S12" s="36"/>
      <c r="T12" s="36"/>
      <c r="U12" s="34" t="str">
        <f aca="false">IF(F12="","",N(G12)*N(I12))</f>
        <v/>
      </c>
      <c r="V12" s="34" t="str">
        <f aca="false">IF(F12="","",N(G12)*N(J12))</f>
        <v/>
      </c>
      <c r="W12" s="13" t="str">
        <f aca="false">IF(F12="","",IF(B12="Excluded","",COUNTIFS($F$6:F12,"?*",$B$6:B12,"&lt;&gt;Excluded")))</f>
        <v/>
      </c>
      <c r="X12" s="34" t="str">
        <f aca="false">IF(F12="","",N(G12)*N(I12)/(1-IF(K12="",'Job Info'!$B$39,K12))*IF('Job Info'!$B$38="Yes",'Job Info'!$B$37,0))</f>
        <v/>
      </c>
    </row>
    <row r="13" customFormat="false" ht="15" hidden="false" customHeight="false" outlineLevel="0" collapsed="false">
      <c r="A13" s="13" t="str">
        <f aca="false">IF(F13="","",ROW()-5)</f>
        <v/>
      </c>
      <c r="B13" s="14"/>
      <c r="C13" s="14"/>
      <c r="D13" s="14"/>
      <c r="E13" s="14"/>
      <c r="F13" s="36"/>
      <c r="G13" s="37"/>
      <c r="H13" s="14"/>
      <c r="I13" s="38"/>
      <c r="J13" s="38"/>
      <c r="K13" s="33"/>
      <c r="L13" s="33"/>
      <c r="M13" s="34" t="str">
        <f aca="false">IF(F13="","",N(I13)/(1-IF(K13="",'Job Info'!$B$39,K13))*(1+IF('Job Info'!$B$38="Yes",'Job Info'!$B$37,0)))</f>
        <v/>
      </c>
      <c r="N13" s="34" t="str">
        <f aca="false">IF(F13="","",N(J13)/(1-IF(L13="",'Job Info'!$B$40,L13)))</f>
        <v/>
      </c>
      <c r="O13" s="34" t="str">
        <f aca="false">IF(F13="","",M13+N13)</f>
        <v/>
      </c>
      <c r="P13" s="34" t="str">
        <f aca="false">IF(F13="","",N(G13)*M13)</f>
        <v/>
      </c>
      <c r="Q13" s="34" t="str">
        <f aca="false">IF(F13="","",N(G13)*N13)</f>
        <v/>
      </c>
      <c r="R13" s="35" t="str">
        <f aca="false">IF(F13="","",P13+Q13)</f>
        <v/>
      </c>
      <c r="S13" s="36"/>
      <c r="T13" s="36"/>
      <c r="U13" s="34" t="str">
        <f aca="false">IF(F13="","",N(G13)*N(I13))</f>
        <v/>
      </c>
      <c r="V13" s="34" t="str">
        <f aca="false">IF(F13="","",N(G13)*N(J13))</f>
        <v/>
      </c>
      <c r="W13" s="13" t="str">
        <f aca="false">IF(F13="","",IF(B13="Excluded","",COUNTIFS($F$6:F13,"?*",$B$6:B13,"&lt;&gt;Excluded")))</f>
        <v/>
      </c>
      <c r="X13" s="34" t="str">
        <f aca="false">IF(F13="","",N(G13)*N(I13)/(1-IF(K13="",'Job Info'!$B$39,K13))*IF('Job Info'!$B$38="Yes",'Job Info'!$B$37,0))</f>
        <v/>
      </c>
    </row>
    <row r="14" customFormat="false" ht="15" hidden="false" customHeight="false" outlineLevel="0" collapsed="false">
      <c r="A14" s="13" t="str">
        <f aca="false">IF(F14="","",ROW()-5)</f>
        <v/>
      </c>
      <c r="B14" s="14"/>
      <c r="C14" s="14"/>
      <c r="D14" s="14"/>
      <c r="E14" s="14"/>
      <c r="F14" s="36"/>
      <c r="G14" s="37"/>
      <c r="H14" s="14"/>
      <c r="I14" s="38"/>
      <c r="J14" s="38"/>
      <c r="K14" s="33"/>
      <c r="L14" s="33"/>
      <c r="M14" s="34" t="str">
        <f aca="false">IF(F14="","",N(I14)/(1-IF(K14="",'Job Info'!$B$39,K14))*(1+IF('Job Info'!$B$38="Yes",'Job Info'!$B$37,0)))</f>
        <v/>
      </c>
      <c r="N14" s="34" t="str">
        <f aca="false">IF(F14="","",N(J14)/(1-IF(L14="",'Job Info'!$B$40,L14)))</f>
        <v/>
      </c>
      <c r="O14" s="34" t="str">
        <f aca="false">IF(F14="","",M14+N14)</f>
        <v/>
      </c>
      <c r="P14" s="34" t="str">
        <f aca="false">IF(F14="","",N(G14)*M14)</f>
        <v/>
      </c>
      <c r="Q14" s="34" t="str">
        <f aca="false">IF(F14="","",N(G14)*N14)</f>
        <v/>
      </c>
      <c r="R14" s="35" t="str">
        <f aca="false">IF(F14="","",P14+Q14)</f>
        <v/>
      </c>
      <c r="S14" s="36"/>
      <c r="T14" s="36"/>
      <c r="U14" s="34" t="str">
        <f aca="false">IF(F14="","",N(G14)*N(I14))</f>
        <v/>
      </c>
      <c r="V14" s="34" t="str">
        <f aca="false">IF(F14="","",N(G14)*N(J14))</f>
        <v/>
      </c>
      <c r="W14" s="13" t="str">
        <f aca="false">IF(F14="","",IF(B14="Excluded","",COUNTIFS($F$6:F14,"?*",$B$6:B14,"&lt;&gt;Excluded")))</f>
        <v/>
      </c>
      <c r="X14" s="34" t="str">
        <f aca="false">IF(F14="","",N(G14)*N(I14)/(1-IF(K14="",'Job Info'!$B$39,K14))*IF('Job Info'!$B$38="Yes",'Job Info'!$B$37,0))</f>
        <v/>
      </c>
    </row>
    <row r="15" customFormat="false" ht="15" hidden="false" customHeight="false" outlineLevel="0" collapsed="false">
      <c r="A15" s="13" t="str">
        <f aca="false">IF(F15="","",ROW()-5)</f>
        <v/>
      </c>
      <c r="B15" s="14"/>
      <c r="C15" s="14"/>
      <c r="D15" s="14"/>
      <c r="E15" s="14"/>
      <c r="F15" s="36"/>
      <c r="G15" s="37"/>
      <c r="H15" s="14"/>
      <c r="I15" s="38"/>
      <c r="J15" s="38"/>
      <c r="K15" s="33"/>
      <c r="L15" s="33"/>
      <c r="M15" s="34" t="str">
        <f aca="false">IF(F15="","",N(I15)/(1-IF(K15="",'Job Info'!$B$39,K15))*(1+IF('Job Info'!$B$38="Yes",'Job Info'!$B$37,0)))</f>
        <v/>
      </c>
      <c r="N15" s="34" t="str">
        <f aca="false">IF(F15="","",N(J15)/(1-IF(L15="",'Job Info'!$B$40,L15)))</f>
        <v/>
      </c>
      <c r="O15" s="34" t="str">
        <f aca="false">IF(F15="","",M15+N15)</f>
        <v/>
      </c>
      <c r="P15" s="34" t="str">
        <f aca="false">IF(F15="","",N(G15)*M15)</f>
        <v/>
      </c>
      <c r="Q15" s="34" t="str">
        <f aca="false">IF(F15="","",N(G15)*N15)</f>
        <v/>
      </c>
      <c r="R15" s="35" t="str">
        <f aca="false">IF(F15="","",P15+Q15)</f>
        <v/>
      </c>
      <c r="S15" s="36"/>
      <c r="T15" s="36"/>
      <c r="U15" s="34" t="str">
        <f aca="false">IF(F15="","",N(G15)*N(I15))</f>
        <v/>
      </c>
      <c r="V15" s="34" t="str">
        <f aca="false">IF(F15="","",N(G15)*N(J15))</f>
        <v/>
      </c>
      <c r="W15" s="13" t="str">
        <f aca="false">IF(F15="","",IF(B15="Excluded","",COUNTIFS($F$6:F15,"?*",$B$6:B15,"&lt;&gt;Excluded")))</f>
        <v/>
      </c>
      <c r="X15" s="34" t="str">
        <f aca="false">IF(F15="","",N(G15)*N(I15)/(1-IF(K15="",'Job Info'!$B$39,K15))*IF('Job Info'!$B$38="Yes",'Job Info'!$B$37,0))</f>
        <v/>
      </c>
    </row>
    <row r="16" customFormat="false" ht="15" hidden="false" customHeight="false" outlineLevel="0" collapsed="false">
      <c r="A16" s="13" t="str">
        <f aca="false">IF(F16="","",ROW()-5)</f>
        <v/>
      </c>
      <c r="B16" s="14"/>
      <c r="C16" s="14"/>
      <c r="D16" s="14"/>
      <c r="E16" s="14"/>
      <c r="F16" s="36"/>
      <c r="G16" s="37"/>
      <c r="H16" s="14"/>
      <c r="I16" s="38"/>
      <c r="J16" s="38"/>
      <c r="K16" s="33"/>
      <c r="L16" s="33"/>
      <c r="M16" s="34" t="str">
        <f aca="false">IF(F16="","",N(I16)/(1-IF(K16="",'Job Info'!$B$39,K16))*(1+IF('Job Info'!$B$38="Yes",'Job Info'!$B$37,0)))</f>
        <v/>
      </c>
      <c r="N16" s="34" t="str">
        <f aca="false">IF(F16="","",N(J16)/(1-IF(L16="",'Job Info'!$B$40,L16)))</f>
        <v/>
      </c>
      <c r="O16" s="34" t="str">
        <f aca="false">IF(F16="","",M16+N16)</f>
        <v/>
      </c>
      <c r="P16" s="34" t="str">
        <f aca="false">IF(F16="","",N(G16)*M16)</f>
        <v/>
      </c>
      <c r="Q16" s="34" t="str">
        <f aca="false">IF(F16="","",N(G16)*N16)</f>
        <v/>
      </c>
      <c r="R16" s="35" t="str">
        <f aca="false">IF(F16="","",P16+Q16)</f>
        <v/>
      </c>
      <c r="S16" s="36"/>
      <c r="T16" s="36"/>
      <c r="U16" s="34" t="str">
        <f aca="false">IF(F16="","",N(G16)*N(I16))</f>
        <v/>
      </c>
      <c r="V16" s="34" t="str">
        <f aca="false">IF(F16="","",N(G16)*N(J16))</f>
        <v/>
      </c>
      <c r="W16" s="13" t="str">
        <f aca="false">IF(F16="","",IF(B16="Excluded","",COUNTIFS($F$6:F16,"?*",$B$6:B16,"&lt;&gt;Excluded")))</f>
        <v/>
      </c>
      <c r="X16" s="34" t="str">
        <f aca="false">IF(F16="","",N(G16)*N(I16)/(1-IF(K16="",'Job Info'!$B$39,K16))*IF('Job Info'!$B$38="Yes",'Job Info'!$B$37,0))</f>
        <v/>
      </c>
    </row>
    <row r="17" customFormat="false" ht="15" hidden="false" customHeight="false" outlineLevel="0" collapsed="false">
      <c r="A17" s="13" t="str">
        <f aca="false">IF(F17="","",ROW()-5)</f>
        <v/>
      </c>
      <c r="B17" s="14"/>
      <c r="C17" s="14"/>
      <c r="D17" s="14"/>
      <c r="E17" s="14"/>
      <c r="F17" s="36"/>
      <c r="G17" s="37"/>
      <c r="H17" s="14"/>
      <c r="I17" s="38"/>
      <c r="J17" s="38"/>
      <c r="K17" s="33"/>
      <c r="L17" s="33"/>
      <c r="M17" s="34" t="str">
        <f aca="false">IF(F17="","",N(I17)/(1-IF(K17="",'Job Info'!$B$39,K17))*(1+IF('Job Info'!$B$38="Yes",'Job Info'!$B$37,0)))</f>
        <v/>
      </c>
      <c r="N17" s="34" t="str">
        <f aca="false">IF(F17="","",N(J17)/(1-IF(L17="",'Job Info'!$B$40,L17)))</f>
        <v/>
      </c>
      <c r="O17" s="34" t="str">
        <f aca="false">IF(F17="","",M17+N17)</f>
        <v/>
      </c>
      <c r="P17" s="34" t="str">
        <f aca="false">IF(F17="","",N(G17)*M17)</f>
        <v/>
      </c>
      <c r="Q17" s="34" t="str">
        <f aca="false">IF(F17="","",N(G17)*N17)</f>
        <v/>
      </c>
      <c r="R17" s="35" t="str">
        <f aca="false">IF(F17="","",P17+Q17)</f>
        <v/>
      </c>
      <c r="S17" s="36"/>
      <c r="T17" s="36"/>
      <c r="U17" s="34" t="str">
        <f aca="false">IF(F17="","",N(G17)*N(I17))</f>
        <v/>
      </c>
      <c r="V17" s="34" t="str">
        <f aca="false">IF(F17="","",N(G17)*N(J17))</f>
        <v/>
      </c>
      <c r="W17" s="13" t="str">
        <f aca="false">IF(F17="","",IF(B17="Excluded","",COUNTIFS($F$6:F17,"?*",$B$6:B17,"&lt;&gt;Excluded")))</f>
        <v/>
      </c>
      <c r="X17" s="34" t="str">
        <f aca="false">IF(F17="","",N(G17)*N(I17)/(1-IF(K17="",'Job Info'!$B$39,K17))*IF('Job Info'!$B$38="Yes",'Job Info'!$B$37,0))</f>
        <v/>
      </c>
    </row>
    <row r="18" customFormat="false" ht="15" hidden="false" customHeight="false" outlineLevel="0" collapsed="false">
      <c r="A18" s="13" t="str">
        <f aca="false">IF(F18="","",ROW()-5)</f>
        <v/>
      </c>
      <c r="B18" s="14"/>
      <c r="C18" s="14"/>
      <c r="D18" s="14"/>
      <c r="E18" s="14"/>
      <c r="F18" s="36"/>
      <c r="G18" s="37"/>
      <c r="H18" s="14"/>
      <c r="I18" s="38"/>
      <c r="J18" s="38"/>
      <c r="K18" s="33"/>
      <c r="L18" s="33"/>
      <c r="M18" s="34" t="str">
        <f aca="false">IF(F18="","",N(I18)/(1-IF(K18="",'Job Info'!$B$39,K18))*(1+IF('Job Info'!$B$38="Yes",'Job Info'!$B$37,0)))</f>
        <v/>
      </c>
      <c r="N18" s="34" t="str">
        <f aca="false">IF(F18="","",N(J18)/(1-IF(L18="",'Job Info'!$B$40,L18)))</f>
        <v/>
      </c>
      <c r="O18" s="34" t="str">
        <f aca="false">IF(F18="","",M18+N18)</f>
        <v/>
      </c>
      <c r="P18" s="34" t="str">
        <f aca="false">IF(F18="","",N(G18)*M18)</f>
        <v/>
      </c>
      <c r="Q18" s="34" t="str">
        <f aca="false">IF(F18="","",N(G18)*N18)</f>
        <v/>
      </c>
      <c r="R18" s="35" t="str">
        <f aca="false">IF(F18="","",P18+Q18)</f>
        <v/>
      </c>
      <c r="S18" s="36"/>
      <c r="T18" s="36"/>
      <c r="U18" s="34" t="str">
        <f aca="false">IF(F18="","",N(G18)*N(I18))</f>
        <v/>
      </c>
      <c r="V18" s="34" t="str">
        <f aca="false">IF(F18="","",N(G18)*N(J18))</f>
        <v/>
      </c>
      <c r="W18" s="13" t="str">
        <f aca="false">IF(F18="","",IF(B18="Excluded","",COUNTIFS($F$6:F18,"?*",$B$6:B18,"&lt;&gt;Excluded")))</f>
        <v/>
      </c>
      <c r="X18" s="34" t="str">
        <f aca="false">IF(F18="","",N(G18)*N(I18)/(1-IF(K18="",'Job Info'!$B$39,K18))*IF('Job Info'!$B$38="Yes",'Job Info'!$B$37,0))</f>
        <v/>
      </c>
    </row>
    <row r="19" customFormat="false" ht="15" hidden="false" customHeight="false" outlineLevel="0" collapsed="false">
      <c r="A19" s="13" t="str">
        <f aca="false">IF(F19="","",ROW()-5)</f>
        <v/>
      </c>
      <c r="B19" s="14"/>
      <c r="C19" s="14"/>
      <c r="D19" s="14"/>
      <c r="E19" s="14"/>
      <c r="F19" s="36"/>
      <c r="G19" s="37"/>
      <c r="H19" s="14"/>
      <c r="I19" s="38"/>
      <c r="J19" s="38"/>
      <c r="K19" s="33"/>
      <c r="L19" s="33"/>
      <c r="M19" s="34" t="str">
        <f aca="false">IF(F19="","",N(I19)/(1-IF(K19="",'Job Info'!$B$39,K19))*(1+IF('Job Info'!$B$38="Yes",'Job Info'!$B$37,0)))</f>
        <v/>
      </c>
      <c r="N19" s="34" t="str">
        <f aca="false">IF(F19="","",N(J19)/(1-IF(L19="",'Job Info'!$B$40,L19)))</f>
        <v/>
      </c>
      <c r="O19" s="34" t="str">
        <f aca="false">IF(F19="","",M19+N19)</f>
        <v/>
      </c>
      <c r="P19" s="34" t="str">
        <f aca="false">IF(F19="","",N(G19)*M19)</f>
        <v/>
      </c>
      <c r="Q19" s="34" t="str">
        <f aca="false">IF(F19="","",N(G19)*N19)</f>
        <v/>
      </c>
      <c r="R19" s="35" t="str">
        <f aca="false">IF(F19="","",P19+Q19)</f>
        <v/>
      </c>
      <c r="S19" s="36"/>
      <c r="T19" s="36"/>
      <c r="U19" s="34" t="str">
        <f aca="false">IF(F19="","",N(G19)*N(I19))</f>
        <v/>
      </c>
      <c r="V19" s="34" t="str">
        <f aca="false">IF(F19="","",N(G19)*N(J19))</f>
        <v/>
      </c>
      <c r="W19" s="13" t="str">
        <f aca="false">IF(F19="","",IF(B19="Excluded","",COUNTIFS($F$6:F19,"?*",$B$6:B19,"&lt;&gt;Excluded")))</f>
        <v/>
      </c>
      <c r="X19" s="34" t="str">
        <f aca="false">IF(F19="","",N(G19)*N(I19)/(1-IF(K19="",'Job Info'!$B$39,K19))*IF('Job Info'!$B$38="Yes",'Job Info'!$B$37,0))</f>
        <v/>
      </c>
    </row>
    <row r="20" customFormat="false" ht="15" hidden="false" customHeight="false" outlineLevel="0" collapsed="false">
      <c r="A20" s="13" t="str">
        <f aca="false">IF(F20="","",ROW()-5)</f>
        <v/>
      </c>
      <c r="B20" s="14"/>
      <c r="C20" s="14"/>
      <c r="D20" s="14"/>
      <c r="E20" s="14"/>
      <c r="F20" s="36"/>
      <c r="G20" s="37"/>
      <c r="H20" s="14"/>
      <c r="I20" s="38"/>
      <c r="J20" s="38"/>
      <c r="K20" s="33"/>
      <c r="L20" s="33"/>
      <c r="M20" s="34" t="str">
        <f aca="false">IF(F20="","",N(I20)/(1-IF(K20="",'Job Info'!$B$39,K20))*(1+IF('Job Info'!$B$38="Yes",'Job Info'!$B$37,0)))</f>
        <v/>
      </c>
      <c r="N20" s="34" t="str">
        <f aca="false">IF(F20="","",N(J20)/(1-IF(L20="",'Job Info'!$B$40,L20)))</f>
        <v/>
      </c>
      <c r="O20" s="34" t="str">
        <f aca="false">IF(F20="","",M20+N20)</f>
        <v/>
      </c>
      <c r="P20" s="34" t="str">
        <f aca="false">IF(F20="","",N(G20)*M20)</f>
        <v/>
      </c>
      <c r="Q20" s="34" t="str">
        <f aca="false">IF(F20="","",N(G20)*N20)</f>
        <v/>
      </c>
      <c r="R20" s="35" t="str">
        <f aca="false">IF(F20="","",P20+Q20)</f>
        <v/>
      </c>
      <c r="S20" s="36"/>
      <c r="T20" s="36"/>
      <c r="U20" s="34" t="str">
        <f aca="false">IF(F20="","",N(G20)*N(I20))</f>
        <v/>
      </c>
      <c r="V20" s="34" t="str">
        <f aca="false">IF(F20="","",N(G20)*N(J20))</f>
        <v/>
      </c>
      <c r="W20" s="13" t="str">
        <f aca="false">IF(F20="","",IF(B20="Excluded","",COUNTIFS($F$6:F20,"?*",$B$6:B20,"&lt;&gt;Excluded")))</f>
        <v/>
      </c>
      <c r="X20" s="34" t="str">
        <f aca="false">IF(F20="","",N(G20)*N(I20)/(1-IF(K20="",'Job Info'!$B$39,K20))*IF('Job Info'!$B$38="Yes",'Job Info'!$B$37,0))</f>
        <v/>
      </c>
    </row>
    <row r="21" customFormat="false" ht="15" hidden="false" customHeight="false" outlineLevel="0" collapsed="false">
      <c r="A21" s="13" t="str">
        <f aca="false">IF(F21="","",ROW()-5)</f>
        <v/>
      </c>
      <c r="B21" s="14"/>
      <c r="C21" s="14"/>
      <c r="D21" s="14"/>
      <c r="E21" s="14"/>
      <c r="F21" s="36"/>
      <c r="G21" s="37"/>
      <c r="H21" s="14"/>
      <c r="I21" s="38"/>
      <c r="J21" s="38"/>
      <c r="K21" s="33"/>
      <c r="L21" s="33"/>
      <c r="M21" s="34" t="str">
        <f aca="false">IF(F21="","",N(I21)/(1-IF(K21="",'Job Info'!$B$39,K21))*(1+IF('Job Info'!$B$38="Yes",'Job Info'!$B$37,0)))</f>
        <v/>
      </c>
      <c r="N21" s="34" t="str">
        <f aca="false">IF(F21="","",N(J21)/(1-IF(L21="",'Job Info'!$B$40,L21)))</f>
        <v/>
      </c>
      <c r="O21" s="34" t="str">
        <f aca="false">IF(F21="","",M21+N21)</f>
        <v/>
      </c>
      <c r="P21" s="34" t="str">
        <f aca="false">IF(F21="","",N(G21)*M21)</f>
        <v/>
      </c>
      <c r="Q21" s="34" t="str">
        <f aca="false">IF(F21="","",N(G21)*N21)</f>
        <v/>
      </c>
      <c r="R21" s="35" t="str">
        <f aca="false">IF(F21="","",P21+Q21)</f>
        <v/>
      </c>
      <c r="S21" s="36"/>
      <c r="T21" s="36"/>
      <c r="U21" s="34" t="str">
        <f aca="false">IF(F21="","",N(G21)*N(I21))</f>
        <v/>
      </c>
      <c r="V21" s="34" t="str">
        <f aca="false">IF(F21="","",N(G21)*N(J21))</f>
        <v/>
      </c>
      <c r="W21" s="13" t="str">
        <f aca="false">IF(F21="","",IF(B21="Excluded","",COUNTIFS($F$6:F21,"?*",$B$6:B21,"&lt;&gt;Excluded")))</f>
        <v/>
      </c>
      <c r="X21" s="34" t="str">
        <f aca="false">IF(F21="","",N(G21)*N(I21)/(1-IF(K21="",'Job Info'!$B$39,K21))*IF('Job Info'!$B$38="Yes",'Job Info'!$B$37,0))</f>
        <v/>
      </c>
    </row>
    <row r="22" customFormat="false" ht="15" hidden="false" customHeight="false" outlineLevel="0" collapsed="false">
      <c r="A22" s="13" t="str">
        <f aca="false">IF(F22="","",ROW()-5)</f>
        <v/>
      </c>
      <c r="B22" s="14"/>
      <c r="C22" s="14"/>
      <c r="D22" s="14"/>
      <c r="E22" s="14"/>
      <c r="F22" s="36"/>
      <c r="G22" s="37"/>
      <c r="H22" s="14"/>
      <c r="I22" s="38"/>
      <c r="J22" s="38"/>
      <c r="K22" s="33"/>
      <c r="L22" s="33"/>
      <c r="M22" s="34" t="str">
        <f aca="false">IF(F22="","",N(I22)/(1-IF(K22="",'Job Info'!$B$39,K22))*(1+IF('Job Info'!$B$38="Yes",'Job Info'!$B$37,0)))</f>
        <v/>
      </c>
      <c r="N22" s="34" t="str">
        <f aca="false">IF(F22="","",N(J22)/(1-IF(L22="",'Job Info'!$B$40,L22)))</f>
        <v/>
      </c>
      <c r="O22" s="34" t="str">
        <f aca="false">IF(F22="","",M22+N22)</f>
        <v/>
      </c>
      <c r="P22" s="34" t="str">
        <f aca="false">IF(F22="","",N(G22)*M22)</f>
        <v/>
      </c>
      <c r="Q22" s="34" t="str">
        <f aca="false">IF(F22="","",N(G22)*N22)</f>
        <v/>
      </c>
      <c r="R22" s="35" t="str">
        <f aca="false">IF(F22="","",P22+Q22)</f>
        <v/>
      </c>
      <c r="S22" s="36"/>
      <c r="T22" s="36"/>
      <c r="U22" s="34" t="str">
        <f aca="false">IF(F22="","",N(G22)*N(I22))</f>
        <v/>
      </c>
      <c r="V22" s="34" t="str">
        <f aca="false">IF(F22="","",N(G22)*N(J22))</f>
        <v/>
      </c>
      <c r="W22" s="13" t="str">
        <f aca="false">IF(F22="","",IF(B22="Excluded","",COUNTIFS($F$6:F22,"?*",$B$6:B22,"&lt;&gt;Excluded")))</f>
        <v/>
      </c>
      <c r="X22" s="34" t="str">
        <f aca="false">IF(F22="","",N(G22)*N(I22)/(1-IF(K22="",'Job Info'!$B$39,K22))*IF('Job Info'!$B$38="Yes",'Job Info'!$B$37,0))</f>
        <v/>
      </c>
    </row>
    <row r="23" customFormat="false" ht="15" hidden="false" customHeight="false" outlineLevel="0" collapsed="false">
      <c r="A23" s="13" t="str">
        <f aca="false">IF(F23="","",ROW()-5)</f>
        <v/>
      </c>
      <c r="B23" s="14"/>
      <c r="C23" s="14"/>
      <c r="D23" s="14"/>
      <c r="E23" s="14"/>
      <c r="F23" s="36"/>
      <c r="G23" s="37"/>
      <c r="H23" s="14"/>
      <c r="I23" s="38"/>
      <c r="J23" s="38"/>
      <c r="K23" s="33"/>
      <c r="L23" s="33"/>
      <c r="M23" s="34" t="str">
        <f aca="false">IF(F23="","",N(I23)/(1-IF(K23="",'Job Info'!$B$39,K23))*(1+IF('Job Info'!$B$38="Yes",'Job Info'!$B$37,0)))</f>
        <v/>
      </c>
      <c r="N23" s="34" t="str">
        <f aca="false">IF(F23="","",N(J23)/(1-IF(L23="",'Job Info'!$B$40,L23)))</f>
        <v/>
      </c>
      <c r="O23" s="34" t="str">
        <f aca="false">IF(F23="","",M23+N23)</f>
        <v/>
      </c>
      <c r="P23" s="34" t="str">
        <f aca="false">IF(F23="","",N(G23)*M23)</f>
        <v/>
      </c>
      <c r="Q23" s="34" t="str">
        <f aca="false">IF(F23="","",N(G23)*N23)</f>
        <v/>
      </c>
      <c r="R23" s="35" t="str">
        <f aca="false">IF(F23="","",P23+Q23)</f>
        <v/>
      </c>
      <c r="S23" s="36"/>
      <c r="T23" s="36"/>
      <c r="U23" s="34" t="str">
        <f aca="false">IF(F23="","",N(G23)*N(I23))</f>
        <v/>
      </c>
      <c r="V23" s="34" t="str">
        <f aca="false">IF(F23="","",N(G23)*N(J23))</f>
        <v/>
      </c>
      <c r="W23" s="13" t="str">
        <f aca="false">IF(F23="","",IF(B23="Excluded","",COUNTIFS($F$6:F23,"?*",$B$6:B23,"&lt;&gt;Excluded")))</f>
        <v/>
      </c>
      <c r="X23" s="34" t="str">
        <f aca="false">IF(F23="","",N(G23)*N(I23)/(1-IF(K23="",'Job Info'!$B$39,K23))*IF('Job Info'!$B$38="Yes",'Job Info'!$B$37,0))</f>
        <v/>
      </c>
    </row>
    <row r="24" customFormat="false" ht="15" hidden="false" customHeight="false" outlineLevel="0" collapsed="false">
      <c r="A24" s="13" t="str">
        <f aca="false">IF(F24="","",ROW()-5)</f>
        <v/>
      </c>
      <c r="B24" s="14"/>
      <c r="C24" s="14"/>
      <c r="D24" s="14"/>
      <c r="E24" s="14"/>
      <c r="F24" s="36"/>
      <c r="G24" s="37"/>
      <c r="H24" s="14"/>
      <c r="I24" s="38"/>
      <c r="J24" s="38"/>
      <c r="K24" s="33"/>
      <c r="L24" s="33"/>
      <c r="M24" s="34" t="str">
        <f aca="false">IF(F24="","",N(I24)/(1-IF(K24="",'Job Info'!$B$39,K24))*(1+IF('Job Info'!$B$38="Yes",'Job Info'!$B$37,0)))</f>
        <v/>
      </c>
      <c r="N24" s="34" t="str">
        <f aca="false">IF(F24="","",N(J24)/(1-IF(L24="",'Job Info'!$B$40,L24)))</f>
        <v/>
      </c>
      <c r="O24" s="34" t="str">
        <f aca="false">IF(F24="","",M24+N24)</f>
        <v/>
      </c>
      <c r="P24" s="34" t="str">
        <f aca="false">IF(F24="","",N(G24)*M24)</f>
        <v/>
      </c>
      <c r="Q24" s="34" t="str">
        <f aca="false">IF(F24="","",N(G24)*N24)</f>
        <v/>
      </c>
      <c r="R24" s="35" t="str">
        <f aca="false">IF(F24="","",P24+Q24)</f>
        <v/>
      </c>
      <c r="S24" s="36"/>
      <c r="T24" s="36"/>
      <c r="U24" s="34" t="str">
        <f aca="false">IF(F24="","",N(G24)*N(I24))</f>
        <v/>
      </c>
      <c r="V24" s="34" t="str">
        <f aca="false">IF(F24="","",N(G24)*N(J24))</f>
        <v/>
      </c>
      <c r="W24" s="13" t="str">
        <f aca="false">IF(F24="","",IF(B24="Excluded","",COUNTIFS($F$6:F24,"?*",$B$6:B24,"&lt;&gt;Excluded")))</f>
        <v/>
      </c>
      <c r="X24" s="34" t="str">
        <f aca="false">IF(F24="","",N(G24)*N(I24)/(1-IF(K24="",'Job Info'!$B$39,K24))*IF('Job Info'!$B$38="Yes",'Job Info'!$B$37,0))</f>
        <v/>
      </c>
    </row>
    <row r="25" customFormat="false" ht="15" hidden="false" customHeight="false" outlineLevel="0" collapsed="false">
      <c r="A25" s="13" t="str">
        <f aca="false">IF(F25="","",ROW()-5)</f>
        <v/>
      </c>
      <c r="B25" s="14"/>
      <c r="C25" s="14"/>
      <c r="D25" s="14"/>
      <c r="E25" s="14"/>
      <c r="F25" s="36"/>
      <c r="G25" s="37"/>
      <c r="H25" s="14"/>
      <c r="I25" s="38"/>
      <c r="J25" s="38"/>
      <c r="K25" s="33"/>
      <c r="L25" s="33"/>
      <c r="M25" s="34" t="str">
        <f aca="false">IF(F25="","",N(I25)/(1-IF(K25="",'Job Info'!$B$39,K25))*(1+IF('Job Info'!$B$38="Yes",'Job Info'!$B$37,0)))</f>
        <v/>
      </c>
      <c r="N25" s="34" t="str">
        <f aca="false">IF(F25="","",N(J25)/(1-IF(L25="",'Job Info'!$B$40,L25)))</f>
        <v/>
      </c>
      <c r="O25" s="34" t="str">
        <f aca="false">IF(F25="","",M25+N25)</f>
        <v/>
      </c>
      <c r="P25" s="34" t="str">
        <f aca="false">IF(F25="","",N(G25)*M25)</f>
        <v/>
      </c>
      <c r="Q25" s="34" t="str">
        <f aca="false">IF(F25="","",N(G25)*N25)</f>
        <v/>
      </c>
      <c r="R25" s="35" t="str">
        <f aca="false">IF(F25="","",P25+Q25)</f>
        <v/>
      </c>
      <c r="S25" s="36"/>
      <c r="T25" s="36"/>
      <c r="U25" s="34" t="str">
        <f aca="false">IF(F25="","",N(G25)*N(I25))</f>
        <v/>
      </c>
      <c r="V25" s="34" t="str">
        <f aca="false">IF(F25="","",N(G25)*N(J25))</f>
        <v/>
      </c>
      <c r="W25" s="13" t="str">
        <f aca="false">IF(F25="","",IF(B25="Excluded","",COUNTIFS($F$6:F25,"?*",$B$6:B25,"&lt;&gt;Excluded")))</f>
        <v/>
      </c>
      <c r="X25" s="34" t="str">
        <f aca="false">IF(F25="","",N(G25)*N(I25)/(1-IF(K25="",'Job Info'!$B$39,K25))*IF('Job Info'!$B$38="Yes",'Job Info'!$B$37,0))</f>
        <v/>
      </c>
    </row>
    <row r="26" customFormat="false" ht="15" hidden="false" customHeight="false" outlineLevel="0" collapsed="false">
      <c r="A26" s="13" t="str">
        <f aca="false">IF(F26="","",ROW()-5)</f>
        <v/>
      </c>
      <c r="B26" s="14"/>
      <c r="C26" s="14"/>
      <c r="D26" s="14"/>
      <c r="E26" s="14"/>
      <c r="F26" s="36"/>
      <c r="G26" s="37"/>
      <c r="H26" s="14"/>
      <c r="I26" s="38"/>
      <c r="J26" s="38"/>
      <c r="K26" s="33"/>
      <c r="L26" s="33"/>
      <c r="M26" s="34" t="str">
        <f aca="false">IF(F26="","",N(I26)/(1-IF(K26="",'Job Info'!$B$39,K26))*(1+IF('Job Info'!$B$38="Yes",'Job Info'!$B$37,0)))</f>
        <v/>
      </c>
      <c r="N26" s="34" t="str">
        <f aca="false">IF(F26="","",N(J26)/(1-IF(L26="",'Job Info'!$B$40,L26)))</f>
        <v/>
      </c>
      <c r="O26" s="34" t="str">
        <f aca="false">IF(F26="","",M26+N26)</f>
        <v/>
      </c>
      <c r="P26" s="34" t="str">
        <f aca="false">IF(F26="","",N(G26)*M26)</f>
        <v/>
      </c>
      <c r="Q26" s="34" t="str">
        <f aca="false">IF(F26="","",N(G26)*N26)</f>
        <v/>
      </c>
      <c r="R26" s="35" t="str">
        <f aca="false">IF(F26="","",P26+Q26)</f>
        <v/>
      </c>
      <c r="S26" s="36"/>
      <c r="T26" s="36"/>
      <c r="U26" s="34" t="str">
        <f aca="false">IF(F26="","",N(G26)*N(I26))</f>
        <v/>
      </c>
      <c r="V26" s="34" t="str">
        <f aca="false">IF(F26="","",N(G26)*N(J26))</f>
        <v/>
      </c>
      <c r="W26" s="13" t="str">
        <f aca="false">IF(F26="","",IF(B26="Excluded","",COUNTIFS($F$6:F26,"?*",$B$6:B26,"&lt;&gt;Excluded")))</f>
        <v/>
      </c>
      <c r="X26" s="34" t="str">
        <f aca="false">IF(F26="","",N(G26)*N(I26)/(1-IF(K26="",'Job Info'!$B$39,K26))*IF('Job Info'!$B$38="Yes",'Job Info'!$B$37,0))</f>
        <v/>
      </c>
    </row>
    <row r="27" customFormat="false" ht="15" hidden="false" customHeight="false" outlineLevel="0" collapsed="false">
      <c r="A27" s="13" t="str">
        <f aca="false">IF(F27="","",ROW()-5)</f>
        <v/>
      </c>
      <c r="B27" s="14"/>
      <c r="C27" s="14"/>
      <c r="D27" s="14"/>
      <c r="E27" s="14"/>
      <c r="F27" s="36"/>
      <c r="G27" s="37"/>
      <c r="H27" s="14"/>
      <c r="I27" s="38"/>
      <c r="J27" s="38"/>
      <c r="K27" s="33"/>
      <c r="L27" s="33"/>
      <c r="M27" s="34" t="str">
        <f aca="false">IF(F27="","",N(I27)/(1-IF(K27="",'Job Info'!$B$39,K27))*(1+IF('Job Info'!$B$38="Yes",'Job Info'!$B$37,0)))</f>
        <v/>
      </c>
      <c r="N27" s="34" t="str">
        <f aca="false">IF(F27="","",N(J27)/(1-IF(L27="",'Job Info'!$B$40,L27)))</f>
        <v/>
      </c>
      <c r="O27" s="34" t="str">
        <f aca="false">IF(F27="","",M27+N27)</f>
        <v/>
      </c>
      <c r="P27" s="34" t="str">
        <f aca="false">IF(F27="","",N(G27)*M27)</f>
        <v/>
      </c>
      <c r="Q27" s="34" t="str">
        <f aca="false">IF(F27="","",N(G27)*N27)</f>
        <v/>
      </c>
      <c r="R27" s="35" t="str">
        <f aca="false">IF(F27="","",P27+Q27)</f>
        <v/>
      </c>
      <c r="S27" s="36"/>
      <c r="T27" s="36"/>
      <c r="U27" s="34" t="str">
        <f aca="false">IF(F27="","",N(G27)*N(I27))</f>
        <v/>
      </c>
      <c r="V27" s="34" t="str">
        <f aca="false">IF(F27="","",N(G27)*N(J27))</f>
        <v/>
      </c>
      <c r="W27" s="13" t="str">
        <f aca="false">IF(F27="","",IF(B27="Excluded","",COUNTIFS($F$6:F27,"?*",$B$6:B27,"&lt;&gt;Excluded")))</f>
        <v/>
      </c>
      <c r="X27" s="34" t="str">
        <f aca="false">IF(F27="","",N(G27)*N(I27)/(1-IF(K27="",'Job Info'!$B$39,K27))*IF('Job Info'!$B$38="Yes",'Job Info'!$B$37,0))</f>
        <v/>
      </c>
    </row>
    <row r="28" customFormat="false" ht="15" hidden="false" customHeight="false" outlineLevel="0" collapsed="false">
      <c r="A28" s="13" t="str">
        <f aca="false">IF(F28="","",ROW()-5)</f>
        <v/>
      </c>
      <c r="B28" s="14"/>
      <c r="C28" s="14"/>
      <c r="D28" s="14"/>
      <c r="E28" s="14"/>
      <c r="F28" s="36"/>
      <c r="G28" s="37"/>
      <c r="H28" s="14"/>
      <c r="I28" s="38"/>
      <c r="J28" s="38"/>
      <c r="K28" s="33"/>
      <c r="L28" s="33"/>
      <c r="M28" s="34" t="str">
        <f aca="false">IF(F28="","",N(I28)/(1-IF(K28="",'Job Info'!$B$39,K28))*(1+IF('Job Info'!$B$38="Yes",'Job Info'!$B$37,0)))</f>
        <v/>
      </c>
      <c r="N28" s="34" t="str">
        <f aca="false">IF(F28="","",N(J28)/(1-IF(L28="",'Job Info'!$B$40,L28)))</f>
        <v/>
      </c>
      <c r="O28" s="34" t="str">
        <f aca="false">IF(F28="","",M28+N28)</f>
        <v/>
      </c>
      <c r="P28" s="34" t="str">
        <f aca="false">IF(F28="","",N(G28)*M28)</f>
        <v/>
      </c>
      <c r="Q28" s="34" t="str">
        <f aca="false">IF(F28="","",N(G28)*N28)</f>
        <v/>
      </c>
      <c r="R28" s="35" t="str">
        <f aca="false">IF(F28="","",P28+Q28)</f>
        <v/>
      </c>
      <c r="S28" s="36"/>
      <c r="T28" s="36"/>
      <c r="U28" s="34" t="str">
        <f aca="false">IF(F28="","",N(G28)*N(I28))</f>
        <v/>
      </c>
      <c r="V28" s="34" t="str">
        <f aca="false">IF(F28="","",N(G28)*N(J28))</f>
        <v/>
      </c>
      <c r="W28" s="13" t="str">
        <f aca="false">IF(F28="","",IF(B28="Excluded","",COUNTIFS($F$6:F28,"?*",$B$6:B28,"&lt;&gt;Excluded")))</f>
        <v/>
      </c>
      <c r="X28" s="34" t="str">
        <f aca="false">IF(F28="","",N(G28)*N(I28)/(1-IF(K28="",'Job Info'!$B$39,K28))*IF('Job Info'!$B$38="Yes",'Job Info'!$B$37,0))</f>
        <v/>
      </c>
    </row>
    <row r="29" customFormat="false" ht="15" hidden="false" customHeight="false" outlineLevel="0" collapsed="false">
      <c r="A29" s="13" t="str">
        <f aca="false">IF(F29="","",ROW()-5)</f>
        <v/>
      </c>
      <c r="B29" s="14"/>
      <c r="C29" s="14"/>
      <c r="D29" s="14"/>
      <c r="E29" s="14"/>
      <c r="F29" s="36"/>
      <c r="G29" s="37"/>
      <c r="H29" s="14"/>
      <c r="I29" s="38"/>
      <c r="J29" s="38"/>
      <c r="K29" s="33"/>
      <c r="L29" s="33"/>
      <c r="M29" s="34" t="str">
        <f aca="false">IF(F29="","",N(I29)/(1-IF(K29="",'Job Info'!$B$39,K29))*(1+IF('Job Info'!$B$38="Yes",'Job Info'!$B$37,0)))</f>
        <v/>
      </c>
      <c r="N29" s="34" t="str">
        <f aca="false">IF(F29="","",N(J29)/(1-IF(L29="",'Job Info'!$B$40,L29)))</f>
        <v/>
      </c>
      <c r="O29" s="34" t="str">
        <f aca="false">IF(F29="","",M29+N29)</f>
        <v/>
      </c>
      <c r="P29" s="34" t="str">
        <f aca="false">IF(F29="","",N(G29)*M29)</f>
        <v/>
      </c>
      <c r="Q29" s="34" t="str">
        <f aca="false">IF(F29="","",N(G29)*N29)</f>
        <v/>
      </c>
      <c r="R29" s="35" t="str">
        <f aca="false">IF(F29="","",P29+Q29)</f>
        <v/>
      </c>
      <c r="S29" s="36"/>
      <c r="T29" s="36"/>
      <c r="U29" s="34" t="str">
        <f aca="false">IF(F29="","",N(G29)*N(I29))</f>
        <v/>
      </c>
      <c r="V29" s="34" t="str">
        <f aca="false">IF(F29="","",N(G29)*N(J29))</f>
        <v/>
      </c>
      <c r="W29" s="13" t="str">
        <f aca="false">IF(F29="","",IF(B29="Excluded","",COUNTIFS($F$6:F29,"?*",$B$6:B29,"&lt;&gt;Excluded")))</f>
        <v/>
      </c>
      <c r="X29" s="34" t="str">
        <f aca="false">IF(F29="","",N(G29)*N(I29)/(1-IF(K29="",'Job Info'!$B$39,K29))*IF('Job Info'!$B$38="Yes",'Job Info'!$B$37,0))</f>
        <v/>
      </c>
    </row>
    <row r="30" customFormat="false" ht="15" hidden="false" customHeight="false" outlineLevel="0" collapsed="false">
      <c r="A30" s="13" t="str">
        <f aca="false">IF(F30="","",ROW()-5)</f>
        <v/>
      </c>
      <c r="B30" s="14"/>
      <c r="C30" s="14"/>
      <c r="D30" s="14"/>
      <c r="E30" s="14"/>
      <c r="F30" s="36"/>
      <c r="G30" s="37"/>
      <c r="H30" s="14"/>
      <c r="I30" s="38"/>
      <c r="J30" s="38"/>
      <c r="K30" s="33"/>
      <c r="L30" s="33"/>
      <c r="M30" s="34" t="str">
        <f aca="false">IF(F30="","",N(I30)/(1-IF(K30="",'Job Info'!$B$39,K30))*(1+IF('Job Info'!$B$38="Yes",'Job Info'!$B$37,0)))</f>
        <v/>
      </c>
      <c r="N30" s="34" t="str">
        <f aca="false">IF(F30="","",N(J30)/(1-IF(L30="",'Job Info'!$B$40,L30)))</f>
        <v/>
      </c>
      <c r="O30" s="34" t="str">
        <f aca="false">IF(F30="","",M30+N30)</f>
        <v/>
      </c>
      <c r="P30" s="34" t="str">
        <f aca="false">IF(F30="","",N(G30)*M30)</f>
        <v/>
      </c>
      <c r="Q30" s="34" t="str">
        <f aca="false">IF(F30="","",N(G30)*N30)</f>
        <v/>
      </c>
      <c r="R30" s="35" t="str">
        <f aca="false">IF(F30="","",P30+Q30)</f>
        <v/>
      </c>
      <c r="S30" s="36"/>
      <c r="T30" s="36"/>
      <c r="U30" s="34" t="str">
        <f aca="false">IF(F30="","",N(G30)*N(I30))</f>
        <v/>
      </c>
      <c r="V30" s="34" t="str">
        <f aca="false">IF(F30="","",N(G30)*N(J30))</f>
        <v/>
      </c>
      <c r="W30" s="13" t="str">
        <f aca="false">IF(F30="","",IF(B30="Excluded","",COUNTIFS($F$6:F30,"?*",$B$6:B30,"&lt;&gt;Excluded")))</f>
        <v/>
      </c>
      <c r="X30" s="34" t="str">
        <f aca="false">IF(F30="","",N(G30)*N(I30)/(1-IF(K30="",'Job Info'!$B$39,K30))*IF('Job Info'!$B$38="Yes",'Job Info'!$B$37,0))</f>
        <v/>
      </c>
    </row>
    <row r="31" customFormat="false" ht="15" hidden="false" customHeight="false" outlineLevel="0" collapsed="false">
      <c r="A31" s="13" t="str">
        <f aca="false">IF(F31="","",ROW()-5)</f>
        <v/>
      </c>
      <c r="B31" s="14"/>
      <c r="C31" s="14"/>
      <c r="D31" s="14"/>
      <c r="E31" s="14"/>
      <c r="F31" s="36"/>
      <c r="G31" s="37"/>
      <c r="H31" s="14"/>
      <c r="I31" s="38"/>
      <c r="J31" s="38"/>
      <c r="K31" s="33"/>
      <c r="L31" s="33"/>
      <c r="M31" s="34" t="str">
        <f aca="false">IF(F31="","",N(I31)/(1-IF(K31="",'Job Info'!$B$39,K31))*(1+IF('Job Info'!$B$38="Yes",'Job Info'!$B$37,0)))</f>
        <v/>
      </c>
      <c r="N31" s="34" t="str">
        <f aca="false">IF(F31="","",N(J31)/(1-IF(L31="",'Job Info'!$B$40,L31)))</f>
        <v/>
      </c>
      <c r="O31" s="34" t="str">
        <f aca="false">IF(F31="","",M31+N31)</f>
        <v/>
      </c>
      <c r="P31" s="34" t="str">
        <f aca="false">IF(F31="","",N(G31)*M31)</f>
        <v/>
      </c>
      <c r="Q31" s="34" t="str">
        <f aca="false">IF(F31="","",N(G31)*N31)</f>
        <v/>
      </c>
      <c r="R31" s="35" t="str">
        <f aca="false">IF(F31="","",P31+Q31)</f>
        <v/>
      </c>
      <c r="S31" s="36"/>
      <c r="T31" s="36"/>
      <c r="U31" s="34" t="str">
        <f aca="false">IF(F31="","",N(G31)*N(I31))</f>
        <v/>
      </c>
      <c r="V31" s="34" t="str">
        <f aca="false">IF(F31="","",N(G31)*N(J31))</f>
        <v/>
      </c>
      <c r="W31" s="13" t="str">
        <f aca="false">IF(F31="","",IF(B31="Excluded","",COUNTIFS($F$6:F31,"?*",$B$6:B31,"&lt;&gt;Excluded")))</f>
        <v/>
      </c>
      <c r="X31" s="34" t="str">
        <f aca="false">IF(F31="","",N(G31)*N(I31)/(1-IF(K31="",'Job Info'!$B$39,K31))*IF('Job Info'!$B$38="Yes",'Job Info'!$B$37,0))</f>
        <v/>
      </c>
    </row>
    <row r="32" customFormat="false" ht="15" hidden="false" customHeight="false" outlineLevel="0" collapsed="false">
      <c r="A32" s="13" t="str">
        <f aca="false">IF(F32="","",ROW()-5)</f>
        <v/>
      </c>
      <c r="B32" s="14"/>
      <c r="C32" s="14"/>
      <c r="D32" s="14"/>
      <c r="E32" s="14"/>
      <c r="F32" s="36"/>
      <c r="G32" s="37"/>
      <c r="H32" s="14"/>
      <c r="I32" s="38"/>
      <c r="J32" s="38"/>
      <c r="K32" s="33"/>
      <c r="L32" s="33"/>
      <c r="M32" s="34" t="str">
        <f aca="false">IF(F32="","",N(I32)/(1-IF(K32="",'Job Info'!$B$39,K32))*(1+IF('Job Info'!$B$38="Yes",'Job Info'!$B$37,0)))</f>
        <v/>
      </c>
      <c r="N32" s="34" t="str">
        <f aca="false">IF(F32="","",N(J32)/(1-IF(L32="",'Job Info'!$B$40,L32)))</f>
        <v/>
      </c>
      <c r="O32" s="34" t="str">
        <f aca="false">IF(F32="","",M32+N32)</f>
        <v/>
      </c>
      <c r="P32" s="34" t="str">
        <f aca="false">IF(F32="","",N(G32)*M32)</f>
        <v/>
      </c>
      <c r="Q32" s="34" t="str">
        <f aca="false">IF(F32="","",N(G32)*N32)</f>
        <v/>
      </c>
      <c r="R32" s="35" t="str">
        <f aca="false">IF(F32="","",P32+Q32)</f>
        <v/>
      </c>
      <c r="S32" s="36"/>
      <c r="T32" s="36"/>
      <c r="U32" s="34" t="str">
        <f aca="false">IF(F32="","",N(G32)*N(I32))</f>
        <v/>
      </c>
      <c r="V32" s="34" t="str">
        <f aca="false">IF(F32="","",N(G32)*N(J32))</f>
        <v/>
      </c>
      <c r="W32" s="13" t="str">
        <f aca="false">IF(F32="","",IF(B32="Excluded","",COUNTIFS($F$6:F32,"?*",$B$6:B32,"&lt;&gt;Excluded")))</f>
        <v/>
      </c>
      <c r="X32" s="34" t="str">
        <f aca="false">IF(F32="","",N(G32)*N(I32)/(1-IF(K32="",'Job Info'!$B$39,K32))*IF('Job Info'!$B$38="Yes",'Job Info'!$B$37,0))</f>
        <v/>
      </c>
    </row>
    <row r="33" customFormat="false" ht="15" hidden="false" customHeight="false" outlineLevel="0" collapsed="false">
      <c r="A33" s="13" t="str">
        <f aca="false">IF(F33="","",ROW()-5)</f>
        <v/>
      </c>
      <c r="B33" s="14"/>
      <c r="C33" s="14"/>
      <c r="D33" s="14"/>
      <c r="E33" s="14"/>
      <c r="F33" s="36"/>
      <c r="G33" s="37"/>
      <c r="H33" s="14"/>
      <c r="I33" s="38"/>
      <c r="J33" s="38"/>
      <c r="K33" s="33"/>
      <c r="L33" s="33"/>
      <c r="M33" s="34" t="str">
        <f aca="false">IF(F33="","",N(I33)/(1-IF(K33="",'Job Info'!$B$39,K33))*(1+IF('Job Info'!$B$38="Yes",'Job Info'!$B$37,0)))</f>
        <v/>
      </c>
      <c r="N33" s="34" t="str">
        <f aca="false">IF(F33="","",N(J33)/(1-IF(L33="",'Job Info'!$B$40,L33)))</f>
        <v/>
      </c>
      <c r="O33" s="34" t="str">
        <f aca="false">IF(F33="","",M33+N33)</f>
        <v/>
      </c>
      <c r="P33" s="34" t="str">
        <f aca="false">IF(F33="","",N(G33)*M33)</f>
        <v/>
      </c>
      <c r="Q33" s="34" t="str">
        <f aca="false">IF(F33="","",N(G33)*N33)</f>
        <v/>
      </c>
      <c r="R33" s="35" t="str">
        <f aca="false">IF(F33="","",P33+Q33)</f>
        <v/>
      </c>
      <c r="S33" s="36"/>
      <c r="T33" s="36"/>
      <c r="U33" s="34" t="str">
        <f aca="false">IF(F33="","",N(G33)*N(I33))</f>
        <v/>
      </c>
      <c r="V33" s="34" t="str">
        <f aca="false">IF(F33="","",N(G33)*N(J33))</f>
        <v/>
      </c>
      <c r="W33" s="13" t="str">
        <f aca="false">IF(F33="","",IF(B33="Excluded","",COUNTIFS($F$6:F33,"?*",$B$6:B33,"&lt;&gt;Excluded")))</f>
        <v/>
      </c>
      <c r="X33" s="34" t="str">
        <f aca="false">IF(F33="","",N(G33)*N(I33)/(1-IF(K33="",'Job Info'!$B$39,K33))*IF('Job Info'!$B$38="Yes",'Job Info'!$B$37,0))</f>
        <v/>
      </c>
    </row>
    <row r="34" customFormat="false" ht="15" hidden="false" customHeight="false" outlineLevel="0" collapsed="false">
      <c r="A34" s="13" t="str">
        <f aca="false">IF(F34="","",ROW()-5)</f>
        <v/>
      </c>
      <c r="B34" s="14"/>
      <c r="C34" s="14"/>
      <c r="D34" s="14"/>
      <c r="E34" s="14"/>
      <c r="F34" s="36"/>
      <c r="G34" s="37"/>
      <c r="H34" s="14"/>
      <c r="I34" s="38"/>
      <c r="J34" s="38"/>
      <c r="K34" s="33"/>
      <c r="L34" s="33"/>
      <c r="M34" s="34" t="str">
        <f aca="false">IF(F34="","",N(I34)/(1-IF(K34="",'Job Info'!$B$39,K34))*(1+IF('Job Info'!$B$38="Yes",'Job Info'!$B$37,0)))</f>
        <v/>
      </c>
      <c r="N34" s="34" t="str">
        <f aca="false">IF(F34="","",N(J34)/(1-IF(L34="",'Job Info'!$B$40,L34)))</f>
        <v/>
      </c>
      <c r="O34" s="34" t="str">
        <f aca="false">IF(F34="","",M34+N34)</f>
        <v/>
      </c>
      <c r="P34" s="34" t="str">
        <f aca="false">IF(F34="","",N(G34)*M34)</f>
        <v/>
      </c>
      <c r="Q34" s="34" t="str">
        <f aca="false">IF(F34="","",N(G34)*N34)</f>
        <v/>
      </c>
      <c r="R34" s="35" t="str">
        <f aca="false">IF(F34="","",P34+Q34)</f>
        <v/>
      </c>
      <c r="S34" s="36"/>
      <c r="T34" s="36"/>
      <c r="U34" s="34" t="str">
        <f aca="false">IF(F34="","",N(G34)*N(I34))</f>
        <v/>
      </c>
      <c r="V34" s="34" t="str">
        <f aca="false">IF(F34="","",N(G34)*N(J34))</f>
        <v/>
      </c>
      <c r="W34" s="13" t="str">
        <f aca="false">IF(F34="","",IF(B34="Excluded","",COUNTIFS($F$6:F34,"?*",$B$6:B34,"&lt;&gt;Excluded")))</f>
        <v/>
      </c>
      <c r="X34" s="34" t="str">
        <f aca="false">IF(F34="","",N(G34)*N(I34)/(1-IF(K34="",'Job Info'!$B$39,K34))*IF('Job Info'!$B$38="Yes",'Job Info'!$B$37,0))</f>
        <v/>
      </c>
    </row>
    <row r="35" customFormat="false" ht="15" hidden="false" customHeight="false" outlineLevel="0" collapsed="false">
      <c r="A35" s="13" t="str">
        <f aca="false">IF(F35="","",ROW()-5)</f>
        <v/>
      </c>
      <c r="B35" s="14"/>
      <c r="C35" s="14"/>
      <c r="D35" s="14"/>
      <c r="E35" s="14"/>
      <c r="F35" s="36"/>
      <c r="G35" s="37"/>
      <c r="H35" s="14"/>
      <c r="I35" s="38"/>
      <c r="J35" s="38"/>
      <c r="K35" s="33"/>
      <c r="L35" s="33"/>
      <c r="M35" s="34" t="str">
        <f aca="false">IF(F35="","",N(I35)/(1-IF(K35="",'Job Info'!$B$39,K35))*(1+IF('Job Info'!$B$38="Yes",'Job Info'!$B$37,0)))</f>
        <v/>
      </c>
      <c r="N35" s="34" t="str">
        <f aca="false">IF(F35="","",N(J35)/(1-IF(L35="",'Job Info'!$B$40,L35)))</f>
        <v/>
      </c>
      <c r="O35" s="34" t="str">
        <f aca="false">IF(F35="","",M35+N35)</f>
        <v/>
      </c>
      <c r="P35" s="34" t="str">
        <f aca="false">IF(F35="","",N(G35)*M35)</f>
        <v/>
      </c>
      <c r="Q35" s="34" t="str">
        <f aca="false">IF(F35="","",N(G35)*N35)</f>
        <v/>
      </c>
      <c r="R35" s="35" t="str">
        <f aca="false">IF(F35="","",P35+Q35)</f>
        <v/>
      </c>
      <c r="S35" s="36"/>
      <c r="T35" s="36"/>
      <c r="U35" s="34" t="str">
        <f aca="false">IF(F35="","",N(G35)*N(I35))</f>
        <v/>
      </c>
      <c r="V35" s="34" t="str">
        <f aca="false">IF(F35="","",N(G35)*N(J35))</f>
        <v/>
      </c>
      <c r="W35" s="13" t="str">
        <f aca="false">IF(F35="","",IF(B35="Excluded","",COUNTIFS($F$6:F35,"?*",$B$6:B35,"&lt;&gt;Excluded")))</f>
        <v/>
      </c>
      <c r="X35" s="34" t="str">
        <f aca="false">IF(F35="","",N(G35)*N(I35)/(1-IF(K35="",'Job Info'!$B$39,K35))*IF('Job Info'!$B$38="Yes",'Job Info'!$B$37,0))</f>
        <v/>
      </c>
    </row>
    <row r="36" customFormat="false" ht="15" hidden="false" customHeight="false" outlineLevel="0" collapsed="false">
      <c r="A36" s="13" t="str">
        <f aca="false">IF(F36="","",ROW()-5)</f>
        <v/>
      </c>
      <c r="B36" s="14"/>
      <c r="C36" s="14"/>
      <c r="D36" s="14"/>
      <c r="E36" s="14"/>
      <c r="F36" s="36"/>
      <c r="G36" s="37"/>
      <c r="H36" s="14"/>
      <c r="I36" s="38"/>
      <c r="J36" s="38"/>
      <c r="K36" s="33"/>
      <c r="L36" s="33"/>
      <c r="M36" s="34" t="str">
        <f aca="false">IF(F36="","",N(I36)/(1-IF(K36="",'Job Info'!$B$39,K36))*(1+IF('Job Info'!$B$38="Yes",'Job Info'!$B$37,0)))</f>
        <v/>
      </c>
      <c r="N36" s="34" t="str">
        <f aca="false">IF(F36="","",N(J36)/(1-IF(L36="",'Job Info'!$B$40,L36)))</f>
        <v/>
      </c>
      <c r="O36" s="34" t="str">
        <f aca="false">IF(F36="","",M36+N36)</f>
        <v/>
      </c>
      <c r="P36" s="34" t="str">
        <f aca="false">IF(F36="","",N(G36)*M36)</f>
        <v/>
      </c>
      <c r="Q36" s="34" t="str">
        <f aca="false">IF(F36="","",N(G36)*N36)</f>
        <v/>
      </c>
      <c r="R36" s="35" t="str">
        <f aca="false">IF(F36="","",P36+Q36)</f>
        <v/>
      </c>
      <c r="S36" s="36"/>
      <c r="T36" s="36"/>
      <c r="U36" s="34" t="str">
        <f aca="false">IF(F36="","",N(G36)*N(I36))</f>
        <v/>
      </c>
      <c r="V36" s="34" t="str">
        <f aca="false">IF(F36="","",N(G36)*N(J36))</f>
        <v/>
      </c>
      <c r="W36" s="13" t="str">
        <f aca="false">IF(F36="","",IF(B36="Excluded","",COUNTIFS($F$6:F36,"?*",$B$6:B36,"&lt;&gt;Excluded")))</f>
        <v/>
      </c>
      <c r="X36" s="34" t="str">
        <f aca="false">IF(F36="","",N(G36)*N(I36)/(1-IF(K36="",'Job Info'!$B$39,K36))*IF('Job Info'!$B$38="Yes",'Job Info'!$B$37,0))</f>
        <v/>
      </c>
    </row>
    <row r="37" customFormat="false" ht="15" hidden="false" customHeight="false" outlineLevel="0" collapsed="false">
      <c r="A37" s="13" t="str">
        <f aca="false">IF(F37="","",ROW()-5)</f>
        <v/>
      </c>
      <c r="B37" s="14"/>
      <c r="C37" s="14"/>
      <c r="D37" s="14"/>
      <c r="E37" s="14"/>
      <c r="F37" s="36"/>
      <c r="G37" s="37"/>
      <c r="H37" s="14"/>
      <c r="I37" s="38"/>
      <c r="J37" s="38"/>
      <c r="K37" s="33"/>
      <c r="L37" s="33"/>
      <c r="M37" s="34" t="str">
        <f aca="false">IF(F37="","",N(I37)/(1-IF(K37="",'Job Info'!$B$39,K37))*(1+IF('Job Info'!$B$38="Yes",'Job Info'!$B$37,0)))</f>
        <v/>
      </c>
      <c r="N37" s="34" t="str">
        <f aca="false">IF(F37="","",N(J37)/(1-IF(L37="",'Job Info'!$B$40,L37)))</f>
        <v/>
      </c>
      <c r="O37" s="34" t="str">
        <f aca="false">IF(F37="","",M37+N37)</f>
        <v/>
      </c>
      <c r="P37" s="34" t="str">
        <f aca="false">IF(F37="","",N(G37)*M37)</f>
        <v/>
      </c>
      <c r="Q37" s="34" t="str">
        <f aca="false">IF(F37="","",N(G37)*N37)</f>
        <v/>
      </c>
      <c r="R37" s="35" t="str">
        <f aca="false">IF(F37="","",P37+Q37)</f>
        <v/>
      </c>
      <c r="S37" s="36"/>
      <c r="T37" s="36"/>
      <c r="U37" s="34" t="str">
        <f aca="false">IF(F37="","",N(G37)*N(I37))</f>
        <v/>
      </c>
      <c r="V37" s="34" t="str">
        <f aca="false">IF(F37="","",N(G37)*N(J37))</f>
        <v/>
      </c>
      <c r="W37" s="13" t="str">
        <f aca="false">IF(F37="","",IF(B37="Excluded","",COUNTIFS($F$6:F37,"?*",$B$6:B37,"&lt;&gt;Excluded")))</f>
        <v/>
      </c>
      <c r="X37" s="34" t="str">
        <f aca="false">IF(F37="","",N(G37)*N(I37)/(1-IF(K37="",'Job Info'!$B$39,K37))*IF('Job Info'!$B$38="Yes",'Job Info'!$B$37,0))</f>
        <v/>
      </c>
    </row>
    <row r="38" customFormat="false" ht="15" hidden="false" customHeight="false" outlineLevel="0" collapsed="false">
      <c r="A38" s="13" t="str">
        <f aca="false">IF(F38="","",ROW()-5)</f>
        <v/>
      </c>
      <c r="B38" s="14"/>
      <c r="C38" s="14"/>
      <c r="D38" s="14"/>
      <c r="E38" s="14"/>
      <c r="F38" s="36"/>
      <c r="G38" s="37"/>
      <c r="H38" s="14"/>
      <c r="I38" s="38"/>
      <c r="J38" s="38"/>
      <c r="K38" s="33"/>
      <c r="L38" s="33"/>
      <c r="M38" s="34" t="str">
        <f aca="false">IF(F38="","",N(I38)/(1-IF(K38="",'Job Info'!$B$39,K38))*(1+IF('Job Info'!$B$38="Yes",'Job Info'!$B$37,0)))</f>
        <v/>
      </c>
      <c r="N38" s="34" t="str">
        <f aca="false">IF(F38="","",N(J38)/(1-IF(L38="",'Job Info'!$B$40,L38)))</f>
        <v/>
      </c>
      <c r="O38" s="34" t="str">
        <f aca="false">IF(F38="","",M38+N38)</f>
        <v/>
      </c>
      <c r="P38" s="34" t="str">
        <f aca="false">IF(F38="","",N(G38)*M38)</f>
        <v/>
      </c>
      <c r="Q38" s="34" t="str">
        <f aca="false">IF(F38="","",N(G38)*N38)</f>
        <v/>
      </c>
      <c r="R38" s="35" t="str">
        <f aca="false">IF(F38="","",P38+Q38)</f>
        <v/>
      </c>
      <c r="S38" s="36"/>
      <c r="T38" s="36"/>
      <c r="U38" s="34" t="str">
        <f aca="false">IF(F38="","",N(G38)*N(I38))</f>
        <v/>
      </c>
      <c r="V38" s="34" t="str">
        <f aca="false">IF(F38="","",N(G38)*N(J38))</f>
        <v/>
      </c>
      <c r="W38" s="13" t="str">
        <f aca="false">IF(F38="","",IF(B38="Excluded","",COUNTIFS($F$6:F38,"?*",$B$6:B38,"&lt;&gt;Excluded")))</f>
        <v/>
      </c>
      <c r="X38" s="34" t="str">
        <f aca="false">IF(F38="","",N(G38)*N(I38)/(1-IF(K38="",'Job Info'!$B$39,K38))*IF('Job Info'!$B$38="Yes",'Job Info'!$B$37,0))</f>
        <v/>
      </c>
    </row>
    <row r="39" customFormat="false" ht="15" hidden="false" customHeight="false" outlineLevel="0" collapsed="false">
      <c r="A39" s="13" t="str">
        <f aca="false">IF(F39="","",ROW()-5)</f>
        <v/>
      </c>
      <c r="B39" s="14"/>
      <c r="C39" s="14"/>
      <c r="D39" s="14"/>
      <c r="E39" s="14"/>
      <c r="F39" s="36"/>
      <c r="G39" s="37"/>
      <c r="H39" s="14"/>
      <c r="I39" s="38"/>
      <c r="J39" s="38"/>
      <c r="K39" s="33"/>
      <c r="L39" s="33"/>
      <c r="M39" s="34" t="str">
        <f aca="false">IF(F39="","",N(I39)/(1-IF(K39="",'Job Info'!$B$39,K39))*(1+IF('Job Info'!$B$38="Yes",'Job Info'!$B$37,0)))</f>
        <v/>
      </c>
      <c r="N39" s="34" t="str">
        <f aca="false">IF(F39="","",N(J39)/(1-IF(L39="",'Job Info'!$B$40,L39)))</f>
        <v/>
      </c>
      <c r="O39" s="34" t="str">
        <f aca="false">IF(F39="","",M39+N39)</f>
        <v/>
      </c>
      <c r="P39" s="34" t="str">
        <f aca="false">IF(F39="","",N(G39)*M39)</f>
        <v/>
      </c>
      <c r="Q39" s="34" t="str">
        <f aca="false">IF(F39="","",N(G39)*N39)</f>
        <v/>
      </c>
      <c r="R39" s="35" t="str">
        <f aca="false">IF(F39="","",P39+Q39)</f>
        <v/>
      </c>
      <c r="S39" s="36"/>
      <c r="T39" s="36"/>
      <c r="U39" s="34" t="str">
        <f aca="false">IF(F39="","",N(G39)*N(I39))</f>
        <v/>
      </c>
      <c r="V39" s="34" t="str">
        <f aca="false">IF(F39="","",N(G39)*N(J39))</f>
        <v/>
      </c>
      <c r="W39" s="13" t="str">
        <f aca="false">IF(F39="","",IF(B39="Excluded","",COUNTIFS($F$6:F39,"?*",$B$6:B39,"&lt;&gt;Excluded")))</f>
        <v/>
      </c>
      <c r="X39" s="34" t="str">
        <f aca="false">IF(F39="","",N(G39)*N(I39)/(1-IF(K39="",'Job Info'!$B$39,K39))*IF('Job Info'!$B$38="Yes",'Job Info'!$B$37,0))</f>
        <v/>
      </c>
    </row>
    <row r="40" customFormat="false" ht="15" hidden="false" customHeight="false" outlineLevel="0" collapsed="false">
      <c r="A40" s="13" t="str">
        <f aca="false">IF(F40="","",ROW()-5)</f>
        <v/>
      </c>
      <c r="B40" s="14"/>
      <c r="C40" s="14"/>
      <c r="D40" s="14"/>
      <c r="E40" s="14"/>
      <c r="F40" s="36"/>
      <c r="G40" s="37"/>
      <c r="H40" s="14"/>
      <c r="I40" s="38"/>
      <c r="J40" s="38"/>
      <c r="K40" s="33"/>
      <c r="L40" s="33"/>
      <c r="M40" s="34" t="str">
        <f aca="false">IF(F40="","",N(I40)/(1-IF(K40="",'Job Info'!$B$39,K40))*(1+IF('Job Info'!$B$38="Yes",'Job Info'!$B$37,0)))</f>
        <v/>
      </c>
      <c r="N40" s="34" t="str">
        <f aca="false">IF(F40="","",N(J40)/(1-IF(L40="",'Job Info'!$B$40,L40)))</f>
        <v/>
      </c>
      <c r="O40" s="34" t="str">
        <f aca="false">IF(F40="","",M40+N40)</f>
        <v/>
      </c>
      <c r="P40" s="34" t="str">
        <f aca="false">IF(F40="","",N(G40)*M40)</f>
        <v/>
      </c>
      <c r="Q40" s="34" t="str">
        <f aca="false">IF(F40="","",N(G40)*N40)</f>
        <v/>
      </c>
      <c r="R40" s="35" t="str">
        <f aca="false">IF(F40="","",P40+Q40)</f>
        <v/>
      </c>
      <c r="S40" s="36"/>
      <c r="T40" s="36"/>
      <c r="U40" s="34" t="str">
        <f aca="false">IF(F40="","",N(G40)*N(I40))</f>
        <v/>
      </c>
      <c r="V40" s="34" t="str">
        <f aca="false">IF(F40="","",N(G40)*N(J40))</f>
        <v/>
      </c>
      <c r="W40" s="13" t="str">
        <f aca="false">IF(F40="","",IF(B40="Excluded","",COUNTIFS($F$6:F40,"?*",$B$6:B40,"&lt;&gt;Excluded")))</f>
        <v/>
      </c>
      <c r="X40" s="34" t="str">
        <f aca="false">IF(F40="","",N(G40)*N(I40)/(1-IF(K40="",'Job Info'!$B$39,K40))*IF('Job Info'!$B$38="Yes",'Job Info'!$B$37,0))</f>
        <v/>
      </c>
    </row>
    <row r="41" customFormat="false" ht="15" hidden="false" customHeight="false" outlineLevel="0" collapsed="false">
      <c r="A41" s="13" t="str">
        <f aca="false">IF(F41="","",ROW()-5)</f>
        <v/>
      </c>
      <c r="B41" s="14"/>
      <c r="C41" s="14"/>
      <c r="D41" s="14"/>
      <c r="E41" s="14"/>
      <c r="F41" s="36"/>
      <c r="G41" s="37"/>
      <c r="H41" s="14"/>
      <c r="I41" s="38"/>
      <c r="J41" s="38"/>
      <c r="K41" s="33"/>
      <c r="L41" s="33"/>
      <c r="M41" s="34" t="str">
        <f aca="false">IF(F41="","",N(I41)/(1-IF(K41="",'Job Info'!$B$39,K41))*(1+IF('Job Info'!$B$38="Yes",'Job Info'!$B$37,0)))</f>
        <v/>
      </c>
      <c r="N41" s="34" t="str">
        <f aca="false">IF(F41="","",N(J41)/(1-IF(L41="",'Job Info'!$B$40,L41)))</f>
        <v/>
      </c>
      <c r="O41" s="34" t="str">
        <f aca="false">IF(F41="","",M41+N41)</f>
        <v/>
      </c>
      <c r="P41" s="34" t="str">
        <f aca="false">IF(F41="","",N(G41)*M41)</f>
        <v/>
      </c>
      <c r="Q41" s="34" t="str">
        <f aca="false">IF(F41="","",N(G41)*N41)</f>
        <v/>
      </c>
      <c r="R41" s="35" t="str">
        <f aca="false">IF(F41="","",P41+Q41)</f>
        <v/>
      </c>
      <c r="S41" s="36"/>
      <c r="T41" s="36"/>
      <c r="U41" s="34" t="str">
        <f aca="false">IF(F41="","",N(G41)*N(I41))</f>
        <v/>
      </c>
      <c r="V41" s="34" t="str">
        <f aca="false">IF(F41="","",N(G41)*N(J41))</f>
        <v/>
      </c>
      <c r="W41" s="13" t="str">
        <f aca="false">IF(F41="","",IF(B41="Excluded","",COUNTIFS($F$6:F41,"?*",$B$6:B41,"&lt;&gt;Excluded")))</f>
        <v/>
      </c>
      <c r="X41" s="34" t="str">
        <f aca="false">IF(F41="","",N(G41)*N(I41)/(1-IF(K41="",'Job Info'!$B$39,K41))*IF('Job Info'!$B$38="Yes",'Job Info'!$B$37,0))</f>
        <v/>
      </c>
    </row>
    <row r="42" customFormat="false" ht="15" hidden="false" customHeight="false" outlineLevel="0" collapsed="false">
      <c r="A42" s="13" t="str">
        <f aca="false">IF(F42="","",ROW()-5)</f>
        <v/>
      </c>
      <c r="B42" s="14"/>
      <c r="C42" s="14"/>
      <c r="D42" s="14"/>
      <c r="E42" s="14"/>
      <c r="F42" s="36"/>
      <c r="G42" s="37"/>
      <c r="H42" s="14"/>
      <c r="I42" s="38"/>
      <c r="J42" s="38"/>
      <c r="K42" s="33"/>
      <c r="L42" s="33"/>
      <c r="M42" s="34" t="str">
        <f aca="false">IF(F42="","",N(I42)/(1-IF(K42="",'Job Info'!$B$39,K42))*(1+IF('Job Info'!$B$38="Yes",'Job Info'!$B$37,0)))</f>
        <v/>
      </c>
      <c r="N42" s="34" t="str">
        <f aca="false">IF(F42="","",N(J42)/(1-IF(L42="",'Job Info'!$B$40,L42)))</f>
        <v/>
      </c>
      <c r="O42" s="34" t="str">
        <f aca="false">IF(F42="","",M42+N42)</f>
        <v/>
      </c>
      <c r="P42" s="34" t="str">
        <f aca="false">IF(F42="","",N(G42)*M42)</f>
        <v/>
      </c>
      <c r="Q42" s="34" t="str">
        <f aca="false">IF(F42="","",N(G42)*N42)</f>
        <v/>
      </c>
      <c r="R42" s="35" t="str">
        <f aca="false">IF(F42="","",P42+Q42)</f>
        <v/>
      </c>
      <c r="S42" s="36"/>
      <c r="T42" s="36"/>
      <c r="U42" s="34" t="str">
        <f aca="false">IF(F42="","",N(G42)*N(I42))</f>
        <v/>
      </c>
      <c r="V42" s="34" t="str">
        <f aca="false">IF(F42="","",N(G42)*N(J42))</f>
        <v/>
      </c>
      <c r="W42" s="13" t="str">
        <f aca="false">IF(F42="","",IF(B42="Excluded","",COUNTIFS($F$6:F42,"?*",$B$6:B42,"&lt;&gt;Excluded")))</f>
        <v/>
      </c>
      <c r="X42" s="34" t="str">
        <f aca="false">IF(F42="","",N(G42)*N(I42)/(1-IF(K42="",'Job Info'!$B$39,K42))*IF('Job Info'!$B$38="Yes",'Job Info'!$B$37,0))</f>
        <v/>
      </c>
    </row>
    <row r="43" customFormat="false" ht="15" hidden="false" customHeight="false" outlineLevel="0" collapsed="false">
      <c r="A43" s="13" t="str">
        <f aca="false">IF(F43="","",ROW()-5)</f>
        <v/>
      </c>
      <c r="B43" s="14"/>
      <c r="C43" s="14"/>
      <c r="D43" s="14"/>
      <c r="E43" s="14"/>
      <c r="F43" s="36"/>
      <c r="G43" s="37"/>
      <c r="H43" s="14"/>
      <c r="I43" s="38"/>
      <c r="J43" s="38"/>
      <c r="K43" s="33"/>
      <c r="L43" s="33"/>
      <c r="M43" s="34" t="str">
        <f aca="false">IF(F43="","",N(I43)/(1-IF(K43="",'Job Info'!$B$39,K43))*(1+IF('Job Info'!$B$38="Yes",'Job Info'!$B$37,0)))</f>
        <v/>
      </c>
      <c r="N43" s="34" t="str">
        <f aca="false">IF(F43="","",N(J43)/(1-IF(L43="",'Job Info'!$B$40,L43)))</f>
        <v/>
      </c>
      <c r="O43" s="34" t="str">
        <f aca="false">IF(F43="","",M43+N43)</f>
        <v/>
      </c>
      <c r="P43" s="34" t="str">
        <f aca="false">IF(F43="","",N(G43)*M43)</f>
        <v/>
      </c>
      <c r="Q43" s="34" t="str">
        <f aca="false">IF(F43="","",N(G43)*N43)</f>
        <v/>
      </c>
      <c r="R43" s="35" t="str">
        <f aca="false">IF(F43="","",P43+Q43)</f>
        <v/>
      </c>
      <c r="S43" s="36"/>
      <c r="T43" s="36"/>
      <c r="U43" s="34" t="str">
        <f aca="false">IF(F43="","",N(G43)*N(I43))</f>
        <v/>
      </c>
      <c r="V43" s="34" t="str">
        <f aca="false">IF(F43="","",N(G43)*N(J43))</f>
        <v/>
      </c>
      <c r="W43" s="13" t="str">
        <f aca="false">IF(F43="","",IF(B43="Excluded","",COUNTIFS($F$6:F43,"?*",$B$6:B43,"&lt;&gt;Excluded")))</f>
        <v/>
      </c>
      <c r="X43" s="34" t="str">
        <f aca="false">IF(F43="","",N(G43)*N(I43)/(1-IF(K43="",'Job Info'!$B$39,K43))*IF('Job Info'!$B$38="Yes",'Job Info'!$B$37,0))</f>
        <v/>
      </c>
    </row>
    <row r="44" customFormat="false" ht="15" hidden="false" customHeight="false" outlineLevel="0" collapsed="false">
      <c r="A44" s="13" t="str">
        <f aca="false">IF(F44="","",ROW()-5)</f>
        <v/>
      </c>
      <c r="B44" s="14"/>
      <c r="C44" s="14"/>
      <c r="D44" s="14"/>
      <c r="E44" s="14"/>
      <c r="F44" s="36"/>
      <c r="G44" s="37"/>
      <c r="H44" s="14"/>
      <c r="I44" s="38"/>
      <c r="J44" s="38"/>
      <c r="K44" s="33"/>
      <c r="L44" s="33"/>
      <c r="M44" s="34" t="str">
        <f aca="false">IF(F44="","",N(I44)/(1-IF(K44="",'Job Info'!$B$39,K44))*(1+IF('Job Info'!$B$38="Yes",'Job Info'!$B$37,0)))</f>
        <v/>
      </c>
      <c r="N44" s="34" t="str">
        <f aca="false">IF(F44="","",N(J44)/(1-IF(L44="",'Job Info'!$B$40,L44)))</f>
        <v/>
      </c>
      <c r="O44" s="34" t="str">
        <f aca="false">IF(F44="","",M44+N44)</f>
        <v/>
      </c>
      <c r="P44" s="34" t="str">
        <f aca="false">IF(F44="","",N(G44)*M44)</f>
        <v/>
      </c>
      <c r="Q44" s="34" t="str">
        <f aca="false">IF(F44="","",N(G44)*N44)</f>
        <v/>
      </c>
      <c r="R44" s="35" t="str">
        <f aca="false">IF(F44="","",P44+Q44)</f>
        <v/>
      </c>
      <c r="S44" s="36"/>
      <c r="T44" s="36"/>
      <c r="U44" s="34" t="str">
        <f aca="false">IF(F44="","",N(G44)*N(I44))</f>
        <v/>
      </c>
      <c r="V44" s="34" t="str">
        <f aca="false">IF(F44="","",N(G44)*N(J44))</f>
        <v/>
      </c>
      <c r="W44" s="13" t="str">
        <f aca="false">IF(F44="","",IF(B44="Excluded","",COUNTIFS($F$6:F44,"?*",$B$6:B44,"&lt;&gt;Excluded")))</f>
        <v/>
      </c>
      <c r="X44" s="34" t="str">
        <f aca="false">IF(F44="","",N(G44)*N(I44)/(1-IF(K44="",'Job Info'!$B$39,K44))*IF('Job Info'!$B$38="Yes",'Job Info'!$B$37,0))</f>
        <v/>
      </c>
    </row>
    <row r="45" customFormat="false" ht="15" hidden="false" customHeight="false" outlineLevel="0" collapsed="false">
      <c r="A45" s="13" t="str">
        <f aca="false">IF(F45="","",ROW()-5)</f>
        <v/>
      </c>
      <c r="B45" s="14"/>
      <c r="C45" s="14"/>
      <c r="D45" s="14"/>
      <c r="E45" s="14"/>
      <c r="F45" s="36"/>
      <c r="G45" s="37"/>
      <c r="H45" s="14"/>
      <c r="I45" s="38"/>
      <c r="J45" s="38"/>
      <c r="K45" s="33"/>
      <c r="L45" s="33"/>
      <c r="M45" s="34" t="str">
        <f aca="false">IF(F45="","",N(I45)/(1-IF(K45="",'Job Info'!$B$39,K45))*(1+IF('Job Info'!$B$38="Yes",'Job Info'!$B$37,0)))</f>
        <v/>
      </c>
      <c r="N45" s="34" t="str">
        <f aca="false">IF(F45="","",N(J45)/(1-IF(L45="",'Job Info'!$B$40,L45)))</f>
        <v/>
      </c>
      <c r="O45" s="34" t="str">
        <f aca="false">IF(F45="","",M45+N45)</f>
        <v/>
      </c>
      <c r="P45" s="34" t="str">
        <f aca="false">IF(F45="","",N(G45)*M45)</f>
        <v/>
      </c>
      <c r="Q45" s="34" t="str">
        <f aca="false">IF(F45="","",N(G45)*N45)</f>
        <v/>
      </c>
      <c r="R45" s="35" t="str">
        <f aca="false">IF(F45="","",P45+Q45)</f>
        <v/>
      </c>
      <c r="S45" s="36"/>
      <c r="T45" s="36"/>
      <c r="U45" s="34" t="str">
        <f aca="false">IF(F45="","",N(G45)*N(I45))</f>
        <v/>
      </c>
      <c r="V45" s="34" t="str">
        <f aca="false">IF(F45="","",N(G45)*N(J45))</f>
        <v/>
      </c>
      <c r="W45" s="13" t="str">
        <f aca="false">IF(F45="","",IF(B45="Excluded","",COUNTIFS($F$6:F45,"?*",$B$6:B45,"&lt;&gt;Excluded")))</f>
        <v/>
      </c>
      <c r="X45" s="34" t="str">
        <f aca="false">IF(F45="","",N(G45)*N(I45)/(1-IF(K45="",'Job Info'!$B$39,K45))*IF('Job Info'!$B$38="Yes",'Job Info'!$B$37,0))</f>
        <v/>
      </c>
    </row>
    <row r="46" customFormat="false" ht="15" hidden="false" customHeight="false" outlineLevel="0" collapsed="false">
      <c r="A46" s="13" t="str">
        <f aca="false">IF(F46="","",ROW()-5)</f>
        <v/>
      </c>
      <c r="B46" s="14"/>
      <c r="C46" s="14"/>
      <c r="D46" s="14"/>
      <c r="E46" s="14"/>
      <c r="F46" s="36"/>
      <c r="G46" s="37"/>
      <c r="H46" s="14"/>
      <c r="I46" s="38"/>
      <c r="J46" s="38"/>
      <c r="K46" s="33"/>
      <c r="L46" s="33"/>
      <c r="M46" s="34" t="str">
        <f aca="false">IF(F46="","",N(I46)/(1-IF(K46="",'Job Info'!$B$39,K46))*(1+IF('Job Info'!$B$38="Yes",'Job Info'!$B$37,0)))</f>
        <v/>
      </c>
      <c r="N46" s="34" t="str">
        <f aca="false">IF(F46="","",N(J46)/(1-IF(L46="",'Job Info'!$B$40,L46)))</f>
        <v/>
      </c>
      <c r="O46" s="34" t="str">
        <f aca="false">IF(F46="","",M46+N46)</f>
        <v/>
      </c>
      <c r="P46" s="34" t="str">
        <f aca="false">IF(F46="","",N(G46)*M46)</f>
        <v/>
      </c>
      <c r="Q46" s="34" t="str">
        <f aca="false">IF(F46="","",N(G46)*N46)</f>
        <v/>
      </c>
      <c r="R46" s="35" t="str">
        <f aca="false">IF(F46="","",P46+Q46)</f>
        <v/>
      </c>
      <c r="S46" s="36"/>
      <c r="T46" s="36"/>
      <c r="U46" s="34" t="str">
        <f aca="false">IF(F46="","",N(G46)*N(I46))</f>
        <v/>
      </c>
      <c r="V46" s="34" t="str">
        <f aca="false">IF(F46="","",N(G46)*N(J46))</f>
        <v/>
      </c>
      <c r="W46" s="13" t="str">
        <f aca="false">IF(F46="","",IF(B46="Excluded","",COUNTIFS($F$6:F46,"?*",$B$6:B46,"&lt;&gt;Excluded")))</f>
        <v/>
      </c>
      <c r="X46" s="34" t="str">
        <f aca="false">IF(F46="","",N(G46)*N(I46)/(1-IF(K46="",'Job Info'!$B$39,K46))*IF('Job Info'!$B$38="Yes",'Job Info'!$B$37,0))</f>
        <v/>
      </c>
    </row>
    <row r="47" customFormat="false" ht="15" hidden="false" customHeight="false" outlineLevel="0" collapsed="false">
      <c r="A47" s="13" t="str">
        <f aca="false">IF(F47="","",ROW()-5)</f>
        <v/>
      </c>
      <c r="B47" s="14"/>
      <c r="C47" s="14"/>
      <c r="D47" s="14"/>
      <c r="E47" s="14"/>
      <c r="F47" s="36"/>
      <c r="G47" s="37"/>
      <c r="H47" s="14"/>
      <c r="I47" s="38"/>
      <c r="J47" s="38"/>
      <c r="K47" s="33"/>
      <c r="L47" s="33"/>
      <c r="M47" s="34" t="str">
        <f aca="false">IF(F47="","",N(I47)/(1-IF(K47="",'Job Info'!$B$39,K47))*(1+IF('Job Info'!$B$38="Yes",'Job Info'!$B$37,0)))</f>
        <v/>
      </c>
      <c r="N47" s="34" t="str">
        <f aca="false">IF(F47="","",N(J47)/(1-IF(L47="",'Job Info'!$B$40,L47)))</f>
        <v/>
      </c>
      <c r="O47" s="34" t="str">
        <f aca="false">IF(F47="","",M47+N47)</f>
        <v/>
      </c>
      <c r="P47" s="34" t="str">
        <f aca="false">IF(F47="","",N(G47)*M47)</f>
        <v/>
      </c>
      <c r="Q47" s="34" t="str">
        <f aca="false">IF(F47="","",N(G47)*N47)</f>
        <v/>
      </c>
      <c r="R47" s="35" t="str">
        <f aca="false">IF(F47="","",P47+Q47)</f>
        <v/>
      </c>
      <c r="S47" s="36"/>
      <c r="T47" s="36"/>
      <c r="U47" s="34" t="str">
        <f aca="false">IF(F47="","",N(G47)*N(I47))</f>
        <v/>
      </c>
      <c r="V47" s="34" t="str">
        <f aca="false">IF(F47="","",N(G47)*N(J47))</f>
        <v/>
      </c>
      <c r="W47" s="13" t="str">
        <f aca="false">IF(F47="","",IF(B47="Excluded","",COUNTIFS($F$6:F47,"?*",$B$6:B47,"&lt;&gt;Excluded")))</f>
        <v/>
      </c>
      <c r="X47" s="34" t="str">
        <f aca="false">IF(F47="","",N(G47)*N(I47)/(1-IF(K47="",'Job Info'!$B$39,K47))*IF('Job Info'!$B$38="Yes",'Job Info'!$B$37,0))</f>
        <v/>
      </c>
    </row>
    <row r="48" customFormat="false" ht="15" hidden="false" customHeight="false" outlineLevel="0" collapsed="false">
      <c r="A48" s="13" t="str">
        <f aca="false">IF(F48="","",ROW()-5)</f>
        <v/>
      </c>
      <c r="B48" s="14"/>
      <c r="C48" s="14"/>
      <c r="D48" s="14"/>
      <c r="E48" s="14"/>
      <c r="F48" s="36"/>
      <c r="G48" s="37"/>
      <c r="H48" s="14"/>
      <c r="I48" s="38"/>
      <c r="J48" s="38"/>
      <c r="K48" s="33"/>
      <c r="L48" s="33"/>
      <c r="M48" s="34" t="str">
        <f aca="false">IF(F48="","",N(I48)/(1-IF(K48="",'Job Info'!$B$39,K48))*(1+IF('Job Info'!$B$38="Yes",'Job Info'!$B$37,0)))</f>
        <v/>
      </c>
      <c r="N48" s="34" t="str">
        <f aca="false">IF(F48="","",N(J48)/(1-IF(L48="",'Job Info'!$B$40,L48)))</f>
        <v/>
      </c>
      <c r="O48" s="34" t="str">
        <f aca="false">IF(F48="","",M48+N48)</f>
        <v/>
      </c>
      <c r="P48" s="34" t="str">
        <f aca="false">IF(F48="","",N(G48)*M48)</f>
        <v/>
      </c>
      <c r="Q48" s="34" t="str">
        <f aca="false">IF(F48="","",N(G48)*N48)</f>
        <v/>
      </c>
      <c r="R48" s="35" t="str">
        <f aca="false">IF(F48="","",P48+Q48)</f>
        <v/>
      </c>
      <c r="S48" s="36"/>
      <c r="T48" s="36"/>
      <c r="U48" s="34" t="str">
        <f aca="false">IF(F48="","",N(G48)*N(I48))</f>
        <v/>
      </c>
      <c r="V48" s="34" t="str">
        <f aca="false">IF(F48="","",N(G48)*N(J48))</f>
        <v/>
      </c>
      <c r="W48" s="13" t="str">
        <f aca="false">IF(F48="","",IF(B48="Excluded","",COUNTIFS($F$6:F48,"?*",$B$6:B48,"&lt;&gt;Excluded")))</f>
        <v/>
      </c>
      <c r="X48" s="34" t="str">
        <f aca="false">IF(F48="","",N(G48)*N(I48)/(1-IF(K48="",'Job Info'!$B$39,K48))*IF('Job Info'!$B$38="Yes",'Job Info'!$B$37,0))</f>
        <v/>
      </c>
    </row>
    <row r="49" customFormat="false" ht="15" hidden="false" customHeight="false" outlineLevel="0" collapsed="false">
      <c r="A49" s="13" t="str">
        <f aca="false">IF(F49="","",ROW()-5)</f>
        <v/>
      </c>
      <c r="B49" s="14"/>
      <c r="C49" s="14"/>
      <c r="D49" s="14"/>
      <c r="E49" s="14"/>
      <c r="F49" s="36"/>
      <c r="G49" s="37"/>
      <c r="H49" s="14"/>
      <c r="I49" s="38"/>
      <c r="J49" s="38"/>
      <c r="K49" s="33"/>
      <c r="L49" s="33"/>
      <c r="M49" s="34" t="str">
        <f aca="false">IF(F49="","",N(I49)/(1-IF(K49="",'Job Info'!$B$39,K49))*(1+IF('Job Info'!$B$38="Yes",'Job Info'!$B$37,0)))</f>
        <v/>
      </c>
      <c r="N49" s="34" t="str">
        <f aca="false">IF(F49="","",N(J49)/(1-IF(L49="",'Job Info'!$B$40,L49)))</f>
        <v/>
      </c>
      <c r="O49" s="34" t="str">
        <f aca="false">IF(F49="","",M49+N49)</f>
        <v/>
      </c>
      <c r="P49" s="34" t="str">
        <f aca="false">IF(F49="","",N(G49)*M49)</f>
        <v/>
      </c>
      <c r="Q49" s="34" t="str">
        <f aca="false">IF(F49="","",N(G49)*N49)</f>
        <v/>
      </c>
      <c r="R49" s="35" t="str">
        <f aca="false">IF(F49="","",P49+Q49)</f>
        <v/>
      </c>
      <c r="S49" s="36"/>
      <c r="T49" s="36"/>
      <c r="U49" s="34" t="str">
        <f aca="false">IF(F49="","",N(G49)*N(I49))</f>
        <v/>
      </c>
      <c r="V49" s="34" t="str">
        <f aca="false">IF(F49="","",N(G49)*N(J49))</f>
        <v/>
      </c>
      <c r="W49" s="13" t="str">
        <f aca="false">IF(F49="","",IF(B49="Excluded","",COUNTIFS($F$6:F49,"?*",$B$6:B49,"&lt;&gt;Excluded")))</f>
        <v/>
      </c>
      <c r="X49" s="34" t="str">
        <f aca="false">IF(F49="","",N(G49)*N(I49)/(1-IF(K49="",'Job Info'!$B$39,K49))*IF('Job Info'!$B$38="Yes",'Job Info'!$B$37,0))</f>
        <v/>
      </c>
    </row>
    <row r="50" customFormat="false" ht="15" hidden="false" customHeight="false" outlineLevel="0" collapsed="false">
      <c r="A50" s="13" t="str">
        <f aca="false">IF(F50="","",ROW()-5)</f>
        <v/>
      </c>
      <c r="B50" s="14"/>
      <c r="C50" s="14"/>
      <c r="D50" s="14"/>
      <c r="E50" s="14"/>
      <c r="F50" s="36"/>
      <c r="G50" s="37"/>
      <c r="H50" s="14"/>
      <c r="I50" s="38"/>
      <c r="J50" s="38"/>
      <c r="K50" s="33"/>
      <c r="L50" s="33"/>
      <c r="M50" s="34" t="str">
        <f aca="false">IF(F50="","",N(I50)/(1-IF(K50="",'Job Info'!$B$39,K50))*(1+IF('Job Info'!$B$38="Yes",'Job Info'!$B$37,0)))</f>
        <v/>
      </c>
      <c r="N50" s="34" t="str">
        <f aca="false">IF(F50="","",N(J50)/(1-IF(L50="",'Job Info'!$B$40,L50)))</f>
        <v/>
      </c>
      <c r="O50" s="34" t="str">
        <f aca="false">IF(F50="","",M50+N50)</f>
        <v/>
      </c>
      <c r="P50" s="34" t="str">
        <f aca="false">IF(F50="","",N(G50)*M50)</f>
        <v/>
      </c>
      <c r="Q50" s="34" t="str">
        <f aca="false">IF(F50="","",N(G50)*N50)</f>
        <v/>
      </c>
      <c r="R50" s="35" t="str">
        <f aca="false">IF(F50="","",P50+Q50)</f>
        <v/>
      </c>
      <c r="S50" s="36"/>
      <c r="T50" s="36"/>
      <c r="U50" s="34" t="str">
        <f aca="false">IF(F50="","",N(G50)*N(I50))</f>
        <v/>
      </c>
      <c r="V50" s="34" t="str">
        <f aca="false">IF(F50="","",N(G50)*N(J50))</f>
        <v/>
      </c>
      <c r="W50" s="13" t="str">
        <f aca="false">IF(F50="","",IF(B50="Excluded","",COUNTIFS($F$6:F50,"?*",$B$6:B50,"&lt;&gt;Excluded")))</f>
        <v/>
      </c>
      <c r="X50" s="34" t="str">
        <f aca="false">IF(F50="","",N(G50)*N(I50)/(1-IF(K50="",'Job Info'!$B$39,K50))*IF('Job Info'!$B$38="Yes",'Job Info'!$B$37,0))</f>
        <v/>
      </c>
    </row>
    <row r="51" customFormat="false" ht="15" hidden="false" customHeight="false" outlineLevel="0" collapsed="false">
      <c r="A51" s="13" t="str">
        <f aca="false">IF(F51="","",ROW()-5)</f>
        <v/>
      </c>
      <c r="B51" s="14"/>
      <c r="C51" s="14"/>
      <c r="D51" s="14"/>
      <c r="E51" s="14"/>
      <c r="F51" s="36"/>
      <c r="G51" s="37"/>
      <c r="H51" s="14"/>
      <c r="I51" s="38"/>
      <c r="J51" s="38"/>
      <c r="K51" s="33"/>
      <c r="L51" s="33"/>
      <c r="M51" s="34" t="str">
        <f aca="false">IF(F51="","",N(I51)/(1-IF(K51="",'Job Info'!$B$39,K51))*(1+IF('Job Info'!$B$38="Yes",'Job Info'!$B$37,0)))</f>
        <v/>
      </c>
      <c r="N51" s="34" t="str">
        <f aca="false">IF(F51="","",N(J51)/(1-IF(L51="",'Job Info'!$B$40,L51)))</f>
        <v/>
      </c>
      <c r="O51" s="34" t="str">
        <f aca="false">IF(F51="","",M51+N51)</f>
        <v/>
      </c>
      <c r="P51" s="34" t="str">
        <f aca="false">IF(F51="","",N(G51)*M51)</f>
        <v/>
      </c>
      <c r="Q51" s="34" t="str">
        <f aca="false">IF(F51="","",N(G51)*N51)</f>
        <v/>
      </c>
      <c r="R51" s="35" t="str">
        <f aca="false">IF(F51="","",P51+Q51)</f>
        <v/>
      </c>
      <c r="S51" s="36"/>
      <c r="T51" s="36"/>
      <c r="U51" s="34" t="str">
        <f aca="false">IF(F51="","",N(G51)*N(I51))</f>
        <v/>
      </c>
      <c r="V51" s="34" t="str">
        <f aca="false">IF(F51="","",N(G51)*N(J51))</f>
        <v/>
      </c>
      <c r="W51" s="13" t="str">
        <f aca="false">IF(F51="","",IF(B51="Excluded","",COUNTIFS($F$6:F51,"?*",$B$6:B51,"&lt;&gt;Excluded")))</f>
        <v/>
      </c>
      <c r="X51" s="34" t="str">
        <f aca="false">IF(F51="","",N(G51)*N(I51)/(1-IF(K51="",'Job Info'!$B$39,K51))*IF('Job Info'!$B$38="Yes",'Job Info'!$B$37,0))</f>
        <v/>
      </c>
    </row>
    <row r="52" customFormat="false" ht="15" hidden="false" customHeight="false" outlineLevel="0" collapsed="false">
      <c r="A52" s="13" t="str">
        <f aca="false">IF(F52="","",ROW()-5)</f>
        <v/>
      </c>
      <c r="B52" s="14"/>
      <c r="C52" s="14"/>
      <c r="D52" s="14"/>
      <c r="E52" s="14"/>
      <c r="F52" s="36"/>
      <c r="G52" s="37"/>
      <c r="H52" s="14"/>
      <c r="I52" s="38"/>
      <c r="J52" s="38"/>
      <c r="K52" s="33"/>
      <c r="L52" s="33"/>
      <c r="M52" s="34" t="str">
        <f aca="false">IF(F52="","",N(I52)/(1-IF(K52="",'Job Info'!$B$39,K52))*(1+IF('Job Info'!$B$38="Yes",'Job Info'!$B$37,0)))</f>
        <v/>
      </c>
      <c r="N52" s="34" t="str">
        <f aca="false">IF(F52="","",N(J52)/(1-IF(L52="",'Job Info'!$B$40,L52)))</f>
        <v/>
      </c>
      <c r="O52" s="34" t="str">
        <f aca="false">IF(F52="","",M52+N52)</f>
        <v/>
      </c>
      <c r="P52" s="34" t="str">
        <f aca="false">IF(F52="","",N(G52)*M52)</f>
        <v/>
      </c>
      <c r="Q52" s="34" t="str">
        <f aca="false">IF(F52="","",N(G52)*N52)</f>
        <v/>
      </c>
      <c r="R52" s="35" t="str">
        <f aca="false">IF(F52="","",P52+Q52)</f>
        <v/>
      </c>
      <c r="S52" s="36"/>
      <c r="T52" s="36"/>
      <c r="U52" s="34" t="str">
        <f aca="false">IF(F52="","",N(G52)*N(I52))</f>
        <v/>
      </c>
      <c r="V52" s="34" t="str">
        <f aca="false">IF(F52="","",N(G52)*N(J52))</f>
        <v/>
      </c>
      <c r="W52" s="13" t="str">
        <f aca="false">IF(F52="","",IF(B52="Excluded","",COUNTIFS($F$6:F52,"?*",$B$6:B52,"&lt;&gt;Excluded")))</f>
        <v/>
      </c>
      <c r="X52" s="34" t="str">
        <f aca="false">IF(F52="","",N(G52)*N(I52)/(1-IF(K52="",'Job Info'!$B$39,K52))*IF('Job Info'!$B$38="Yes",'Job Info'!$B$37,0))</f>
        <v/>
      </c>
    </row>
    <row r="53" customFormat="false" ht="15" hidden="false" customHeight="false" outlineLevel="0" collapsed="false">
      <c r="A53" s="13" t="str">
        <f aca="false">IF(F53="","",ROW()-5)</f>
        <v/>
      </c>
      <c r="B53" s="14"/>
      <c r="C53" s="14"/>
      <c r="D53" s="14"/>
      <c r="E53" s="14"/>
      <c r="F53" s="36"/>
      <c r="G53" s="37"/>
      <c r="H53" s="14"/>
      <c r="I53" s="38"/>
      <c r="J53" s="38"/>
      <c r="K53" s="33"/>
      <c r="L53" s="33"/>
      <c r="M53" s="34" t="str">
        <f aca="false">IF(F53="","",N(I53)/(1-IF(K53="",'Job Info'!$B$39,K53))*(1+IF('Job Info'!$B$38="Yes",'Job Info'!$B$37,0)))</f>
        <v/>
      </c>
      <c r="N53" s="34" t="str">
        <f aca="false">IF(F53="","",N(J53)/(1-IF(L53="",'Job Info'!$B$40,L53)))</f>
        <v/>
      </c>
      <c r="O53" s="34" t="str">
        <f aca="false">IF(F53="","",M53+N53)</f>
        <v/>
      </c>
      <c r="P53" s="34" t="str">
        <f aca="false">IF(F53="","",N(G53)*M53)</f>
        <v/>
      </c>
      <c r="Q53" s="34" t="str">
        <f aca="false">IF(F53="","",N(G53)*N53)</f>
        <v/>
      </c>
      <c r="R53" s="35" t="str">
        <f aca="false">IF(F53="","",P53+Q53)</f>
        <v/>
      </c>
      <c r="S53" s="36"/>
      <c r="T53" s="36"/>
      <c r="U53" s="34" t="str">
        <f aca="false">IF(F53="","",N(G53)*N(I53))</f>
        <v/>
      </c>
      <c r="V53" s="34" t="str">
        <f aca="false">IF(F53="","",N(G53)*N(J53))</f>
        <v/>
      </c>
      <c r="W53" s="13" t="str">
        <f aca="false">IF(F53="","",IF(B53="Excluded","",COUNTIFS($F$6:F53,"?*",$B$6:B53,"&lt;&gt;Excluded")))</f>
        <v/>
      </c>
      <c r="X53" s="34" t="str">
        <f aca="false">IF(F53="","",N(G53)*N(I53)/(1-IF(K53="",'Job Info'!$B$39,K53))*IF('Job Info'!$B$38="Yes",'Job Info'!$B$37,0))</f>
        <v/>
      </c>
    </row>
    <row r="54" customFormat="false" ht="15" hidden="false" customHeight="false" outlineLevel="0" collapsed="false">
      <c r="A54" s="13" t="str">
        <f aca="false">IF(F54="","",ROW()-5)</f>
        <v/>
      </c>
      <c r="B54" s="14"/>
      <c r="C54" s="14"/>
      <c r="D54" s="14"/>
      <c r="E54" s="14"/>
      <c r="F54" s="36"/>
      <c r="G54" s="37"/>
      <c r="H54" s="14"/>
      <c r="I54" s="38"/>
      <c r="J54" s="38"/>
      <c r="K54" s="33"/>
      <c r="L54" s="33"/>
      <c r="M54" s="34" t="str">
        <f aca="false">IF(F54="","",N(I54)/(1-IF(K54="",'Job Info'!$B$39,K54))*(1+IF('Job Info'!$B$38="Yes",'Job Info'!$B$37,0)))</f>
        <v/>
      </c>
      <c r="N54" s="34" t="str">
        <f aca="false">IF(F54="","",N(J54)/(1-IF(L54="",'Job Info'!$B$40,L54)))</f>
        <v/>
      </c>
      <c r="O54" s="34" t="str">
        <f aca="false">IF(F54="","",M54+N54)</f>
        <v/>
      </c>
      <c r="P54" s="34" t="str">
        <f aca="false">IF(F54="","",N(G54)*M54)</f>
        <v/>
      </c>
      <c r="Q54" s="34" t="str">
        <f aca="false">IF(F54="","",N(G54)*N54)</f>
        <v/>
      </c>
      <c r="R54" s="35" t="str">
        <f aca="false">IF(F54="","",P54+Q54)</f>
        <v/>
      </c>
      <c r="S54" s="36"/>
      <c r="T54" s="36"/>
      <c r="U54" s="34" t="str">
        <f aca="false">IF(F54="","",N(G54)*N(I54))</f>
        <v/>
      </c>
      <c r="V54" s="34" t="str">
        <f aca="false">IF(F54="","",N(G54)*N(J54))</f>
        <v/>
      </c>
      <c r="W54" s="13" t="str">
        <f aca="false">IF(F54="","",IF(B54="Excluded","",COUNTIFS($F$6:F54,"?*",$B$6:B54,"&lt;&gt;Excluded")))</f>
        <v/>
      </c>
      <c r="X54" s="34" t="str">
        <f aca="false">IF(F54="","",N(G54)*N(I54)/(1-IF(K54="",'Job Info'!$B$39,K54))*IF('Job Info'!$B$38="Yes",'Job Info'!$B$37,0))</f>
        <v/>
      </c>
    </row>
    <row r="55" customFormat="false" ht="15" hidden="false" customHeight="false" outlineLevel="0" collapsed="false">
      <c r="A55" s="13" t="str">
        <f aca="false">IF(F55="","",ROW()-5)</f>
        <v/>
      </c>
      <c r="B55" s="14"/>
      <c r="C55" s="14"/>
      <c r="D55" s="14"/>
      <c r="E55" s="14"/>
      <c r="F55" s="36"/>
      <c r="G55" s="37"/>
      <c r="H55" s="14"/>
      <c r="I55" s="38"/>
      <c r="J55" s="38"/>
      <c r="K55" s="33"/>
      <c r="L55" s="33"/>
      <c r="M55" s="34" t="str">
        <f aca="false">IF(F55="","",N(I55)/(1-IF(K55="",'Job Info'!$B$39,K55))*(1+IF('Job Info'!$B$38="Yes",'Job Info'!$B$37,0)))</f>
        <v/>
      </c>
      <c r="N55" s="34" t="str">
        <f aca="false">IF(F55="","",N(J55)/(1-IF(L55="",'Job Info'!$B$40,L55)))</f>
        <v/>
      </c>
      <c r="O55" s="34" t="str">
        <f aca="false">IF(F55="","",M55+N55)</f>
        <v/>
      </c>
      <c r="P55" s="34" t="str">
        <f aca="false">IF(F55="","",N(G55)*M55)</f>
        <v/>
      </c>
      <c r="Q55" s="34" t="str">
        <f aca="false">IF(F55="","",N(G55)*N55)</f>
        <v/>
      </c>
      <c r="R55" s="35" t="str">
        <f aca="false">IF(F55="","",P55+Q55)</f>
        <v/>
      </c>
      <c r="S55" s="36"/>
      <c r="T55" s="36"/>
      <c r="U55" s="34" t="str">
        <f aca="false">IF(F55="","",N(G55)*N(I55))</f>
        <v/>
      </c>
      <c r="V55" s="34" t="str">
        <f aca="false">IF(F55="","",N(G55)*N(J55))</f>
        <v/>
      </c>
      <c r="W55" s="13" t="str">
        <f aca="false">IF(F55="","",IF(B55="Excluded","",COUNTIFS($F$6:F55,"?*",$B$6:B55,"&lt;&gt;Excluded")))</f>
        <v/>
      </c>
      <c r="X55" s="34" t="str">
        <f aca="false">IF(F55="","",N(G55)*N(I55)/(1-IF(K55="",'Job Info'!$B$39,K55))*IF('Job Info'!$B$38="Yes",'Job Info'!$B$37,0))</f>
        <v/>
      </c>
    </row>
    <row r="56" customFormat="false" ht="15" hidden="false" customHeight="false" outlineLevel="0" collapsed="false">
      <c r="A56" s="13" t="str">
        <f aca="false">IF(F56="","",ROW()-5)</f>
        <v/>
      </c>
      <c r="B56" s="14"/>
      <c r="C56" s="14"/>
      <c r="D56" s="14"/>
      <c r="E56" s="14"/>
      <c r="F56" s="36"/>
      <c r="G56" s="37"/>
      <c r="H56" s="14"/>
      <c r="I56" s="38"/>
      <c r="J56" s="38"/>
      <c r="K56" s="33"/>
      <c r="L56" s="33"/>
      <c r="M56" s="34" t="str">
        <f aca="false">IF(F56="","",N(I56)/(1-IF(K56="",'Job Info'!$B$39,K56))*(1+IF('Job Info'!$B$38="Yes",'Job Info'!$B$37,0)))</f>
        <v/>
      </c>
      <c r="N56" s="34" t="str">
        <f aca="false">IF(F56="","",N(J56)/(1-IF(L56="",'Job Info'!$B$40,L56)))</f>
        <v/>
      </c>
      <c r="O56" s="34" t="str">
        <f aca="false">IF(F56="","",M56+N56)</f>
        <v/>
      </c>
      <c r="P56" s="34" t="str">
        <f aca="false">IF(F56="","",N(G56)*M56)</f>
        <v/>
      </c>
      <c r="Q56" s="34" t="str">
        <f aca="false">IF(F56="","",N(G56)*N56)</f>
        <v/>
      </c>
      <c r="R56" s="35" t="str">
        <f aca="false">IF(F56="","",P56+Q56)</f>
        <v/>
      </c>
      <c r="S56" s="36"/>
      <c r="T56" s="36"/>
      <c r="U56" s="34" t="str">
        <f aca="false">IF(F56="","",N(G56)*N(I56))</f>
        <v/>
      </c>
      <c r="V56" s="34" t="str">
        <f aca="false">IF(F56="","",N(G56)*N(J56))</f>
        <v/>
      </c>
      <c r="W56" s="13" t="str">
        <f aca="false">IF(F56="","",IF(B56="Excluded","",COUNTIFS($F$6:F56,"?*",$B$6:B56,"&lt;&gt;Excluded")))</f>
        <v/>
      </c>
      <c r="X56" s="34" t="str">
        <f aca="false">IF(F56="","",N(G56)*N(I56)/(1-IF(K56="",'Job Info'!$B$39,K56))*IF('Job Info'!$B$38="Yes",'Job Info'!$B$37,0))</f>
        <v/>
      </c>
    </row>
    <row r="57" customFormat="false" ht="15" hidden="false" customHeight="false" outlineLevel="0" collapsed="false">
      <c r="A57" s="13" t="str">
        <f aca="false">IF(F57="","",ROW()-5)</f>
        <v/>
      </c>
      <c r="B57" s="14"/>
      <c r="C57" s="14"/>
      <c r="D57" s="14"/>
      <c r="E57" s="14"/>
      <c r="F57" s="36"/>
      <c r="G57" s="37"/>
      <c r="H57" s="14"/>
      <c r="I57" s="38"/>
      <c r="J57" s="38"/>
      <c r="K57" s="33"/>
      <c r="L57" s="33"/>
      <c r="M57" s="34" t="str">
        <f aca="false">IF(F57="","",N(I57)/(1-IF(K57="",'Job Info'!$B$39,K57))*(1+IF('Job Info'!$B$38="Yes",'Job Info'!$B$37,0)))</f>
        <v/>
      </c>
      <c r="N57" s="34" t="str">
        <f aca="false">IF(F57="","",N(J57)/(1-IF(L57="",'Job Info'!$B$40,L57)))</f>
        <v/>
      </c>
      <c r="O57" s="34" t="str">
        <f aca="false">IF(F57="","",M57+N57)</f>
        <v/>
      </c>
      <c r="P57" s="34" t="str">
        <f aca="false">IF(F57="","",N(G57)*M57)</f>
        <v/>
      </c>
      <c r="Q57" s="34" t="str">
        <f aca="false">IF(F57="","",N(G57)*N57)</f>
        <v/>
      </c>
      <c r="R57" s="35" t="str">
        <f aca="false">IF(F57="","",P57+Q57)</f>
        <v/>
      </c>
      <c r="S57" s="36"/>
      <c r="T57" s="36"/>
      <c r="U57" s="34" t="str">
        <f aca="false">IF(F57="","",N(G57)*N(I57))</f>
        <v/>
      </c>
      <c r="V57" s="34" t="str">
        <f aca="false">IF(F57="","",N(G57)*N(J57))</f>
        <v/>
      </c>
      <c r="W57" s="13" t="str">
        <f aca="false">IF(F57="","",IF(B57="Excluded","",COUNTIFS($F$6:F57,"?*",$B$6:B57,"&lt;&gt;Excluded")))</f>
        <v/>
      </c>
      <c r="X57" s="34" t="str">
        <f aca="false">IF(F57="","",N(G57)*N(I57)/(1-IF(K57="",'Job Info'!$B$39,K57))*IF('Job Info'!$B$38="Yes",'Job Info'!$B$37,0))</f>
        <v/>
      </c>
    </row>
    <row r="58" customFormat="false" ht="15" hidden="false" customHeight="false" outlineLevel="0" collapsed="false">
      <c r="A58" s="13" t="str">
        <f aca="false">IF(F58="","",ROW()-5)</f>
        <v/>
      </c>
      <c r="B58" s="14"/>
      <c r="C58" s="14"/>
      <c r="D58" s="14"/>
      <c r="E58" s="14"/>
      <c r="F58" s="36"/>
      <c r="G58" s="37"/>
      <c r="H58" s="14"/>
      <c r="I58" s="38"/>
      <c r="J58" s="38"/>
      <c r="K58" s="33"/>
      <c r="L58" s="33"/>
      <c r="M58" s="34" t="str">
        <f aca="false">IF(F58="","",N(I58)/(1-IF(K58="",'Job Info'!$B$39,K58))*(1+IF('Job Info'!$B$38="Yes",'Job Info'!$B$37,0)))</f>
        <v/>
      </c>
      <c r="N58" s="34" t="str">
        <f aca="false">IF(F58="","",N(J58)/(1-IF(L58="",'Job Info'!$B$40,L58)))</f>
        <v/>
      </c>
      <c r="O58" s="34" t="str">
        <f aca="false">IF(F58="","",M58+N58)</f>
        <v/>
      </c>
      <c r="P58" s="34" t="str">
        <f aca="false">IF(F58="","",N(G58)*M58)</f>
        <v/>
      </c>
      <c r="Q58" s="34" t="str">
        <f aca="false">IF(F58="","",N(G58)*N58)</f>
        <v/>
      </c>
      <c r="R58" s="35" t="str">
        <f aca="false">IF(F58="","",P58+Q58)</f>
        <v/>
      </c>
      <c r="S58" s="36"/>
      <c r="T58" s="36"/>
      <c r="U58" s="34" t="str">
        <f aca="false">IF(F58="","",N(G58)*N(I58))</f>
        <v/>
      </c>
      <c r="V58" s="34" t="str">
        <f aca="false">IF(F58="","",N(G58)*N(J58))</f>
        <v/>
      </c>
      <c r="W58" s="13" t="str">
        <f aca="false">IF(F58="","",IF(B58="Excluded","",COUNTIFS($F$6:F58,"?*",$B$6:B58,"&lt;&gt;Excluded")))</f>
        <v/>
      </c>
      <c r="X58" s="34" t="str">
        <f aca="false">IF(F58="","",N(G58)*N(I58)/(1-IF(K58="",'Job Info'!$B$39,K58))*IF('Job Info'!$B$38="Yes",'Job Info'!$B$37,0))</f>
        <v/>
      </c>
    </row>
    <row r="59" customFormat="false" ht="15" hidden="false" customHeight="false" outlineLevel="0" collapsed="false">
      <c r="A59" s="13" t="str">
        <f aca="false">IF(F59="","",ROW()-5)</f>
        <v/>
      </c>
      <c r="B59" s="14"/>
      <c r="C59" s="14"/>
      <c r="D59" s="14"/>
      <c r="E59" s="14"/>
      <c r="F59" s="36"/>
      <c r="G59" s="37"/>
      <c r="H59" s="14"/>
      <c r="I59" s="38"/>
      <c r="J59" s="38"/>
      <c r="K59" s="33"/>
      <c r="L59" s="33"/>
      <c r="M59" s="34" t="str">
        <f aca="false">IF(F59="","",N(I59)/(1-IF(K59="",'Job Info'!$B$39,K59))*(1+IF('Job Info'!$B$38="Yes",'Job Info'!$B$37,0)))</f>
        <v/>
      </c>
      <c r="N59" s="34" t="str">
        <f aca="false">IF(F59="","",N(J59)/(1-IF(L59="",'Job Info'!$B$40,L59)))</f>
        <v/>
      </c>
      <c r="O59" s="34" t="str">
        <f aca="false">IF(F59="","",M59+N59)</f>
        <v/>
      </c>
      <c r="P59" s="34" t="str">
        <f aca="false">IF(F59="","",N(G59)*M59)</f>
        <v/>
      </c>
      <c r="Q59" s="34" t="str">
        <f aca="false">IF(F59="","",N(G59)*N59)</f>
        <v/>
      </c>
      <c r="R59" s="35" t="str">
        <f aca="false">IF(F59="","",P59+Q59)</f>
        <v/>
      </c>
      <c r="S59" s="36"/>
      <c r="T59" s="36"/>
      <c r="U59" s="34" t="str">
        <f aca="false">IF(F59="","",N(G59)*N(I59))</f>
        <v/>
      </c>
      <c r="V59" s="34" t="str">
        <f aca="false">IF(F59="","",N(G59)*N(J59))</f>
        <v/>
      </c>
      <c r="W59" s="13" t="str">
        <f aca="false">IF(F59="","",IF(B59="Excluded","",COUNTIFS($F$6:F59,"?*",$B$6:B59,"&lt;&gt;Excluded")))</f>
        <v/>
      </c>
      <c r="X59" s="34" t="str">
        <f aca="false">IF(F59="","",N(G59)*N(I59)/(1-IF(K59="",'Job Info'!$B$39,K59))*IF('Job Info'!$B$38="Yes",'Job Info'!$B$37,0))</f>
        <v/>
      </c>
    </row>
    <row r="60" customFormat="false" ht="15" hidden="false" customHeight="false" outlineLevel="0" collapsed="false">
      <c r="A60" s="13" t="str">
        <f aca="false">IF(F60="","",ROW()-5)</f>
        <v/>
      </c>
      <c r="B60" s="14"/>
      <c r="C60" s="14"/>
      <c r="D60" s="14"/>
      <c r="E60" s="14"/>
      <c r="F60" s="36"/>
      <c r="G60" s="37"/>
      <c r="H60" s="14"/>
      <c r="I60" s="38"/>
      <c r="J60" s="38"/>
      <c r="K60" s="33"/>
      <c r="L60" s="33"/>
      <c r="M60" s="34" t="str">
        <f aca="false">IF(F60="","",N(I60)/(1-IF(K60="",'Job Info'!$B$39,K60))*(1+IF('Job Info'!$B$38="Yes",'Job Info'!$B$37,0)))</f>
        <v/>
      </c>
      <c r="N60" s="34" t="str">
        <f aca="false">IF(F60="","",N(J60)/(1-IF(L60="",'Job Info'!$B$40,L60)))</f>
        <v/>
      </c>
      <c r="O60" s="34" t="str">
        <f aca="false">IF(F60="","",M60+N60)</f>
        <v/>
      </c>
      <c r="P60" s="34" t="str">
        <f aca="false">IF(F60="","",N(G60)*M60)</f>
        <v/>
      </c>
      <c r="Q60" s="34" t="str">
        <f aca="false">IF(F60="","",N(G60)*N60)</f>
        <v/>
      </c>
      <c r="R60" s="35" t="str">
        <f aca="false">IF(F60="","",P60+Q60)</f>
        <v/>
      </c>
      <c r="S60" s="36"/>
      <c r="T60" s="36"/>
      <c r="U60" s="34" t="str">
        <f aca="false">IF(F60="","",N(G60)*N(I60))</f>
        <v/>
      </c>
      <c r="V60" s="34" t="str">
        <f aca="false">IF(F60="","",N(G60)*N(J60))</f>
        <v/>
      </c>
      <c r="W60" s="13" t="str">
        <f aca="false">IF(F60="","",IF(B60="Excluded","",COUNTIFS($F$6:F60,"?*",$B$6:B60,"&lt;&gt;Excluded")))</f>
        <v/>
      </c>
      <c r="X60" s="34" t="str">
        <f aca="false">IF(F60="","",N(G60)*N(I60)/(1-IF(K60="",'Job Info'!$B$39,K60))*IF('Job Info'!$B$38="Yes",'Job Info'!$B$37,0))</f>
        <v/>
      </c>
    </row>
    <row r="61" customFormat="false" ht="15" hidden="false" customHeight="false" outlineLevel="0" collapsed="false">
      <c r="A61" s="13" t="str">
        <f aca="false">IF(F61="","",ROW()-5)</f>
        <v/>
      </c>
      <c r="B61" s="14"/>
      <c r="C61" s="14"/>
      <c r="D61" s="14"/>
      <c r="E61" s="14"/>
      <c r="F61" s="36"/>
      <c r="G61" s="37"/>
      <c r="H61" s="14"/>
      <c r="I61" s="38"/>
      <c r="J61" s="38"/>
      <c r="K61" s="33"/>
      <c r="L61" s="33"/>
      <c r="M61" s="34" t="str">
        <f aca="false">IF(F61="","",N(I61)/(1-IF(K61="",'Job Info'!$B$39,K61))*(1+IF('Job Info'!$B$38="Yes",'Job Info'!$B$37,0)))</f>
        <v/>
      </c>
      <c r="N61" s="34" t="str">
        <f aca="false">IF(F61="","",N(J61)/(1-IF(L61="",'Job Info'!$B$40,L61)))</f>
        <v/>
      </c>
      <c r="O61" s="34" t="str">
        <f aca="false">IF(F61="","",M61+N61)</f>
        <v/>
      </c>
      <c r="P61" s="34" t="str">
        <f aca="false">IF(F61="","",N(G61)*M61)</f>
        <v/>
      </c>
      <c r="Q61" s="34" t="str">
        <f aca="false">IF(F61="","",N(G61)*N61)</f>
        <v/>
      </c>
      <c r="R61" s="35" t="str">
        <f aca="false">IF(F61="","",P61+Q61)</f>
        <v/>
      </c>
      <c r="S61" s="36"/>
      <c r="T61" s="36"/>
      <c r="U61" s="34" t="str">
        <f aca="false">IF(F61="","",N(G61)*N(I61))</f>
        <v/>
      </c>
      <c r="V61" s="34" t="str">
        <f aca="false">IF(F61="","",N(G61)*N(J61))</f>
        <v/>
      </c>
      <c r="W61" s="13" t="str">
        <f aca="false">IF(F61="","",IF(B61="Excluded","",COUNTIFS($F$6:F61,"?*",$B$6:B61,"&lt;&gt;Excluded")))</f>
        <v/>
      </c>
      <c r="X61" s="34" t="str">
        <f aca="false">IF(F61="","",N(G61)*N(I61)/(1-IF(K61="",'Job Info'!$B$39,K61))*IF('Job Info'!$B$38="Yes",'Job Info'!$B$37,0))</f>
        <v/>
      </c>
    </row>
    <row r="62" customFormat="false" ht="15" hidden="false" customHeight="false" outlineLevel="0" collapsed="false">
      <c r="A62" s="13" t="str">
        <f aca="false">IF(F62="","",ROW()-5)</f>
        <v/>
      </c>
      <c r="B62" s="14"/>
      <c r="C62" s="14"/>
      <c r="D62" s="14"/>
      <c r="E62" s="14"/>
      <c r="F62" s="36"/>
      <c r="G62" s="37"/>
      <c r="H62" s="14"/>
      <c r="I62" s="38"/>
      <c r="J62" s="38"/>
      <c r="K62" s="33"/>
      <c r="L62" s="33"/>
      <c r="M62" s="34" t="str">
        <f aca="false">IF(F62="","",N(I62)/(1-IF(K62="",'Job Info'!$B$39,K62))*(1+IF('Job Info'!$B$38="Yes",'Job Info'!$B$37,0)))</f>
        <v/>
      </c>
      <c r="N62" s="34" t="str">
        <f aca="false">IF(F62="","",N(J62)/(1-IF(L62="",'Job Info'!$B$40,L62)))</f>
        <v/>
      </c>
      <c r="O62" s="34" t="str">
        <f aca="false">IF(F62="","",M62+N62)</f>
        <v/>
      </c>
      <c r="P62" s="34" t="str">
        <f aca="false">IF(F62="","",N(G62)*M62)</f>
        <v/>
      </c>
      <c r="Q62" s="34" t="str">
        <f aca="false">IF(F62="","",N(G62)*N62)</f>
        <v/>
      </c>
      <c r="R62" s="35" t="str">
        <f aca="false">IF(F62="","",P62+Q62)</f>
        <v/>
      </c>
      <c r="S62" s="36"/>
      <c r="T62" s="36"/>
      <c r="U62" s="34" t="str">
        <f aca="false">IF(F62="","",N(G62)*N(I62))</f>
        <v/>
      </c>
      <c r="V62" s="34" t="str">
        <f aca="false">IF(F62="","",N(G62)*N(J62))</f>
        <v/>
      </c>
      <c r="W62" s="13" t="str">
        <f aca="false">IF(F62="","",IF(B62="Excluded","",COUNTIFS($F$6:F62,"?*",$B$6:B62,"&lt;&gt;Excluded")))</f>
        <v/>
      </c>
      <c r="X62" s="34" t="str">
        <f aca="false">IF(F62="","",N(G62)*N(I62)/(1-IF(K62="",'Job Info'!$B$39,K62))*IF('Job Info'!$B$38="Yes",'Job Info'!$B$37,0))</f>
        <v/>
      </c>
    </row>
    <row r="63" customFormat="false" ht="15" hidden="false" customHeight="false" outlineLevel="0" collapsed="false">
      <c r="A63" s="13" t="str">
        <f aca="false">IF(F63="","",ROW()-5)</f>
        <v/>
      </c>
      <c r="B63" s="14"/>
      <c r="C63" s="14"/>
      <c r="D63" s="14"/>
      <c r="E63" s="14"/>
      <c r="F63" s="36"/>
      <c r="G63" s="37"/>
      <c r="H63" s="14"/>
      <c r="I63" s="38"/>
      <c r="J63" s="38"/>
      <c r="K63" s="33"/>
      <c r="L63" s="33"/>
      <c r="M63" s="34" t="str">
        <f aca="false">IF(F63="","",N(I63)/(1-IF(K63="",'Job Info'!$B$39,K63))*(1+IF('Job Info'!$B$38="Yes",'Job Info'!$B$37,0)))</f>
        <v/>
      </c>
      <c r="N63" s="34" t="str">
        <f aca="false">IF(F63="","",N(J63)/(1-IF(L63="",'Job Info'!$B$40,L63)))</f>
        <v/>
      </c>
      <c r="O63" s="34" t="str">
        <f aca="false">IF(F63="","",M63+N63)</f>
        <v/>
      </c>
      <c r="P63" s="34" t="str">
        <f aca="false">IF(F63="","",N(G63)*M63)</f>
        <v/>
      </c>
      <c r="Q63" s="34" t="str">
        <f aca="false">IF(F63="","",N(G63)*N63)</f>
        <v/>
      </c>
      <c r="R63" s="35" t="str">
        <f aca="false">IF(F63="","",P63+Q63)</f>
        <v/>
      </c>
      <c r="S63" s="36"/>
      <c r="T63" s="36"/>
      <c r="U63" s="34" t="str">
        <f aca="false">IF(F63="","",N(G63)*N(I63))</f>
        <v/>
      </c>
      <c r="V63" s="34" t="str">
        <f aca="false">IF(F63="","",N(G63)*N(J63))</f>
        <v/>
      </c>
      <c r="W63" s="13" t="str">
        <f aca="false">IF(F63="","",IF(B63="Excluded","",COUNTIFS($F$6:F63,"?*",$B$6:B63,"&lt;&gt;Excluded")))</f>
        <v/>
      </c>
      <c r="X63" s="34" t="str">
        <f aca="false">IF(F63="","",N(G63)*N(I63)/(1-IF(K63="",'Job Info'!$B$39,K63))*IF('Job Info'!$B$38="Yes",'Job Info'!$B$37,0))</f>
        <v/>
      </c>
    </row>
    <row r="64" customFormat="false" ht="15" hidden="false" customHeight="false" outlineLevel="0" collapsed="false">
      <c r="A64" s="13" t="str">
        <f aca="false">IF(F64="","",ROW()-5)</f>
        <v/>
      </c>
      <c r="B64" s="14"/>
      <c r="C64" s="14"/>
      <c r="D64" s="14"/>
      <c r="E64" s="14"/>
      <c r="F64" s="36"/>
      <c r="G64" s="37"/>
      <c r="H64" s="14"/>
      <c r="I64" s="38"/>
      <c r="J64" s="38"/>
      <c r="K64" s="33"/>
      <c r="L64" s="33"/>
      <c r="M64" s="34" t="str">
        <f aca="false">IF(F64="","",N(I64)/(1-IF(K64="",'Job Info'!$B$39,K64))*(1+IF('Job Info'!$B$38="Yes",'Job Info'!$B$37,0)))</f>
        <v/>
      </c>
      <c r="N64" s="34" t="str">
        <f aca="false">IF(F64="","",N(J64)/(1-IF(L64="",'Job Info'!$B$40,L64)))</f>
        <v/>
      </c>
      <c r="O64" s="34" t="str">
        <f aca="false">IF(F64="","",M64+N64)</f>
        <v/>
      </c>
      <c r="P64" s="34" t="str">
        <f aca="false">IF(F64="","",N(G64)*M64)</f>
        <v/>
      </c>
      <c r="Q64" s="34" t="str">
        <f aca="false">IF(F64="","",N(G64)*N64)</f>
        <v/>
      </c>
      <c r="R64" s="35" t="str">
        <f aca="false">IF(F64="","",P64+Q64)</f>
        <v/>
      </c>
      <c r="S64" s="36"/>
      <c r="T64" s="36"/>
      <c r="U64" s="34" t="str">
        <f aca="false">IF(F64="","",N(G64)*N(I64))</f>
        <v/>
      </c>
      <c r="V64" s="34" t="str">
        <f aca="false">IF(F64="","",N(G64)*N(J64))</f>
        <v/>
      </c>
      <c r="W64" s="13" t="str">
        <f aca="false">IF(F64="","",IF(B64="Excluded","",COUNTIFS($F$6:F64,"?*",$B$6:B64,"&lt;&gt;Excluded")))</f>
        <v/>
      </c>
      <c r="X64" s="34" t="str">
        <f aca="false">IF(F64="","",N(G64)*N(I64)/(1-IF(K64="",'Job Info'!$B$39,K64))*IF('Job Info'!$B$38="Yes",'Job Info'!$B$37,0))</f>
        <v/>
      </c>
    </row>
    <row r="65" customFormat="false" ht="15" hidden="false" customHeight="false" outlineLevel="0" collapsed="false">
      <c r="A65" s="13" t="str">
        <f aca="false">IF(F65="","",ROW()-5)</f>
        <v/>
      </c>
      <c r="B65" s="14"/>
      <c r="C65" s="14"/>
      <c r="D65" s="14"/>
      <c r="E65" s="14"/>
      <c r="F65" s="36"/>
      <c r="G65" s="37"/>
      <c r="H65" s="14"/>
      <c r="I65" s="38"/>
      <c r="J65" s="38"/>
      <c r="K65" s="33"/>
      <c r="L65" s="33"/>
      <c r="M65" s="34" t="str">
        <f aca="false">IF(F65="","",N(I65)/(1-IF(K65="",'Job Info'!$B$39,K65))*(1+IF('Job Info'!$B$38="Yes",'Job Info'!$B$37,0)))</f>
        <v/>
      </c>
      <c r="N65" s="34" t="str">
        <f aca="false">IF(F65="","",N(J65)/(1-IF(L65="",'Job Info'!$B$40,L65)))</f>
        <v/>
      </c>
      <c r="O65" s="34" t="str">
        <f aca="false">IF(F65="","",M65+N65)</f>
        <v/>
      </c>
      <c r="P65" s="34" t="str">
        <f aca="false">IF(F65="","",N(G65)*M65)</f>
        <v/>
      </c>
      <c r="Q65" s="34" t="str">
        <f aca="false">IF(F65="","",N(G65)*N65)</f>
        <v/>
      </c>
      <c r="R65" s="35" t="str">
        <f aca="false">IF(F65="","",P65+Q65)</f>
        <v/>
      </c>
      <c r="S65" s="36"/>
      <c r="T65" s="36"/>
      <c r="U65" s="34" t="str">
        <f aca="false">IF(F65="","",N(G65)*N(I65))</f>
        <v/>
      </c>
      <c r="V65" s="34" t="str">
        <f aca="false">IF(F65="","",N(G65)*N(J65))</f>
        <v/>
      </c>
      <c r="W65" s="13" t="str">
        <f aca="false">IF(F65="","",IF(B65="Excluded","",COUNTIFS($F$6:F65,"?*",$B$6:B65,"&lt;&gt;Excluded")))</f>
        <v/>
      </c>
      <c r="X65" s="34" t="str">
        <f aca="false">IF(F65="","",N(G65)*N(I65)/(1-IF(K65="",'Job Info'!$B$39,K65))*IF('Job Info'!$B$38="Yes",'Job Info'!$B$37,0))</f>
        <v/>
      </c>
    </row>
    <row r="66" customFormat="false" ht="15" hidden="false" customHeight="false" outlineLevel="0" collapsed="false">
      <c r="A66" s="13" t="str">
        <f aca="false">IF(F66="","",ROW()-5)</f>
        <v/>
      </c>
      <c r="B66" s="14"/>
      <c r="C66" s="14"/>
      <c r="D66" s="14"/>
      <c r="E66" s="14"/>
      <c r="F66" s="36"/>
      <c r="G66" s="37"/>
      <c r="H66" s="14"/>
      <c r="I66" s="38"/>
      <c r="J66" s="38"/>
      <c r="K66" s="33"/>
      <c r="L66" s="33"/>
      <c r="M66" s="34" t="str">
        <f aca="false">IF(F66="","",N(I66)/(1-IF(K66="",'Job Info'!$B$39,K66))*(1+IF('Job Info'!$B$38="Yes",'Job Info'!$B$37,0)))</f>
        <v/>
      </c>
      <c r="N66" s="34" t="str">
        <f aca="false">IF(F66="","",N(J66)/(1-IF(L66="",'Job Info'!$B$40,L66)))</f>
        <v/>
      </c>
      <c r="O66" s="34" t="str">
        <f aca="false">IF(F66="","",M66+N66)</f>
        <v/>
      </c>
      <c r="P66" s="34" t="str">
        <f aca="false">IF(F66="","",N(G66)*M66)</f>
        <v/>
      </c>
      <c r="Q66" s="34" t="str">
        <f aca="false">IF(F66="","",N(G66)*N66)</f>
        <v/>
      </c>
      <c r="R66" s="35" t="str">
        <f aca="false">IF(F66="","",P66+Q66)</f>
        <v/>
      </c>
      <c r="S66" s="36"/>
      <c r="T66" s="36"/>
      <c r="U66" s="34" t="str">
        <f aca="false">IF(F66="","",N(G66)*N(I66))</f>
        <v/>
      </c>
      <c r="V66" s="34" t="str">
        <f aca="false">IF(F66="","",N(G66)*N(J66))</f>
        <v/>
      </c>
      <c r="W66" s="13" t="str">
        <f aca="false">IF(F66="","",IF(B66="Excluded","",COUNTIFS($F$6:F66,"?*",$B$6:B66,"&lt;&gt;Excluded")))</f>
        <v/>
      </c>
      <c r="X66" s="34" t="str">
        <f aca="false">IF(F66="","",N(G66)*N(I66)/(1-IF(K66="",'Job Info'!$B$39,K66))*IF('Job Info'!$B$38="Yes",'Job Info'!$B$37,0))</f>
        <v/>
      </c>
    </row>
    <row r="67" customFormat="false" ht="15" hidden="false" customHeight="false" outlineLevel="0" collapsed="false">
      <c r="A67" s="13" t="str">
        <f aca="false">IF(F67="","",ROW()-5)</f>
        <v/>
      </c>
      <c r="B67" s="14"/>
      <c r="C67" s="14"/>
      <c r="D67" s="14"/>
      <c r="E67" s="14"/>
      <c r="F67" s="36"/>
      <c r="G67" s="37"/>
      <c r="H67" s="14"/>
      <c r="I67" s="38"/>
      <c r="J67" s="38"/>
      <c r="K67" s="33"/>
      <c r="L67" s="33"/>
      <c r="M67" s="34" t="str">
        <f aca="false">IF(F67="","",N(I67)/(1-IF(K67="",'Job Info'!$B$39,K67))*(1+IF('Job Info'!$B$38="Yes",'Job Info'!$B$37,0)))</f>
        <v/>
      </c>
      <c r="N67" s="34" t="str">
        <f aca="false">IF(F67="","",N(J67)/(1-IF(L67="",'Job Info'!$B$40,L67)))</f>
        <v/>
      </c>
      <c r="O67" s="34" t="str">
        <f aca="false">IF(F67="","",M67+N67)</f>
        <v/>
      </c>
      <c r="P67" s="34" t="str">
        <f aca="false">IF(F67="","",N(G67)*M67)</f>
        <v/>
      </c>
      <c r="Q67" s="34" t="str">
        <f aca="false">IF(F67="","",N(G67)*N67)</f>
        <v/>
      </c>
      <c r="R67" s="35" t="str">
        <f aca="false">IF(F67="","",P67+Q67)</f>
        <v/>
      </c>
      <c r="S67" s="36"/>
      <c r="T67" s="36"/>
      <c r="U67" s="34" t="str">
        <f aca="false">IF(F67="","",N(G67)*N(I67))</f>
        <v/>
      </c>
      <c r="V67" s="34" t="str">
        <f aca="false">IF(F67="","",N(G67)*N(J67))</f>
        <v/>
      </c>
      <c r="W67" s="13" t="str">
        <f aca="false">IF(F67="","",IF(B67="Excluded","",COUNTIFS($F$6:F67,"?*",$B$6:B67,"&lt;&gt;Excluded")))</f>
        <v/>
      </c>
      <c r="X67" s="34" t="str">
        <f aca="false">IF(F67="","",N(G67)*N(I67)/(1-IF(K67="",'Job Info'!$B$39,K67))*IF('Job Info'!$B$38="Yes",'Job Info'!$B$37,0))</f>
        <v/>
      </c>
    </row>
    <row r="68" customFormat="false" ht="15" hidden="false" customHeight="false" outlineLevel="0" collapsed="false">
      <c r="A68" s="13" t="str">
        <f aca="false">IF(F68="","",ROW()-5)</f>
        <v/>
      </c>
      <c r="B68" s="14"/>
      <c r="C68" s="14"/>
      <c r="D68" s="14"/>
      <c r="E68" s="14"/>
      <c r="F68" s="36"/>
      <c r="G68" s="37"/>
      <c r="H68" s="14"/>
      <c r="I68" s="38"/>
      <c r="J68" s="38"/>
      <c r="K68" s="33"/>
      <c r="L68" s="33"/>
      <c r="M68" s="34" t="str">
        <f aca="false">IF(F68="","",N(I68)/(1-IF(K68="",'Job Info'!$B$39,K68))*(1+IF('Job Info'!$B$38="Yes",'Job Info'!$B$37,0)))</f>
        <v/>
      </c>
      <c r="N68" s="34" t="str">
        <f aca="false">IF(F68="","",N(J68)/(1-IF(L68="",'Job Info'!$B$40,L68)))</f>
        <v/>
      </c>
      <c r="O68" s="34" t="str">
        <f aca="false">IF(F68="","",M68+N68)</f>
        <v/>
      </c>
      <c r="P68" s="34" t="str">
        <f aca="false">IF(F68="","",N(G68)*M68)</f>
        <v/>
      </c>
      <c r="Q68" s="34" t="str">
        <f aca="false">IF(F68="","",N(G68)*N68)</f>
        <v/>
      </c>
      <c r="R68" s="35" t="str">
        <f aca="false">IF(F68="","",P68+Q68)</f>
        <v/>
      </c>
      <c r="S68" s="36"/>
      <c r="T68" s="36"/>
      <c r="U68" s="34" t="str">
        <f aca="false">IF(F68="","",N(G68)*N(I68))</f>
        <v/>
      </c>
      <c r="V68" s="34" t="str">
        <f aca="false">IF(F68="","",N(G68)*N(J68))</f>
        <v/>
      </c>
      <c r="W68" s="13" t="str">
        <f aca="false">IF(F68="","",IF(B68="Excluded","",COUNTIFS($F$6:F68,"?*",$B$6:B68,"&lt;&gt;Excluded")))</f>
        <v/>
      </c>
      <c r="X68" s="34" t="str">
        <f aca="false">IF(F68="","",N(G68)*N(I68)/(1-IF(K68="",'Job Info'!$B$39,K68))*IF('Job Info'!$B$38="Yes",'Job Info'!$B$37,0))</f>
        <v/>
      </c>
    </row>
    <row r="69" customFormat="false" ht="15" hidden="false" customHeight="false" outlineLevel="0" collapsed="false">
      <c r="A69" s="13" t="str">
        <f aca="false">IF(F69="","",ROW()-5)</f>
        <v/>
      </c>
      <c r="B69" s="14"/>
      <c r="C69" s="14"/>
      <c r="D69" s="14"/>
      <c r="E69" s="14"/>
      <c r="F69" s="36"/>
      <c r="G69" s="37"/>
      <c r="H69" s="14"/>
      <c r="I69" s="38"/>
      <c r="J69" s="38"/>
      <c r="K69" s="33"/>
      <c r="L69" s="33"/>
      <c r="M69" s="34" t="str">
        <f aca="false">IF(F69="","",N(I69)/(1-IF(K69="",'Job Info'!$B$39,K69))*(1+IF('Job Info'!$B$38="Yes",'Job Info'!$B$37,0)))</f>
        <v/>
      </c>
      <c r="N69" s="34" t="str">
        <f aca="false">IF(F69="","",N(J69)/(1-IF(L69="",'Job Info'!$B$40,L69)))</f>
        <v/>
      </c>
      <c r="O69" s="34" t="str">
        <f aca="false">IF(F69="","",M69+N69)</f>
        <v/>
      </c>
      <c r="P69" s="34" t="str">
        <f aca="false">IF(F69="","",N(G69)*M69)</f>
        <v/>
      </c>
      <c r="Q69" s="34" t="str">
        <f aca="false">IF(F69="","",N(G69)*N69)</f>
        <v/>
      </c>
      <c r="R69" s="35" t="str">
        <f aca="false">IF(F69="","",P69+Q69)</f>
        <v/>
      </c>
      <c r="S69" s="36"/>
      <c r="T69" s="36"/>
      <c r="U69" s="34" t="str">
        <f aca="false">IF(F69="","",N(G69)*N(I69))</f>
        <v/>
      </c>
      <c r="V69" s="34" t="str">
        <f aca="false">IF(F69="","",N(G69)*N(J69))</f>
        <v/>
      </c>
      <c r="W69" s="13" t="str">
        <f aca="false">IF(F69="","",IF(B69="Excluded","",COUNTIFS($F$6:F69,"?*",$B$6:B69,"&lt;&gt;Excluded")))</f>
        <v/>
      </c>
      <c r="X69" s="34" t="str">
        <f aca="false">IF(F69="","",N(G69)*N(I69)/(1-IF(K69="",'Job Info'!$B$39,K69))*IF('Job Info'!$B$38="Yes",'Job Info'!$B$37,0))</f>
        <v/>
      </c>
    </row>
    <row r="70" customFormat="false" ht="15" hidden="false" customHeight="false" outlineLevel="0" collapsed="false">
      <c r="A70" s="13" t="str">
        <f aca="false">IF(F70="","",ROW()-5)</f>
        <v/>
      </c>
      <c r="B70" s="14"/>
      <c r="C70" s="14"/>
      <c r="D70" s="14"/>
      <c r="E70" s="14"/>
      <c r="F70" s="36"/>
      <c r="G70" s="37"/>
      <c r="H70" s="14"/>
      <c r="I70" s="38"/>
      <c r="J70" s="38"/>
      <c r="K70" s="33"/>
      <c r="L70" s="33"/>
      <c r="M70" s="34" t="str">
        <f aca="false">IF(F70="","",N(I70)/(1-IF(K70="",'Job Info'!$B$39,K70))*(1+IF('Job Info'!$B$38="Yes",'Job Info'!$B$37,0)))</f>
        <v/>
      </c>
      <c r="N70" s="34" t="str">
        <f aca="false">IF(F70="","",N(J70)/(1-IF(L70="",'Job Info'!$B$40,L70)))</f>
        <v/>
      </c>
      <c r="O70" s="34" t="str">
        <f aca="false">IF(F70="","",M70+N70)</f>
        <v/>
      </c>
      <c r="P70" s="34" t="str">
        <f aca="false">IF(F70="","",N(G70)*M70)</f>
        <v/>
      </c>
      <c r="Q70" s="34" t="str">
        <f aca="false">IF(F70="","",N(G70)*N70)</f>
        <v/>
      </c>
      <c r="R70" s="35" t="str">
        <f aca="false">IF(F70="","",P70+Q70)</f>
        <v/>
      </c>
      <c r="S70" s="36"/>
      <c r="T70" s="36"/>
      <c r="U70" s="34" t="str">
        <f aca="false">IF(F70="","",N(G70)*N(I70))</f>
        <v/>
      </c>
      <c r="V70" s="34" t="str">
        <f aca="false">IF(F70="","",N(G70)*N(J70))</f>
        <v/>
      </c>
      <c r="W70" s="13" t="str">
        <f aca="false">IF(F70="","",IF(B70="Excluded","",COUNTIFS($F$6:F70,"?*",$B$6:B70,"&lt;&gt;Excluded")))</f>
        <v/>
      </c>
      <c r="X70" s="34" t="str">
        <f aca="false">IF(F70="","",N(G70)*N(I70)/(1-IF(K70="",'Job Info'!$B$39,K70))*IF('Job Info'!$B$38="Yes",'Job Info'!$B$37,0))</f>
        <v/>
      </c>
    </row>
    <row r="71" customFormat="false" ht="15" hidden="false" customHeight="false" outlineLevel="0" collapsed="false">
      <c r="A71" s="13" t="str">
        <f aca="false">IF(F71="","",ROW()-5)</f>
        <v/>
      </c>
      <c r="B71" s="14"/>
      <c r="C71" s="14"/>
      <c r="D71" s="14"/>
      <c r="E71" s="14"/>
      <c r="F71" s="36"/>
      <c r="G71" s="37"/>
      <c r="H71" s="14"/>
      <c r="I71" s="38"/>
      <c r="J71" s="38"/>
      <c r="K71" s="33"/>
      <c r="L71" s="33"/>
      <c r="M71" s="34" t="str">
        <f aca="false">IF(F71="","",N(I71)/(1-IF(K71="",'Job Info'!$B$39,K71))*(1+IF('Job Info'!$B$38="Yes",'Job Info'!$B$37,0)))</f>
        <v/>
      </c>
      <c r="N71" s="34" t="str">
        <f aca="false">IF(F71="","",N(J71)/(1-IF(L71="",'Job Info'!$B$40,L71)))</f>
        <v/>
      </c>
      <c r="O71" s="34" t="str">
        <f aca="false">IF(F71="","",M71+N71)</f>
        <v/>
      </c>
      <c r="P71" s="34" t="str">
        <f aca="false">IF(F71="","",N(G71)*M71)</f>
        <v/>
      </c>
      <c r="Q71" s="34" t="str">
        <f aca="false">IF(F71="","",N(G71)*N71)</f>
        <v/>
      </c>
      <c r="R71" s="35" t="str">
        <f aca="false">IF(F71="","",P71+Q71)</f>
        <v/>
      </c>
      <c r="S71" s="36"/>
      <c r="T71" s="36"/>
      <c r="U71" s="34" t="str">
        <f aca="false">IF(F71="","",N(G71)*N(I71))</f>
        <v/>
      </c>
      <c r="V71" s="34" t="str">
        <f aca="false">IF(F71="","",N(G71)*N(J71))</f>
        <v/>
      </c>
      <c r="W71" s="13" t="str">
        <f aca="false">IF(F71="","",IF(B71="Excluded","",COUNTIFS($F$6:F71,"?*",$B$6:B71,"&lt;&gt;Excluded")))</f>
        <v/>
      </c>
      <c r="X71" s="34" t="str">
        <f aca="false">IF(F71="","",N(G71)*N(I71)/(1-IF(K71="",'Job Info'!$B$39,K71))*IF('Job Info'!$B$38="Yes",'Job Info'!$B$37,0))</f>
        <v/>
      </c>
    </row>
    <row r="72" customFormat="false" ht="15" hidden="false" customHeight="false" outlineLevel="0" collapsed="false">
      <c r="A72" s="13" t="str">
        <f aca="false">IF(F72="","",ROW()-5)</f>
        <v/>
      </c>
      <c r="B72" s="14"/>
      <c r="C72" s="14"/>
      <c r="D72" s="14"/>
      <c r="E72" s="14"/>
      <c r="F72" s="36"/>
      <c r="G72" s="37"/>
      <c r="H72" s="14"/>
      <c r="I72" s="38"/>
      <c r="J72" s="38"/>
      <c r="K72" s="33"/>
      <c r="L72" s="33"/>
      <c r="M72" s="34" t="str">
        <f aca="false">IF(F72="","",N(I72)/(1-IF(K72="",'Job Info'!$B$39,K72))*(1+IF('Job Info'!$B$38="Yes",'Job Info'!$B$37,0)))</f>
        <v/>
      </c>
      <c r="N72" s="34" t="str">
        <f aca="false">IF(F72="","",N(J72)/(1-IF(L72="",'Job Info'!$B$40,L72)))</f>
        <v/>
      </c>
      <c r="O72" s="34" t="str">
        <f aca="false">IF(F72="","",M72+N72)</f>
        <v/>
      </c>
      <c r="P72" s="34" t="str">
        <f aca="false">IF(F72="","",N(G72)*M72)</f>
        <v/>
      </c>
      <c r="Q72" s="34" t="str">
        <f aca="false">IF(F72="","",N(G72)*N72)</f>
        <v/>
      </c>
      <c r="R72" s="35" t="str">
        <f aca="false">IF(F72="","",P72+Q72)</f>
        <v/>
      </c>
      <c r="S72" s="36"/>
      <c r="T72" s="36"/>
      <c r="U72" s="34" t="str">
        <f aca="false">IF(F72="","",N(G72)*N(I72))</f>
        <v/>
      </c>
      <c r="V72" s="34" t="str">
        <f aca="false">IF(F72="","",N(G72)*N(J72))</f>
        <v/>
      </c>
      <c r="W72" s="13" t="str">
        <f aca="false">IF(F72="","",IF(B72="Excluded","",COUNTIFS($F$6:F72,"?*",$B$6:B72,"&lt;&gt;Excluded")))</f>
        <v/>
      </c>
      <c r="X72" s="34" t="str">
        <f aca="false">IF(F72="","",N(G72)*N(I72)/(1-IF(K72="",'Job Info'!$B$39,K72))*IF('Job Info'!$B$38="Yes",'Job Info'!$B$37,0))</f>
        <v/>
      </c>
    </row>
    <row r="73" customFormat="false" ht="15" hidden="false" customHeight="false" outlineLevel="0" collapsed="false">
      <c r="A73" s="13" t="str">
        <f aca="false">IF(F73="","",ROW()-5)</f>
        <v/>
      </c>
      <c r="B73" s="14"/>
      <c r="C73" s="14"/>
      <c r="D73" s="14"/>
      <c r="E73" s="14"/>
      <c r="F73" s="36"/>
      <c r="G73" s="37"/>
      <c r="H73" s="14"/>
      <c r="I73" s="38"/>
      <c r="J73" s="38"/>
      <c r="K73" s="33"/>
      <c r="L73" s="33"/>
      <c r="M73" s="34" t="str">
        <f aca="false">IF(F73="","",N(I73)/(1-IF(K73="",'Job Info'!$B$39,K73))*(1+IF('Job Info'!$B$38="Yes",'Job Info'!$B$37,0)))</f>
        <v/>
      </c>
      <c r="N73" s="34" t="str">
        <f aca="false">IF(F73="","",N(J73)/(1-IF(L73="",'Job Info'!$B$40,L73)))</f>
        <v/>
      </c>
      <c r="O73" s="34" t="str">
        <f aca="false">IF(F73="","",M73+N73)</f>
        <v/>
      </c>
      <c r="P73" s="34" t="str">
        <f aca="false">IF(F73="","",N(G73)*M73)</f>
        <v/>
      </c>
      <c r="Q73" s="34" t="str">
        <f aca="false">IF(F73="","",N(G73)*N73)</f>
        <v/>
      </c>
      <c r="R73" s="35" t="str">
        <f aca="false">IF(F73="","",P73+Q73)</f>
        <v/>
      </c>
      <c r="S73" s="36"/>
      <c r="T73" s="36"/>
      <c r="U73" s="34" t="str">
        <f aca="false">IF(F73="","",N(G73)*N(I73))</f>
        <v/>
      </c>
      <c r="V73" s="34" t="str">
        <f aca="false">IF(F73="","",N(G73)*N(J73))</f>
        <v/>
      </c>
      <c r="W73" s="13" t="str">
        <f aca="false">IF(F73="","",IF(B73="Excluded","",COUNTIFS($F$6:F73,"?*",$B$6:B73,"&lt;&gt;Excluded")))</f>
        <v/>
      </c>
      <c r="X73" s="34" t="str">
        <f aca="false">IF(F73="","",N(G73)*N(I73)/(1-IF(K73="",'Job Info'!$B$39,K73))*IF('Job Info'!$B$38="Yes",'Job Info'!$B$37,0))</f>
        <v/>
      </c>
    </row>
    <row r="74" customFormat="false" ht="15" hidden="false" customHeight="false" outlineLevel="0" collapsed="false">
      <c r="A74" s="13" t="str">
        <f aca="false">IF(F74="","",ROW()-5)</f>
        <v/>
      </c>
      <c r="B74" s="14"/>
      <c r="C74" s="14"/>
      <c r="D74" s="14"/>
      <c r="E74" s="14"/>
      <c r="F74" s="36"/>
      <c r="G74" s="37"/>
      <c r="H74" s="14"/>
      <c r="I74" s="38"/>
      <c r="J74" s="38"/>
      <c r="K74" s="33"/>
      <c r="L74" s="33"/>
      <c r="M74" s="34" t="str">
        <f aca="false">IF(F74="","",N(I74)/(1-IF(K74="",'Job Info'!$B$39,K74))*(1+IF('Job Info'!$B$38="Yes",'Job Info'!$B$37,0)))</f>
        <v/>
      </c>
      <c r="N74" s="34" t="str">
        <f aca="false">IF(F74="","",N(J74)/(1-IF(L74="",'Job Info'!$B$40,L74)))</f>
        <v/>
      </c>
      <c r="O74" s="34" t="str">
        <f aca="false">IF(F74="","",M74+N74)</f>
        <v/>
      </c>
      <c r="P74" s="34" t="str">
        <f aca="false">IF(F74="","",N(G74)*M74)</f>
        <v/>
      </c>
      <c r="Q74" s="34" t="str">
        <f aca="false">IF(F74="","",N(G74)*N74)</f>
        <v/>
      </c>
      <c r="R74" s="35" t="str">
        <f aca="false">IF(F74="","",P74+Q74)</f>
        <v/>
      </c>
      <c r="S74" s="36"/>
      <c r="T74" s="36"/>
      <c r="U74" s="34" t="str">
        <f aca="false">IF(F74="","",N(G74)*N(I74))</f>
        <v/>
      </c>
      <c r="V74" s="34" t="str">
        <f aca="false">IF(F74="","",N(G74)*N(J74))</f>
        <v/>
      </c>
      <c r="W74" s="13" t="str">
        <f aca="false">IF(F74="","",IF(B74="Excluded","",COUNTIFS($F$6:F74,"?*",$B$6:B74,"&lt;&gt;Excluded")))</f>
        <v/>
      </c>
      <c r="X74" s="34" t="str">
        <f aca="false">IF(F74="","",N(G74)*N(I74)/(1-IF(K74="",'Job Info'!$B$39,K74))*IF('Job Info'!$B$38="Yes",'Job Info'!$B$37,0))</f>
        <v/>
      </c>
    </row>
    <row r="75" customFormat="false" ht="15" hidden="false" customHeight="false" outlineLevel="0" collapsed="false">
      <c r="A75" s="13" t="str">
        <f aca="false">IF(F75="","",ROW()-5)</f>
        <v/>
      </c>
      <c r="B75" s="14"/>
      <c r="C75" s="14"/>
      <c r="D75" s="14"/>
      <c r="E75" s="14"/>
      <c r="F75" s="36"/>
      <c r="G75" s="37"/>
      <c r="H75" s="14"/>
      <c r="I75" s="38"/>
      <c r="J75" s="38"/>
      <c r="K75" s="33"/>
      <c r="L75" s="33"/>
      <c r="M75" s="34" t="str">
        <f aca="false">IF(F75="","",N(I75)/(1-IF(K75="",'Job Info'!$B$39,K75))*(1+IF('Job Info'!$B$38="Yes",'Job Info'!$B$37,0)))</f>
        <v/>
      </c>
      <c r="N75" s="34" t="str">
        <f aca="false">IF(F75="","",N(J75)/(1-IF(L75="",'Job Info'!$B$40,L75)))</f>
        <v/>
      </c>
      <c r="O75" s="34" t="str">
        <f aca="false">IF(F75="","",M75+N75)</f>
        <v/>
      </c>
      <c r="P75" s="34" t="str">
        <f aca="false">IF(F75="","",N(G75)*M75)</f>
        <v/>
      </c>
      <c r="Q75" s="34" t="str">
        <f aca="false">IF(F75="","",N(G75)*N75)</f>
        <v/>
      </c>
      <c r="R75" s="35" t="str">
        <f aca="false">IF(F75="","",P75+Q75)</f>
        <v/>
      </c>
      <c r="S75" s="36"/>
      <c r="T75" s="36"/>
      <c r="U75" s="34" t="str">
        <f aca="false">IF(F75="","",N(G75)*N(I75))</f>
        <v/>
      </c>
      <c r="V75" s="34" t="str">
        <f aca="false">IF(F75="","",N(G75)*N(J75))</f>
        <v/>
      </c>
      <c r="W75" s="13" t="str">
        <f aca="false">IF(F75="","",IF(B75="Excluded","",COUNTIFS($F$6:F75,"?*",$B$6:B75,"&lt;&gt;Excluded")))</f>
        <v/>
      </c>
      <c r="X75" s="34" t="str">
        <f aca="false">IF(F75="","",N(G75)*N(I75)/(1-IF(K75="",'Job Info'!$B$39,K75))*IF('Job Info'!$B$38="Yes",'Job Info'!$B$37,0))</f>
        <v/>
      </c>
    </row>
    <row r="76" customFormat="false" ht="15" hidden="false" customHeight="false" outlineLevel="0" collapsed="false">
      <c r="A76" s="13" t="str">
        <f aca="false">IF(F76="","",ROW()-5)</f>
        <v/>
      </c>
      <c r="B76" s="14"/>
      <c r="C76" s="14"/>
      <c r="D76" s="14"/>
      <c r="E76" s="14"/>
      <c r="F76" s="36"/>
      <c r="G76" s="37"/>
      <c r="H76" s="14"/>
      <c r="I76" s="38"/>
      <c r="J76" s="38"/>
      <c r="K76" s="33"/>
      <c r="L76" s="33"/>
      <c r="M76" s="34" t="str">
        <f aca="false">IF(F76="","",N(I76)/(1-IF(K76="",'Job Info'!$B$39,K76))*(1+IF('Job Info'!$B$38="Yes",'Job Info'!$B$37,0)))</f>
        <v/>
      </c>
      <c r="N76" s="34" t="str">
        <f aca="false">IF(F76="","",N(J76)/(1-IF(L76="",'Job Info'!$B$40,L76)))</f>
        <v/>
      </c>
      <c r="O76" s="34" t="str">
        <f aca="false">IF(F76="","",M76+N76)</f>
        <v/>
      </c>
      <c r="P76" s="34" t="str">
        <f aca="false">IF(F76="","",N(G76)*M76)</f>
        <v/>
      </c>
      <c r="Q76" s="34" t="str">
        <f aca="false">IF(F76="","",N(G76)*N76)</f>
        <v/>
      </c>
      <c r="R76" s="35" t="str">
        <f aca="false">IF(F76="","",P76+Q76)</f>
        <v/>
      </c>
      <c r="S76" s="36"/>
      <c r="T76" s="36"/>
      <c r="U76" s="34" t="str">
        <f aca="false">IF(F76="","",N(G76)*N(I76))</f>
        <v/>
      </c>
      <c r="V76" s="34" t="str">
        <f aca="false">IF(F76="","",N(G76)*N(J76))</f>
        <v/>
      </c>
      <c r="W76" s="13" t="str">
        <f aca="false">IF(F76="","",IF(B76="Excluded","",COUNTIFS($F$6:F76,"?*",$B$6:B76,"&lt;&gt;Excluded")))</f>
        <v/>
      </c>
      <c r="X76" s="34" t="str">
        <f aca="false">IF(F76="","",N(G76)*N(I76)/(1-IF(K76="",'Job Info'!$B$39,K76))*IF('Job Info'!$B$38="Yes",'Job Info'!$B$37,0))</f>
        <v/>
      </c>
    </row>
    <row r="77" customFormat="false" ht="15" hidden="false" customHeight="false" outlineLevel="0" collapsed="false">
      <c r="A77" s="13" t="str">
        <f aca="false">IF(F77="","",ROW()-5)</f>
        <v/>
      </c>
      <c r="B77" s="14"/>
      <c r="C77" s="14"/>
      <c r="D77" s="14"/>
      <c r="E77" s="14"/>
      <c r="F77" s="36"/>
      <c r="G77" s="37"/>
      <c r="H77" s="14"/>
      <c r="I77" s="38"/>
      <c r="J77" s="38"/>
      <c r="K77" s="33"/>
      <c r="L77" s="33"/>
      <c r="M77" s="34" t="str">
        <f aca="false">IF(F77="","",N(I77)/(1-IF(K77="",'Job Info'!$B$39,K77))*(1+IF('Job Info'!$B$38="Yes",'Job Info'!$B$37,0)))</f>
        <v/>
      </c>
      <c r="N77" s="34" t="str">
        <f aca="false">IF(F77="","",N(J77)/(1-IF(L77="",'Job Info'!$B$40,L77)))</f>
        <v/>
      </c>
      <c r="O77" s="34" t="str">
        <f aca="false">IF(F77="","",M77+N77)</f>
        <v/>
      </c>
      <c r="P77" s="34" t="str">
        <f aca="false">IF(F77="","",N(G77)*M77)</f>
        <v/>
      </c>
      <c r="Q77" s="34" t="str">
        <f aca="false">IF(F77="","",N(G77)*N77)</f>
        <v/>
      </c>
      <c r="R77" s="35" t="str">
        <f aca="false">IF(F77="","",P77+Q77)</f>
        <v/>
      </c>
      <c r="S77" s="36"/>
      <c r="T77" s="36"/>
      <c r="U77" s="34" t="str">
        <f aca="false">IF(F77="","",N(G77)*N(I77))</f>
        <v/>
      </c>
      <c r="V77" s="34" t="str">
        <f aca="false">IF(F77="","",N(G77)*N(J77))</f>
        <v/>
      </c>
      <c r="W77" s="13" t="str">
        <f aca="false">IF(F77="","",IF(B77="Excluded","",COUNTIFS($F$6:F77,"?*",$B$6:B77,"&lt;&gt;Excluded")))</f>
        <v/>
      </c>
      <c r="X77" s="34" t="str">
        <f aca="false">IF(F77="","",N(G77)*N(I77)/(1-IF(K77="",'Job Info'!$B$39,K77))*IF('Job Info'!$B$38="Yes",'Job Info'!$B$37,0))</f>
        <v/>
      </c>
    </row>
    <row r="78" customFormat="false" ht="15" hidden="false" customHeight="false" outlineLevel="0" collapsed="false">
      <c r="A78" s="13" t="str">
        <f aca="false">IF(F78="","",ROW()-5)</f>
        <v/>
      </c>
      <c r="B78" s="14"/>
      <c r="C78" s="14"/>
      <c r="D78" s="14"/>
      <c r="E78" s="14"/>
      <c r="F78" s="36"/>
      <c r="G78" s="37"/>
      <c r="H78" s="14"/>
      <c r="I78" s="38"/>
      <c r="J78" s="38"/>
      <c r="K78" s="33"/>
      <c r="L78" s="33"/>
      <c r="M78" s="34" t="str">
        <f aca="false">IF(F78="","",N(I78)/(1-IF(K78="",'Job Info'!$B$39,K78))*(1+IF('Job Info'!$B$38="Yes",'Job Info'!$B$37,0)))</f>
        <v/>
      </c>
      <c r="N78" s="34" t="str">
        <f aca="false">IF(F78="","",N(J78)/(1-IF(L78="",'Job Info'!$B$40,L78)))</f>
        <v/>
      </c>
      <c r="O78" s="34" t="str">
        <f aca="false">IF(F78="","",M78+N78)</f>
        <v/>
      </c>
      <c r="P78" s="34" t="str">
        <f aca="false">IF(F78="","",N(G78)*M78)</f>
        <v/>
      </c>
      <c r="Q78" s="34" t="str">
        <f aca="false">IF(F78="","",N(G78)*N78)</f>
        <v/>
      </c>
      <c r="R78" s="35" t="str">
        <f aca="false">IF(F78="","",P78+Q78)</f>
        <v/>
      </c>
      <c r="S78" s="36"/>
      <c r="T78" s="36"/>
      <c r="U78" s="34" t="str">
        <f aca="false">IF(F78="","",N(G78)*N(I78))</f>
        <v/>
      </c>
      <c r="V78" s="34" t="str">
        <f aca="false">IF(F78="","",N(G78)*N(J78))</f>
        <v/>
      </c>
      <c r="W78" s="13" t="str">
        <f aca="false">IF(F78="","",IF(B78="Excluded","",COUNTIFS($F$6:F78,"?*",$B$6:B78,"&lt;&gt;Excluded")))</f>
        <v/>
      </c>
      <c r="X78" s="34" t="str">
        <f aca="false">IF(F78="","",N(G78)*N(I78)/(1-IF(K78="",'Job Info'!$B$39,K78))*IF('Job Info'!$B$38="Yes",'Job Info'!$B$37,0))</f>
        <v/>
      </c>
    </row>
    <row r="79" customFormat="false" ht="15" hidden="false" customHeight="false" outlineLevel="0" collapsed="false">
      <c r="A79" s="13" t="str">
        <f aca="false">IF(F79="","",ROW()-5)</f>
        <v/>
      </c>
      <c r="B79" s="14"/>
      <c r="C79" s="14"/>
      <c r="D79" s="14"/>
      <c r="E79" s="14"/>
      <c r="F79" s="36"/>
      <c r="G79" s="37"/>
      <c r="H79" s="14"/>
      <c r="I79" s="38"/>
      <c r="J79" s="38"/>
      <c r="K79" s="33"/>
      <c r="L79" s="33"/>
      <c r="M79" s="34" t="str">
        <f aca="false">IF(F79="","",N(I79)/(1-IF(K79="",'Job Info'!$B$39,K79))*(1+IF('Job Info'!$B$38="Yes",'Job Info'!$B$37,0)))</f>
        <v/>
      </c>
      <c r="N79" s="34" t="str">
        <f aca="false">IF(F79="","",N(J79)/(1-IF(L79="",'Job Info'!$B$40,L79)))</f>
        <v/>
      </c>
      <c r="O79" s="34" t="str">
        <f aca="false">IF(F79="","",M79+N79)</f>
        <v/>
      </c>
      <c r="P79" s="34" t="str">
        <f aca="false">IF(F79="","",N(G79)*M79)</f>
        <v/>
      </c>
      <c r="Q79" s="34" t="str">
        <f aca="false">IF(F79="","",N(G79)*N79)</f>
        <v/>
      </c>
      <c r="R79" s="35" t="str">
        <f aca="false">IF(F79="","",P79+Q79)</f>
        <v/>
      </c>
      <c r="S79" s="36"/>
      <c r="T79" s="36"/>
      <c r="U79" s="34" t="str">
        <f aca="false">IF(F79="","",N(G79)*N(I79))</f>
        <v/>
      </c>
      <c r="V79" s="34" t="str">
        <f aca="false">IF(F79="","",N(G79)*N(J79))</f>
        <v/>
      </c>
      <c r="W79" s="13" t="str">
        <f aca="false">IF(F79="","",IF(B79="Excluded","",COUNTIFS($F$6:F79,"?*",$B$6:B79,"&lt;&gt;Excluded")))</f>
        <v/>
      </c>
      <c r="X79" s="34" t="str">
        <f aca="false">IF(F79="","",N(G79)*N(I79)/(1-IF(K79="",'Job Info'!$B$39,K79))*IF('Job Info'!$B$38="Yes",'Job Info'!$B$37,0))</f>
        <v/>
      </c>
    </row>
    <row r="80" customFormat="false" ht="15" hidden="false" customHeight="false" outlineLevel="0" collapsed="false">
      <c r="A80" s="13" t="str">
        <f aca="false">IF(F80="","",ROW()-5)</f>
        <v/>
      </c>
      <c r="B80" s="14"/>
      <c r="C80" s="14"/>
      <c r="D80" s="14"/>
      <c r="E80" s="14"/>
      <c r="F80" s="36"/>
      <c r="G80" s="37"/>
      <c r="H80" s="14"/>
      <c r="I80" s="38"/>
      <c r="J80" s="38"/>
      <c r="K80" s="33"/>
      <c r="L80" s="33"/>
      <c r="M80" s="34" t="str">
        <f aca="false">IF(F80="","",N(I80)/(1-IF(K80="",'Job Info'!$B$39,K80))*(1+IF('Job Info'!$B$38="Yes",'Job Info'!$B$37,0)))</f>
        <v/>
      </c>
      <c r="N80" s="34" t="str">
        <f aca="false">IF(F80="","",N(J80)/(1-IF(L80="",'Job Info'!$B$40,L80)))</f>
        <v/>
      </c>
      <c r="O80" s="34" t="str">
        <f aca="false">IF(F80="","",M80+N80)</f>
        <v/>
      </c>
      <c r="P80" s="34" t="str">
        <f aca="false">IF(F80="","",N(G80)*M80)</f>
        <v/>
      </c>
      <c r="Q80" s="34" t="str">
        <f aca="false">IF(F80="","",N(G80)*N80)</f>
        <v/>
      </c>
      <c r="R80" s="35" t="str">
        <f aca="false">IF(F80="","",P80+Q80)</f>
        <v/>
      </c>
      <c r="S80" s="36"/>
      <c r="T80" s="36"/>
      <c r="U80" s="34" t="str">
        <f aca="false">IF(F80="","",N(G80)*N(I80))</f>
        <v/>
      </c>
      <c r="V80" s="34" t="str">
        <f aca="false">IF(F80="","",N(G80)*N(J80))</f>
        <v/>
      </c>
      <c r="W80" s="13" t="str">
        <f aca="false">IF(F80="","",IF(B80="Excluded","",COUNTIFS($F$6:F80,"?*",$B$6:B80,"&lt;&gt;Excluded")))</f>
        <v/>
      </c>
      <c r="X80" s="34" t="str">
        <f aca="false">IF(F80="","",N(G80)*N(I80)/(1-IF(K80="",'Job Info'!$B$39,K80))*IF('Job Info'!$B$38="Yes",'Job Info'!$B$37,0))</f>
        <v/>
      </c>
    </row>
    <row r="81" customFormat="false" ht="15" hidden="false" customHeight="false" outlineLevel="0" collapsed="false">
      <c r="A81" s="13" t="str">
        <f aca="false">IF(F81="","",ROW()-5)</f>
        <v/>
      </c>
      <c r="B81" s="14"/>
      <c r="C81" s="14"/>
      <c r="D81" s="14"/>
      <c r="E81" s="14"/>
      <c r="F81" s="36"/>
      <c r="G81" s="37"/>
      <c r="H81" s="14"/>
      <c r="I81" s="38"/>
      <c r="J81" s="38"/>
      <c r="K81" s="33"/>
      <c r="L81" s="33"/>
      <c r="M81" s="34" t="str">
        <f aca="false">IF(F81="","",N(I81)/(1-IF(K81="",'Job Info'!$B$39,K81))*(1+IF('Job Info'!$B$38="Yes",'Job Info'!$B$37,0)))</f>
        <v/>
      </c>
      <c r="N81" s="34" t="str">
        <f aca="false">IF(F81="","",N(J81)/(1-IF(L81="",'Job Info'!$B$40,L81)))</f>
        <v/>
      </c>
      <c r="O81" s="34" t="str">
        <f aca="false">IF(F81="","",M81+N81)</f>
        <v/>
      </c>
      <c r="P81" s="34" t="str">
        <f aca="false">IF(F81="","",N(G81)*M81)</f>
        <v/>
      </c>
      <c r="Q81" s="34" t="str">
        <f aca="false">IF(F81="","",N(G81)*N81)</f>
        <v/>
      </c>
      <c r="R81" s="35" t="str">
        <f aca="false">IF(F81="","",P81+Q81)</f>
        <v/>
      </c>
      <c r="S81" s="36"/>
      <c r="T81" s="36"/>
      <c r="U81" s="34" t="str">
        <f aca="false">IF(F81="","",N(G81)*N(I81))</f>
        <v/>
      </c>
      <c r="V81" s="34" t="str">
        <f aca="false">IF(F81="","",N(G81)*N(J81))</f>
        <v/>
      </c>
      <c r="W81" s="13" t="str">
        <f aca="false">IF(F81="","",IF(B81="Excluded","",COUNTIFS($F$6:F81,"?*",$B$6:B81,"&lt;&gt;Excluded")))</f>
        <v/>
      </c>
      <c r="X81" s="34" t="str">
        <f aca="false">IF(F81="","",N(G81)*N(I81)/(1-IF(K81="",'Job Info'!$B$39,K81))*IF('Job Info'!$B$38="Yes",'Job Info'!$B$37,0))</f>
        <v/>
      </c>
    </row>
    <row r="82" customFormat="false" ht="15" hidden="false" customHeight="false" outlineLevel="0" collapsed="false">
      <c r="A82" s="13" t="str">
        <f aca="false">IF(F82="","",ROW()-5)</f>
        <v/>
      </c>
      <c r="B82" s="14"/>
      <c r="C82" s="14"/>
      <c r="D82" s="14"/>
      <c r="E82" s="14"/>
      <c r="F82" s="36"/>
      <c r="G82" s="37"/>
      <c r="H82" s="14"/>
      <c r="I82" s="38"/>
      <c r="J82" s="38"/>
      <c r="K82" s="33"/>
      <c r="L82" s="33"/>
      <c r="M82" s="34" t="str">
        <f aca="false">IF(F82="","",N(I82)/(1-IF(K82="",'Job Info'!$B$39,K82))*(1+IF('Job Info'!$B$38="Yes",'Job Info'!$B$37,0)))</f>
        <v/>
      </c>
      <c r="N82" s="34" t="str">
        <f aca="false">IF(F82="","",N(J82)/(1-IF(L82="",'Job Info'!$B$40,L82)))</f>
        <v/>
      </c>
      <c r="O82" s="34" t="str">
        <f aca="false">IF(F82="","",M82+N82)</f>
        <v/>
      </c>
      <c r="P82" s="34" t="str">
        <f aca="false">IF(F82="","",N(G82)*M82)</f>
        <v/>
      </c>
      <c r="Q82" s="34" t="str">
        <f aca="false">IF(F82="","",N(G82)*N82)</f>
        <v/>
      </c>
      <c r="R82" s="35" t="str">
        <f aca="false">IF(F82="","",P82+Q82)</f>
        <v/>
      </c>
      <c r="S82" s="36"/>
      <c r="T82" s="36"/>
      <c r="U82" s="34" t="str">
        <f aca="false">IF(F82="","",N(G82)*N(I82))</f>
        <v/>
      </c>
      <c r="V82" s="34" t="str">
        <f aca="false">IF(F82="","",N(G82)*N(J82))</f>
        <v/>
      </c>
      <c r="W82" s="13" t="str">
        <f aca="false">IF(F82="","",IF(B82="Excluded","",COUNTIFS($F$6:F82,"?*",$B$6:B82,"&lt;&gt;Excluded")))</f>
        <v/>
      </c>
      <c r="X82" s="34" t="str">
        <f aca="false">IF(F82="","",N(G82)*N(I82)/(1-IF(K82="",'Job Info'!$B$39,K82))*IF('Job Info'!$B$38="Yes",'Job Info'!$B$37,0))</f>
        <v/>
      </c>
    </row>
    <row r="83" customFormat="false" ht="15" hidden="false" customHeight="false" outlineLevel="0" collapsed="false">
      <c r="A83" s="13" t="str">
        <f aca="false">IF(F83="","",ROW()-5)</f>
        <v/>
      </c>
      <c r="B83" s="14"/>
      <c r="C83" s="14"/>
      <c r="D83" s="14"/>
      <c r="E83" s="14"/>
      <c r="F83" s="36"/>
      <c r="G83" s="37"/>
      <c r="H83" s="14"/>
      <c r="I83" s="38"/>
      <c r="J83" s="38"/>
      <c r="K83" s="33"/>
      <c r="L83" s="33"/>
      <c r="M83" s="34" t="str">
        <f aca="false">IF(F83="","",N(I83)/(1-IF(K83="",'Job Info'!$B$39,K83))*(1+IF('Job Info'!$B$38="Yes",'Job Info'!$B$37,0)))</f>
        <v/>
      </c>
      <c r="N83" s="34" t="str">
        <f aca="false">IF(F83="","",N(J83)/(1-IF(L83="",'Job Info'!$B$40,L83)))</f>
        <v/>
      </c>
      <c r="O83" s="34" t="str">
        <f aca="false">IF(F83="","",M83+N83)</f>
        <v/>
      </c>
      <c r="P83" s="34" t="str">
        <f aca="false">IF(F83="","",N(G83)*M83)</f>
        <v/>
      </c>
      <c r="Q83" s="34" t="str">
        <f aca="false">IF(F83="","",N(G83)*N83)</f>
        <v/>
      </c>
      <c r="R83" s="35" t="str">
        <f aca="false">IF(F83="","",P83+Q83)</f>
        <v/>
      </c>
      <c r="S83" s="36"/>
      <c r="T83" s="36"/>
      <c r="U83" s="34" t="str">
        <f aca="false">IF(F83="","",N(G83)*N(I83))</f>
        <v/>
      </c>
      <c r="V83" s="34" t="str">
        <f aca="false">IF(F83="","",N(G83)*N(J83))</f>
        <v/>
      </c>
      <c r="W83" s="13" t="str">
        <f aca="false">IF(F83="","",IF(B83="Excluded","",COUNTIFS($F$6:F83,"?*",$B$6:B83,"&lt;&gt;Excluded")))</f>
        <v/>
      </c>
      <c r="X83" s="34" t="str">
        <f aca="false">IF(F83="","",N(G83)*N(I83)/(1-IF(K83="",'Job Info'!$B$39,K83))*IF('Job Info'!$B$38="Yes",'Job Info'!$B$37,0))</f>
        <v/>
      </c>
    </row>
    <row r="84" customFormat="false" ht="15" hidden="false" customHeight="false" outlineLevel="0" collapsed="false">
      <c r="A84" s="13" t="str">
        <f aca="false">IF(F84="","",ROW()-5)</f>
        <v/>
      </c>
      <c r="B84" s="14"/>
      <c r="C84" s="14"/>
      <c r="D84" s="14"/>
      <c r="E84" s="14"/>
      <c r="F84" s="36"/>
      <c r="G84" s="37"/>
      <c r="H84" s="14"/>
      <c r="I84" s="38"/>
      <c r="J84" s="38"/>
      <c r="K84" s="33"/>
      <c r="L84" s="33"/>
      <c r="M84" s="34" t="str">
        <f aca="false">IF(F84="","",N(I84)/(1-IF(K84="",'Job Info'!$B$39,K84))*(1+IF('Job Info'!$B$38="Yes",'Job Info'!$B$37,0)))</f>
        <v/>
      </c>
      <c r="N84" s="34" t="str">
        <f aca="false">IF(F84="","",N(J84)/(1-IF(L84="",'Job Info'!$B$40,L84)))</f>
        <v/>
      </c>
      <c r="O84" s="34" t="str">
        <f aca="false">IF(F84="","",M84+N84)</f>
        <v/>
      </c>
      <c r="P84" s="34" t="str">
        <f aca="false">IF(F84="","",N(G84)*M84)</f>
        <v/>
      </c>
      <c r="Q84" s="34" t="str">
        <f aca="false">IF(F84="","",N(G84)*N84)</f>
        <v/>
      </c>
      <c r="R84" s="35" t="str">
        <f aca="false">IF(F84="","",P84+Q84)</f>
        <v/>
      </c>
      <c r="S84" s="36"/>
      <c r="T84" s="36"/>
      <c r="U84" s="34" t="str">
        <f aca="false">IF(F84="","",N(G84)*N(I84))</f>
        <v/>
      </c>
      <c r="V84" s="34" t="str">
        <f aca="false">IF(F84="","",N(G84)*N(J84))</f>
        <v/>
      </c>
      <c r="W84" s="13" t="str">
        <f aca="false">IF(F84="","",IF(B84="Excluded","",COUNTIFS($F$6:F84,"?*",$B$6:B84,"&lt;&gt;Excluded")))</f>
        <v/>
      </c>
      <c r="X84" s="34" t="str">
        <f aca="false">IF(F84="","",N(G84)*N(I84)/(1-IF(K84="",'Job Info'!$B$39,K84))*IF('Job Info'!$B$38="Yes",'Job Info'!$B$37,0))</f>
        <v/>
      </c>
    </row>
    <row r="85" customFormat="false" ht="15" hidden="false" customHeight="false" outlineLevel="0" collapsed="false">
      <c r="A85" s="13" t="str">
        <f aca="false">IF(F85="","",ROW()-5)</f>
        <v/>
      </c>
      <c r="B85" s="14"/>
      <c r="C85" s="14"/>
      <c r="D85" s="14"/>
      <c r="E85" s="14"/>
      <c r="F85" s="36"/>
      <c r="G85" s="37"/>
      <c r="H85" s="14"/>
      <c r="I85" s="38"/>
      <c r="J85" s="38"/>
      <c r="K85" s="33"/>
      <c r="L85" s="33"/>
      <c r="M85" s="34" t="str">
        <f aca="false">IF(F85="","",N(I85)/(1-IF(K85="",'Job Info'!$B$39,K85))*(1+IF('Job Info'!$B$38="Yes",'Job Info'!$B$37,0)))</f>
        <v/>
      </c>
      <c r="N85" s="34" t="str">
        <f aca="false">IF(F85="","",N(J85)/(1-IF(L85="",'Job Info'!$B$40,L85)))</f>
        <v/>
      </c>
      <c r="O85" s="34" t="str">
        <f aca="false">IF(F85="","",M85+N85)</f>
        <v/>
      </c>
      <c r="P85" s="34" t="str">
        <f aca="false">IF(F85="","",N(G85)*M85)</f>
        <v/>
      </c>
      <c r="Q85" s="34" t="str">
        <f aca="false">IF(F85="","",N(G85)*N85)</f>
        <v/>
      </c>
      <c r="R85" s="35" t="str">
        <f aca="false">IF(F85="","",P85+Q85)</f>
        <v/>
      </c>
      <c r="S85" s="36"/>
      <c r="T85" s="36"/>
      <c r="U85" s="34" t="str">
        <f aca="false">IF(F85="","",N(G85)*N(I85))</f>
        <v/>
      </c>
      <c r="V85" s="34" t="str">
        <f aca="false">IF(F85="","",N(G85)*N(J85))</f>
        <v/>
      </c>
      <c r="W85" s="13" t="str">
        <f aca="false">IF(F85="","",IF(B85="Excluded","",COUNTIFS($F$6:F85,"?*",$B$6:B85,"&lt;&gt;Excluded")))</f>
        <v/>
      </c>
      <c r="X85" s="34" t="str">
        <f aca="false">IF(F85="","",N(G85)*N(I85)/(1-IF(K85="",'Job Info'!$B$39,K85))*IF('Job Info'!$B$38="Yes",'Job Info'!$B$37,0))</f>
        <v/>
      </c>
    </row>
    <row r="86" customFormat="false" ht="15" hidden="false" customHeight="false" outlineLevel="0" collapsed="false">
      <c r="A86" s="13" t="str">
        <f aca="false">IF(F86="","",ROW()-5)</f>
        <v/>
      </c>
      <c r="B86" s="14"/>
      <c r="C86" s="14"/>
      <c r="D86" s="14"/>
      <c r="E86" s="14"/>
      <c r="F86" s="36"/>
      <c r="G86" s="37"/>
      <c r="H86" s="14"/>
      <c r="I86" s="38"/>
      <c r="J86" s="38"/>
      <c r="K86" s="33"/>
      <c r="L86" s="33"/>
      <c r="M86" s="34" t="str">
        <f aca="false">IF(F86="","",N(I86)/(1-IF(K86="",'Job Info'!$B$39,K86))*(1+IF('Job Info'!$B$38="Yes",'Job Info'!$B$37,0)))</f>
        <v/>
      </c>
      <c r="N86" s="34" t="str">
        <f aca="false">IF(F86="","",N(J86)/(1-IF(L86="",'Job Info'!$B$40,L86)))</f>
        <v/>
      </c>
      <c r="O86" s="34" t="str">
        <f aca="false">IF(F86="","",M86+N86)</f>
        <v/>
      </c>
      <c r="P86" s="34" t="str">
        <f aca="false">IF(F86="","",N(G86)*M86)</f>
        <v/>
      </c>
      <c r="Q86" s="34" t="str">
        <f aca="false">IF(F86="","",N(G86)*N86)</f>
        <v/>
      </c>
      <c r="R86" s="35" t="str">
        <f aca="false">IF(F86="","",P86+Q86)</f>
        <v/>
      </c>
      <c r="S86" s="36"/>
      <c r="T86" s="36"/>
      <c r="U86" s="34" t="str">
        <f aca="false">IF(F86="","",N(G86)*N(I86))</f>
        <v/>
      </c>
      <c r="V86" s="34" t="str">
        <f aca="false">IF(F86="","",N(G86)*N(J86))</f>
        <v/>
      </c>
      <c r="W86" s="13" t="str">
        <f aca="false">IF(F86="","",IF(B86="Excluded","",COUNTIFS($F$6:F86,"?*",$B$6:B86,"&lt;&gt;Excluded")))</f>
        <v/>
      </c>
      <c r="X86" s="34" t="str">
        <f aca="false">IF(F86="","",N(G86)*N(I86)/(1-IF(K86="",'Job Info'!$B$39,K86))*IF('Job Info'!$B$38="Yes",'Job Info'!$B$37,0))</f>
        <v/>
      </c>
    </row>
    <row r="87" customFormat="false" ht="15" hidden="false" customHeight="false" outlineLevel="0" collapsed="false">
      <c r="A87" s="13" t="str">
        <f aca="false">IF(F87="","",ROW()-5)</f>
        <v/>
      </c>
      <c r="B87" s="14"/>
      <c r="C87" s="14"/>
      <c r="D87" s="14"/>
      <c r="E87" s="14"/>
      <c r="F87" s="36"/>
      <c r="G87" s="37"/>
      <c r="H87" s="14"/>
      <c r="I87" s="38"/>
      <c r="J87" s="38"/>
      <c r="K87" s="33"/>
      <c r="L87" s="33"/>
      <c r="M87" s="34" t="str">
        <f aca="false">IF(F87="","",N(I87)/(1-IF(K87="",'Job Info'!$B$39,K87))*(1+IF('Job Info'!$B$38="Yes",'Job Info'!$B$37,0)))</f>
        <v/>
      </c>
      <c r="N87" s="34" t="str">
        <f aca="false">IF(F87="","",N(J87)/(1-IF(L87="",'Job Info'!$B$40,L87)))</f>
        <v/>
      </c>
      <c r="O87" s="34" t="str">
        <f aca="false">IF(F87="","",M87+N87)</f>
        <v/>
      </c>
      <c r="P87" s="34" t="str">
        <f aca="false">IF(F87="","",N(G87)*M87)</f>
        <v/>
      </c>
      <c r="Q87" s="34" t="str">
        <f aca="false">IF(F87="","",N(G87)*N87)</f>
        <v/>
      </c>
      <c r="R87" s="35" t="str">
        <f aca="false">IF(F87="","",P87+Q87)</f>
        <v/>
      </c>
      <c r="S87" s="36"/>
      <c r="T87" s="36"/>
      <c r="U87" s="34" t="str">
        <f aca="false">IF(F87="","",N(G87)*N(I87))</f>
        <v/>
      </c>
      <c r="V87" s="34" t="str">
        <f aca="false">IF(F87="","",N(G87)*N(J87))</f>
        <v/>
      </c>
      <c r="W87" s="13" t="str">
        <f aca="false">IF(F87="","",IF(B87="Excluded","",COUNTIFS($F$6:F87,"?*",$B$6:B87,"&lt;&gt;Excluded")))</f>
        <v/>
      </c>
      <c r="X87" s="34" t="str">
        <f aca="false">IF(F87="","",N(G87)*N(I87)/(1-IF(K87="",'Job Info'!$B$39,K87))*IF('Job Info'!$B$38="Yes",'Job Info'!$B$37,0))</f>
        <v/>
      </c>
    </row>
    <row r="88" customFormat="false" ht="15" hidden="false" customHeight="false" outlineLevel="0" collapsed="false">
      <c r="A88" s="13" t="str">
        <f aca="false">IF(F88="","",ROW()-5)</f>
        <v/>
      </c>
      <c r="B88" s="14"/>
      <c r="C88" s="14"/>
      <c r="D88" s="14"/>
      <c r="E88" s="14"/>
      <c r="F88" s="36"/>
      <c r="G88" s="37"/>
      <c r="H88" s="14"/>
      <c r="I88" s="38"/>
      <c r="J88" s="38"/>
      <c r="K88" s="33"/>
      <c r="L88" s="33"/>
      <c r="M88" s="34" t="str">
        <f aca="false">IF(F88="","",N(I88)/(1-IF(K88="",'Job Info'!$B$39,K88))*(1+IF('Job Info'!$B$38="Yes",'Job Info'!$B$37,0)))</f>
        <v/>
      </c>
      <c r="N88" s="34" t="str">
        <f aca="false">IF(F88="","",N(J88)/(1-IF(L88="",'Job Info'!$B$40,L88)))</f>
        <v/>
      </c>
      <c r="O88" s="34" t="str">
        <f aca="false">IF(F88="","",M88+N88)</f>
        <v/>
      </c>
      <c r="P88" s="34" t="str">
        <f aca="false">IF(F88="","",N(G88)*M88)</f>
        <v/>
      </c>
      <c r="Q88" s="34" t="str">
        <f aca="false">IF(F88="","",N(G88)*N88)</f>
        <v/>
      </c>
      <c r="R88" s="35" t="str">
        <f aca="false">IF(F88="","",P88+Q88)</f>
        <v/>
      </c>
      <c r="S88" s="36"/>
      <c r="T88" s="36"/>
      <c r="U88" s="34" t="str">
        <f aca="false">IF(F88="","",N(G88)*N(I88))</f>
        <v/>
      </c>
      <c r="V88" s="34" t="str">
        <f aca="false">IF(F88="","",N(G88)*N(J88))</f>
        <v/>
      </c>
      <c r="W88" s="13" t="str">
        <f aca="false">IF(F88="","",IF(B88="Excluded","",COUNTIFS($F$6:F88,"?*",$B$6:B88,"&lt;&gt;Excluded")))</f>
        <v/>
      </c>
      <c r="X88" s="34" t="str">
        <f aca="false">IF(F88="","",N(G88)*N(I88)/(1-IF(K88="",'Job Info'!$B$39,K88))*IF('Job Info'!$B$38="Yes",'Job Info'!$B$37,0))</f>
        <v/>
      </c>
    </row>
    <row r="89" customFormat="false" ht="15" hidden="false" customHeight="false" outlineLevel="0" collapsed="false">
      <c r="A89" s="13" t="str">
        <f aca="false">IF(F89="","",ROW()-5)</f>
        <v/>
      </c>
      <c r="B89" s="14"/>
      <c r="C89" s="14"/>
      <c r="D89" s="14"/>
      <c r="E89" s="14"/>
      <c r="F89" s="36"/>
      <c r="G89" s="37"/>
      <c r="H89" s="14"/>
      <c r="I89" s="38"/>
      <c r="J89" s="38"/>
      <c r="K89" s="33"/>
      <c r="L89" s="33"/>
      <c r="M89" s="34" t="str">
        <f aca="false">IF(F89="","",N(I89)/(1-IF(K89="",'Job Info'!$B$39,K89))*(1+IF('Job Info'!$B$38="Yes",'Job Info'!$B$37,0)))</f>
        <v/>
      </c>
      <c r="N89" s="34" t="str">
        <f aca="false">IF(F89="","",N(J89)/(1-IF(L89="",'Job Info'!$B$40,L89)))</f>
        <v/>
      </c>
      <c r="O89" s="34" t="str">
        <f aca="false">IF(F89="","",M89+N89)</f>
        <v/>
      </c>
      <c r="P89" s="34" t="str">
        <f aca="false">IF(F89="","",N(G89)*M89)</f>
        <v/>
      </c>
      <c r="Q89" s="34" t="str">
        <f aca="false">IF(F89="","",N(G89)*N89)</f>
        <v/>
      </c>
      <c r="R89" s="35" t="str">
        <f aca="false">IF(F89="","",P89+Q89)</f>
        <v/>
      </c>
      <c r="S89" s="36"/>
      <c r="T89" s="36"/>
      <c r="U89" s="34" t="str">
        <f aca="false">IF(F89="","",N(G89)*N(I89))</f>
        <v/>
      </c>
      <c r="V89" s="34" t="str">
        <f aca="false">IF(F89="","",N(G89)*N(J89))</f>
        <v/>
      </c>
      <c r="W89" s="13" t="str">
        <f aca="false">IF(F89="","",IF(B89="Excluded","",COUNTIFS($F$6:F89,"?*",$B$6:B89,"&lt;&gt;Excluded")))</f>
        <v/>
      </c>
      <c r="X89" s="34" t="str">
        <f aca="false">IF(F89="","",N(G89)*N(I89)/(1-IF(K89="",'Job Info'!$B$39,K89))*IF('Job Info'!$B$38="Yes",'Job Info'!$B$37,0))</f>
        <v/>
      </c>
    </row>
    <row r="90" customFormat="false" ht="15" hidden="false" customHeight="false" outlineLevel="0" collapsed="false">
      <c r="A90" s="13" t="str">
        <f aca="false">IF(F90="","",ROW()-5)</f>
        <v/>
      </c>
      <c r="B90" s="14"/>
      <c r="C90" s="14"/>
      <c r="D90" s="14"/>
      <c r="E90" s="14"/>
      <c r="F90" s="36"/>
      <c r="G90" s="37"/>
      <c r="H90" s="14"/>
      <c r="I90" s="38"/>
      <c r="J90" s="38"/>
      <c r="K90" s="33"/>
      <c r="L90" s="33"/>
      <c r="M90" s="34" t="str">
        <f aca="false">IF(F90="","",N(I90)/(1-IF(K90="",'Job Info'!$B$39,K90))*(1+IF('Job Info'!$B$38="Yes",'Job Info'!$B$37,0)))</f>
        <v/>
      </c>
      <c r="N90" s="34" t="str">
        <f aca="false">IF(F90="","",N(J90)/(1-IF(L90="",'Job Info'!$B$40,L90)))</f>
        <v/>
      </c>
      <c r="O90" s="34" t="str">
        <f aca="false">IF(F90="","",M90+N90)</f>
        <v/>
      </c>
      <c r="P90" s="34" t="str">
        <f aca="false">IF(F90="","",N(G90)*M90)</f>
        <v/>
      </c>
      <c r="Q90" s="34" t="str">
        <f aca="false">IF(F90="","",N(G90)*N90)</f>
        <v/>
      </c>
      <c r="R90" s="35" t="str">
        <f aca="false">IF(F90="","",P90+Q90)</f>
        <v/>
      </c>
      <c r="S90" s="36"/>
      <c r="T90" s="36"/>
      <c r="U90" s="34" t="str">
        <f aca="false">IF(F90="","",N(G90)*N(I90))</f>
        <v/>
      </c>
      <c r="V90" s="34" t="str">
        <f aca="false">IF(F90="","",N(G90)*N(J90))</f>
        <v/>
      </c>
      <c r="W90" s="13" t="str">
        <f aca="false">IF(F90="","",IF(B90="Excluded","",COUNTIFS($F$6:F90,"?*",$B$6:B90,"&lt;&gt;Excluded")))</f>
        <v/>
      </c>
      <c r="X90" s="34" t="str">
        <f aca="false">IF(F90="","",N(G90)*N(I90)/(1-IF(K90="",'Job Info'!$B$39,K90))*IF('Job Info'!$B$38="Yes",'Job Info'!$B$37,0))</f>
        <v/>
      </c>
    </row>
    <row r="91" customFormat="false" ht="15" hidden="false" customHeight="false" outlineLevel="0" collapsed="false">
      <c r="A91" s="13" t="str">
        <f aca="false">IF(F91="","",ROW()-5)</f>
        <v/>
      </c>
      <c r="B91" s="14"/>
      <c r="C91" s="14"/>
      <c r="D91" s="14"/>
      <c r="E91" s="14"/>
      <c r="F91" s="36"/>
      <c r="G91" s="37"/>
      <c r="H91" s="14"/>
      <c r="I91" s="38"/>
      <c r="J91" s="38"/>
      <c r="K91" s="33"/>
      <c r="L91" s="33"/>
      <c r="M91" s="34" t="str">
        <f aca="false">IF(F91="","",N(I91)/(1-IF(K91="",'Job Info'!$B$39,K91))*(1+IF('Job Info'!$B$38="Yes",'Job Info'!$B$37,0)))</f>
        <v/>
      </c>
      <c r="N91" s="34" t="str">
        <f aca="false">IF(F91="","",N(J91)/(1-IF(L91="",'Job Info'!$B$40,L91)))</f>
        <v/>
      </c>
      <c r="O91" s="34" t="str">
        <f aca="false">IF(F91="","",M91+N91)</f>
        <v/>
      </c>
      <c r="P91" s="34" t="str">
        <f aca="false">IF(F91="","",N(G91)*M91)</f>
        <v/>
      </c>
      <c r="Q91" s="34" t="str">
        <f aca="false">IF(F91="","",N(G91)*N91)</f>
        <v/>
      </c>
      <c r="R91" s="35" t="str">
        <f aca="false">IF(F91="","",P91+Q91)</f>
        <v/>
      </c>
      <c r="S91" s="36"/>
      <c r="T91" s="36"/>
      <c r="U91" s="34" t="str">
        <f aca="false">IF(F91="","",N(G91)*N(I91))</f>
        <v/>
      </c>
      <c r="V91" s="34" t="str">
        <f aca="false">IF(F91="","",N(G91)*N(J91))</f>
        <v/>
      </c>
      <c r="W91" s="13" t="str">
        <f aca="false">IF(F91="","",IF(B91="Excluded","",COUNTIFS($F$6:F91,"?*",$B$6:B91,"&lt;&gt;Excluded")))</f>
        <v/>
      </c>
      <c r="X91" s="34" t="str">
        <f aca="false">IF(F91="","",N(G91)*N(I91)/(1-IF(K91="",'Job Info'!$B$39,K91))*IF('Job Info'!$B$38="Yes",'Job Info'!$B$37,0))</f>
        <v/>
      </c>
    </row>
    <row r="92" customFormat="false" ht="15" hidden="false" customHeight="false" outlineLevel="0" collapsed="false">
      <c r="A92" s="13" t="str">
        <f aca="false">IF(F92="","",ROW()-5)</f>
        <v/>
      </c>
      <c r="B92" s="14"/>
      <c r="C92" s="14"/>
      <c r="D92" s="14"/>
      <c r="E92" s="14"/>
      <c r="F92" s="36"/>
      <c r="G92" s="37"/>
      <c r="H92" s="14"/>
      <c r="I92" s="38"/>
      <c r="J92" s="38"/>
      <c r="K92" s="33"/>
      <c r="L92" s="33"/>
      <c r="M92" s="34" t="str">
        <f aca="false">IF(F92="","",N(I92)/(1-IF(K92="",'Job Info'!$B$39,K92))*(1+IF('Job Info'!$B$38="Yes",'Job Info'!$B$37,0)))</f>
        <v/>
      </c>
      <c r="N92" s="34" t="str">
        <f aca="false">IF(F92="","",N(J92)/(1-IF(L92="",'Job Info'!$B$40,L92)))</f>
        <v/>
      </c>
      <c r="O92" s="34" t="str">
        <f aca="false">IF(F92="","",M92+N92)</f>
        <v/>
      </c>
      <c r="P92" s="34" t="str">
        <f aca="false">IF(F92="","",N(G92)*M92)</f>
        <v/>
      </c>
      <c r="Q92" s="34" t="str">
        <f aca="false">IF(F92="","",N(G92)*N92)</f>
        <v/>
      </c>
      <c r="R92" s="35" t="str">
        <f aca="false">IF(F92="","",P92+Q92)</f>
        <v/>
      </c>
      <c r="S92" s="36"/>
      <c r="T92" s="36"/>
      <c r="U92" s="34" t="str">
        <f aca="false">IF(F92="","",N(G92)*N(I92))</f>
        <v/>
      </c>
      <c r="V92" s="34" t="str">
        <f aca="false">IF(F92="","",N(G92)*N(J92))</f>
        <v/>
      </c>
      <c r="W92" s="13" t="str">
        <f aca="false">IF(F92="","",IF(B92="Excluded","",COUNTIFS($F$6:F92,"?*",$B$6:B92,"&lt;&gt;Excluded")))</f>
        <v/>
      </c>
      <c r="X92" s="34" t="str">
        <f aca="false">IF(F92="","",N(G92)*N(I92)/(1-IF(K92="",'Job Info'!$B$39,K92))*IF('Job Info'!$B$38="Yes",'Job Info'!$B$37,0))</f>
        <v/>
      </c>
    </row>
    <row r="93" customFormat="false" ht="15" hidden="false" customHeight="false" outlineLevel="0" collapsed="false">
      <c r="A93" s="13" t="str">
        <f aca="false">IF(F93="","",ROW()-5)</f>
        <v/>
      </c>
      <c r="B93" s="14"/>
      <c r="C93" s="14"/>
      <c r="D93" s="14"/>
      <c r="E93" s="14"/>
      <c r="F93" s="36"/>
      <c r="G93" s="37"/>
      <c r="H93" s="14"/>
      <c r="I93" s="38"/>
      <c r="J93" s="38"/>
      <c r="K93" s="33"/>
      <c r="L93" s="33"/>
      <c r="M93" s="34" t="str">
        <f aca="false">IF(F93="","",N(I93)/(1-IF(K93="",'Job Info'!$B$39,K93))*(1+IF('Job Info'!$B$38="Yes",'Job Info'!$B$37,0)))</f>
        <v/>
      </c>
      <c r="N93" s="34" t="str">
        <f aca="false">IF(F93="","",N(J93)/(1-IF(L93="",'Job Info'!$B$40,L93)))</f>
        <v/>
      </c>
      <c r="O93" s="34" t="str">
        <f aca="false">IF(F93="","",M93+N93)</f>
        <v/>
      </c>
      <c r="P93" s="34" t="str">
        <f aca="false">IF(F93="","",N(G93)*M93)</f>
        <v/>
      </c>
      <c r="Q93" s="34" t="str">
        <f aca="false">IF(F93="","",N(G93)*N93)</f>
        <v/>
      </c>
      <c r="R93" s="35" t="str">
        <f aca="false">IF(F93="","",P93+Q93)</f>
        <v/>
      </c>
      <c r="S93" s="36"/>
      <c r="T93" s="36"/>
      <c r="U93" s="34" t="str">
        <f aca="false">IF(F93="","",N(G93)*N(I93))</f>
        <v/>
      </c>
      <c r="V93" s="34" t="str">
        <f aca="false">IF(F93="","",N(G93)*N(J93))</f>
        <v/>
      </c>
      <c r="W93" s="13" t="str">
        <f aca="false">IF(F93="","",IF(B93="Excluded","",COUNTIFS($F$6:F93,"?*",$B$6:B93,"&lt;&gt;Excluded")))</f>
        <v/>
      </c>
      <c r="X93" s="34" t="str">
        <f aca="false">IF(F93="","",N(G93)*N(I93)/(1-IF(K93="",'Job Info'!$B$39,K93))*IF('Job Info'!$B$38="Yes",'Job Info'!$B$37,0))</f>
        <v/>
      </c>
    </row>
    <row r="94" customFormat="false" ht="15" hidden="false" customHeight="false" outlineLevel="0" collapsed="false">
      <c r="A94" s="13" t="str">
        <f aca="false">IF(F94="","",ROW()-5)</f>
        <v/>
      </c>
      <c r="B94" s="14"/>
      <c r="C94" s="14"/>
      <c r="D94" s="14"/>
      <c r="E94" s="14"/>
      <c r="F94" s="36"/>
      <c r="G94" s="37"/>
      <c r="H94" s="14"/>
      <c r="I94" s="38"/>
      <c r="J94" s="38"/>
      <c r="K94" s="33"/>
      <c r="L94" s="33"/>
      <c r="M94" s="34" t="str">
        <f aca="false">IF(F94="","",N(I94)/(1-IF(K94="",'Job Info'!$B$39,K94))*(1+IF('Job Info'!$B$38="Yes",'Job Info'!$B$37,0)))</f>
        <v/>
      </c>
      <c r="N94" s="34" t="str">
        <f aca="false">IF(F94="","",N(J94)/(1-IF(L94="",'Job Info'!$B$40,L94)))</f>
        <v/>
      </c>
      <c r="O94" s="34" t="str">
        <f aca="false">IF(F94="","",M94+N94)</f>
        <v/>
      </c>
      <c r="P94" s="34" t="str">
        <f aca="false">IF(F94="","",N(G94)*M94)</f>
        <v/>
      </c>
      <c r="Q94" s="34" t="str">
        <f aca="false">IF(F94="","",N(G94)*N94)</f>
        <v/>
      </c>
      <c r="R94" s="35" t="str">
        <f aca="false">IF(F94="","",P94+Q94)</f>
        <v/>
      </c>
      <c r="S94" s="36"/>
      <c r="T94" s="36"/>
      <c r="U94" s="34" t="str">
        <f aca="false">IF(F94="","",N(G94)*N(I94))</f>
        <v/>
      </c>
      <c r="V94" s="34" t="str">
        <f aca="false">IF(F94="","",N(G94)*N(J94))</f>
        <v/>
      </c>
      <c r="W94" s="13" t="str">
        <f aca="false">IF(F94="","",IF(B94="Excluded","",COUNTIFS($F$6:F94,"?*",$B$6:B94,"&lt;&gt;Excluded")))</f>
        <v/>
      </c>
      <c r="X94" s="34" t="str">
        <f aca="false">IF(F94="","",N(G94)*N(I94)/(1-IF(K94="",'Job Info'!$B$39,K94))*IF('Job Info'!$B$38="Yes",'Job Info'!$B$37,0))</f>
        <v/>
      </c>
    </row>
    <row r="95" customFormat="false" ht="15" hidden="false" customHeight="false" outlineLevel="0" collapsed="false">
      <c r="A95" s="13" t="str">
        <f aca="false">IF(F95="","",ROW()-5)</f>
        <v/>
      </c>
      <c r="B95" s="14"/>
      <c r="C95" s="14"/>
      <c r="D95" s="14"/>
      <c r="E95" s="14"/>
      <c r="F95" s="36"/>
      <c r="G95" s="37"/>
      <c r="H95" s="14"/>
      <c r="I95" s="38"/>
      <c r="J95" s="38"/>
      <c r="K95" s="33"/>
      <c r="L95" s="33"/>
      <c r="M95" s="34" t="str">
        <f aca="false">IF(F95="","",N(I95)/(1-IF(K95="",'Job Info'!$B$39,K95))*(1+IF('Job Info'!$B$38="Yes",'Job Info'!$B$37,0)))</f>
        <v/>
      </c>
      <c r="N95" s="34" t="str">
        <f aca="false">IF(F95="","",N(J95)/(1-IF(L95="",'Job Info'!$B$40,L95)))</f>
        <v/>
      </c>
      <c r="O95" s="34" t="str">
        <f aca="false">IF(F95="","",M95+N95)</f>
        <v/>
      </c>
      <c r="P95" s="34" t="str">
        <f aca="false">IF(F95="","",N(G95)*M95)</f>
        <v/>
      </c>
      <c r="Q95" s="34" t="str">
        <f aca="false">IF(F95="","",N(G95)*N95)</f>
        <v/>
      </c>
      <c r="R95" s="35" t="str">
        <f aca="false">IF(F95="","",P95+Q95)</f>
        <v/>
      </c>
      <c r="S95" s="36"/>
      <c r="T95" s="36"/>
      <c r="U95" s="34" t="str">
        <f aca="false">IF(F95="","",N(G95)*N(I95))</f>
        <v/>
      </c>
      <c r="V95" s="34" t="str">
        <f aca="false">IF(F95="","",N(G95)*N(J95))</f>
        <v/>
      </c>
      <c r="W95" s="13" t="str">
        <f aca="false">IF(F95="","",IF(B95="Excluded","",COUNTIFS($F$6:F95,"?*",$B$6:B95,"&lt;&gt;Excluded")))</f>
        <v/>
      </c>
      <c r="X95" s="34" t="str">
        <f aca="false">IF(F95="","",N(G95)*N(I95)/(1-IF(K95="",'Job Info'!$B$39,K95))*IF('Job Info'!$B$38="Yes",'Job Info'!$B$37,0))</f>
        <v/>
      </c>
    </row>
    <row r="96" customFormat="false" ht="15" hidden="false" customHeight="false" outlineLevel="0" collapsed="false">
      <c r="A96" s="13" t="str">
        <f aca="false">IF(F96="","",ROW()-5)</f>
        <v/>
      </c>
      <c r="B96" s="14"/>
      <c r="C96" s="14"/>
      <c r="D96" s="14"/>
      <c r="E96" s="14"/>
      <c r="F96" s="36"/>
      <c r="G96" s="37"/>
      <c r="H96" s="14"/>
      <c r="I96" s="38"/>
      <c r="J96" s="38"/>
      <c r="K96" s="33"/>
      <c r="L96" s="33"/>
      <c r="M96" s="34" t="str">
        <f aca="false">IF(F96="","",N(I96)/(1-IF(K96="",'Job Info'!$B$39,K96))*(1+IF('Job Info'!$B$38="Yes",'Job Info'!$B$37,0)))</f>
        <v/>
      </c>
      <c r="N96" s="34" t="str">
        <f aca="false">IF(F96="","",N(J96)/(1-IF(L96="",'Job Info'!$B$40,L96)))</f>
        <v/>
      </c>
      <c r="O96" s="34" t="str">
        <f aca="false">IF(F96="","",M96+N96)</f>
        <v/>
      </c>
      <c r="P96" s="34" t="str">
        <f aca="false">IF(F96="","",N(G96)*M96)</f>
        <v/>
      </c>
      <c r="Q96" s="34" t="str">
        <f aca="false">IF(F96="","",N(G96)*N96)</f>
        <v/>
      </c>
      <c r="R96" s="35" t="str">
        <f aca="false">IF(F96="","",P96+Q96)</f>
        <v/>
      </c>
      <c r="S96" s="36"/>
      <c r="T96" s="36"/>
      <c r="U96" s="34" t="str">
        <f aca="false">IF(F96="","",N(G96)*N(I96))</f>
        <v/>
      </c>
      <c r="V96" s="34" t="str">
        <f aca="false">IF(F96="","",N(G96)*N(J96))</f>
        <v/>
      </c>
      <c r="W96" s="13" t="str">
        <f aca="false">IF(F96="","",IF(B96="Excluded","",COUNTIFS($F$6:F96,"?*",$B$6:B96,"&lt;&gt;Excluded")))</f>
        <v/>
      </c>
      <c r="X96" s="34" t="str">
        <f aca="false">IF(F96="","",N(G96)*N(I96)/(1-IF(K96="",'Job Info'!$B$39,K96))*IF('Job Info'!$B$38="Yes",'Job Info'!$B$37,0))</f>
        <v/>
      </c>
    </row>
    <row r="97" customFormat="false" ht="15" hidden="false" customHeight="false" outlineLevel="0" collapsed="false">
      <c r="A97" s="13" t="str">
        <f aca="false">IF(F97="","",ROW()-5)</f>
        <v/>
      </c>
      <c r="B97" s="14"/>
      <c r="C97" s="14"/>
      <c r="D97" s="14"/>
      <c r="E97" s="14"/>
      <c r="F97" s="36"/>
      <c r="G97" s="37"/>
      <c r="H97" s="14"/>
      <c r="I97" s="38"/>
      <c r="J97" s="38"/>
      <c r="K97" s="33"/>
      <c r="L97" s="33"/>
      <c r="M97" s="34" t="str">
        <f aca="false">IF(F97="","",N(I97)/(1-IF(K97="",'Job Info'!$B$39,K97))*(1+IF('Job Info'!$B$38="Yes",'Job Info'!$B$37,0)))</f>
        <v/>
      </c>
      <c r="N97" s="34" t="str">
        <f aca="false">IF(F97="","",N(J97)/(1-IF(L97="",'Job Info'!$B$40,L97)))</f>
        <v/>
      </c>
      <c r="O97" s="34" t="str">
        <f aca="false">IF(F97="","",M97+N97)</f>
        <v/>
      </c>
      <c r="P97" s="34" t="str">
        <f aca="false">IF(F97="","",N(G97)*M97)</f>
        <v/>
      </c>
      <c r="Q97" s="34" t="str">
        <f aca="false">IF(F97="","",N(G97)*N97)</f>
        <v/>
      </c>
      <c r="R97" s="35" t="str">
        <f aca="false">IF(F97="","",P97+Q97)</f>
        <v/>
      </c>
      <c r="S97" s="36"/>
      <c r="T97" s="36"/>
      <c r="U97" s="34" t="str">
        <f aca="false">IF(F97="","",N(G97)*N(I97))</f>
        <v/>
      </c>
      <c r="V97" s="34" t="str">
        <f aca="false">IF(F97="","",N(G97)*N(J97))</f>
        <v/>
      </c>
      <c r="W97" s="13" t="str">
        <f aca="false">IF(F97="","",IF(B97="Excluded","",COUNTIFS($F$6:F97,"?*",$B$6:B97,"&lt;&gt;Excluded")))</f>
        <v/>
      </c>
      <c r="X97" s="34" t="str">
        <f aca="false">IF(F97="","",N(G97)*N(I97)/(1-IF(K97="",'Job Info'!$B$39,K97))*IF('Job Info'!$B$38="Yes",'Job Info'!$B$37,0))</f>
        <v/>
      </c>
    </row>
    <row r="98" customFormat="false" ht="15" hidden="false" customHeight="false" outlineLevel="0" collapsed="false">
      <c r="A98" s="13" t="str">
        <f aca="false">IF(F98="","",ROW()-5)</f>
        <v/>
      </c>
      <c r="B98" s="14"/>
      <c r="C98" s="14"/>
      <c r="D98" s="14"/>
      <c r="E98" s="14"/>
      <c r="F98" s="36"/>
      <c r="G98" s="37"/>
      <c r="H98" s="14"/>
      <c r="I98" s="38"/>
      <c r="J98" s="38"/>
      <c r="K98" s="33"/>
      <c r="L98" s="33"/>
      <c r="M98" s="34" t="str">
        <f aca="false">IF(F98="","",N(I98)/(1-IF(K98="",'Job Info'!$B$39,K98))*(1+IF('Job Info'!$B$38="Yes",'Job Info'!$B$37,0)))</f>
        <v/>
      </c>
      <c r="N98" s="34" t="str">
        <f aca="false">IF(F98="","",N(J98)/(1-IF(L98="",'Job Info'!$B$40,L98)))</f>
        <v/>
      </c>
      <c r="O98" s="34" t="str">
        <f aca="false">IF(F98="","",M98+N98)</f>
        <v/>
      </c>
      <c r="P98" s="34" t="str">
        <f aca="false">IF(F98="","",N(G98)*M98)</f>
        <v/>
      </c>
      <c r="Q98" s="34" t="str">
        <f aca="false">IF(F98="","",N(G98)*N98)</f>
        <v/>
      </c>
      <c r="R98" s="35" t="str">
        <f aca="false">IF(F98="","",P98+Q98)</f>
        <v/>
      </c>
      <c r="S98" s="36"/>
      <c r="T98" s="36"/>
      <c r="U98" s="34" t="str">
        <f aca="false">IF(F98="","",N(G98)*N(I98))</f>
        <v/>
      </c>
      <c r="V98" s="34" t="str">
        <f aca="false">IF(F98="","",N(G98)*N(J98))</f>
        <v/>
      </c>
      <c r="W98" s="13" t="str">
        <f aca="false">IF(F98="","",IF(B98="Excluded","",COUNTIFS($F$6:F98,"?*",$B$6:B98,"&lt;&gt;Excluded")))</f>
        <v/>
      </c>
      <c r="X98" s="34" t="str">
        <f aca="false">IF(F98="","",N(G98)*N(I98)/(1-IF(K98="",'Job Info'!$B$39,K98))*IF('Job Info'!$B$38="Yes",'Job Info'!$B$37,0))</f>
        <v/>
      </c>
    </row>
    <row r="99" customFormat="false" ht="15" hidden="false" customHeight="false" outlineLevel="0" collapsed="false">
      <c r="A99" s="13" t="str">
        <f aca="false">IF(F99="","",ROW()-5)</f>
        <v/>
      </c>
      <c r="B99" s="14"/>
      <c r="C99" s="14"/>
      <c r="D99" s="14"/>
      <c r="E99" s="14"/>
      <c r="F99" s="36"/>
      <c r="G99" s="37"/>
      <c r="H99" s="14"/>
      <c r="I99" s="38"/>
      <c r="J99" s="38"/>
      <c r="K99" s="33"/>
      <c r="L99" s="33"/>
      <c r="M99" s="34" t="str">
        <f aca="false">IF(F99="","",N(I99)/(1-IF(K99="",'Job Info'!$B$39,K99))*(1+IF('Job Info'!$B$38="Yes",'Job Info'!$B$37,0)))</f>
        <v/>
      </c>
      <c r="N99" s="34" t="str">
        <f aca="false">IF(F99="","",N(J99)/(1-IF(L99="",'Job Info'!$B$40,L99)))</f>
        <v/>
      </c>
      <c r="O99" s="34" t="str">
        <f aca="false">IF(F99="","",M99+N99)</f>
        <v/>
      </c>
      <c r="P99" s="34" t="str">
        <f aca="false">IF(F99="","",N(G99)*M99)</f>
        <v/>
      </c>
      <c r="Q99" s="34" t="str">
        <f aca="false">IF(F99="","",N(G99)*N99)</f>
        <v/>
      </c>
      <c r="R99" s="35" t="str">
        <f aca="false">IF(F99="","",P99+Q99)</f>
        <v/>
      </c>
      <c r="S99" s="36"/>
      <c r="T99" s="36"/>
      <c r="U99" s="34" t="str">
        <f aca="false">IF(F99="","",N(G99)*N(I99))</f>
        <v/>
      </c>
      <c r="V99" s="34" t="str">
        <f aca="false">IF(F99="","",N(G99)*N(J99))</f>
        <v/>
      </c>
      <c r="W99" s="13" t="str">
        <f aca="false">IF(F99="","",IF(B99="Excluded","",COUNTIFS($F$6:F99,"?*",$B$6:B99,"&lt;&gt;Excluded")))</f>
        <v/>
      </c>
      <c r="X99" s="34" t="str">
        <f aca="false">IF(F99="","",N(G99)*N(I99)/(1-IF(K99="",'Job Info'!$B$39,K99))*IF('Job Info'!$B$38="Yes",'Job Info'!$B$37,0))</f>
        <v/>
      </c>
    </row>
    <row r="100" customFormat="false" ht="15" hidden="false" customHeight="false" outlineLevel="0" collapsed="false">
      <c r="A100" s="13" t="str">
        <f aca="false">IF(F100="","",ROW()-5)</f>
        <v/>
      </c>
      <c r="B100" s="14"/>
      <c r="C100" s="14"/>
      <c r="D100" s="14"/>
      <c r="E100" s="14"/>
      <c r="F100" s="36"/>
      <c r="G100" s="37"/>
      <c r="H100" s="14"/>
      <c r="I100" s="38"/>
      <c r="J100" s="38"/>
      <c r="K100" s="33"/>
      <c r="L100" s="33"/>
      <c r="M100" s="34" t="str">
        <f aca="false">IF(F100="","",N(I100)/(1-IF(K100="",'Job Info'!$B$39,K100))*(1+IF('Job Info'!$B$38="Yes",'Job Info'!$B$37,0)))</f>
        <v/>
      </c>
      <c r="N100" s="34" t="str">
        <f aca="false">IF(F100="","",N(J100)/(1-IF(L100="",'Job Info'!$B$40,L100)))</f>
        <v/>
      </c>
      <c r="O100" s="34" t="str">
        <f aca="false">IF(F100="","",M100+N100)</f>
        <v/>
      </c>
      <c r="P100" s="34" t="str">
        <f aca="false">IF(F100="","",N(G100)*M100)</f>
        <v/>
      </c>
      <c r="Q100" s="34" t="str">
        <f aca="false">IF(F100="","",N(G100)*N100)</f>
        <v/>
      </c>
      <c r="R100" s="35" t="str">
        <f aca="false">IF(F100="","",P100+Q100)</f>
        <v/>
      </c>
      <c r="S100" s="36"/>
      <c r="T100" s="36"/>
      <c r="U100" s="34" t="str">
        <f aca="false">IF(F100="","",N(G100)*N(I100))</f>
        <v/>
      </c>
      <c r="V100" s="34" t="str">
        <f aca="false">IF(F100="","",N(G100)*N(J100))</f>
        <v/>
      </c>
      <c r="W100" s="13" t="str">
        <f aca="false">IF(F100="","",IF(B100="Excluded","",COUNTIFS($F$6:F100,"?*",$B$6:B100,"&lt;&gt;Excluded")))</f>
        <v/>
      </c>
      <c r="X100" s="34" t="str">
        <f aca="false">IF(F100="","",N(G100)*N(I100)/(1-IF(K100="",'Job Info'!$B$39,K100))*IF('Job Info'!$B$38="Yes",'Job Info'!$B$37,0))</f>
        <v/>
      </c>
    </row>
    <row r="101" customFormat="false" ht="15" hidden="false" customHeight="false" outlineLevel="0" collapsed="false">
      <c r="A101" s="13" t="str">
        <f aca="false">IF(F101="","",ROW()-5)</f>
        <v/>
      </c>
      <c r="B101" s="14"/>
      <c r="C101" s="14"/>
      <c r="D101" s="14"/>
      <c r="E101" s="14"/>
      <c r="F101" s="36"/>
      <c r="G101" s="37"/>
      <c r="H101" s="14"/>
      <c r="I101" s="38"/>
      <c r="J101" s="38"/>
      <c r="K101" s="33"/>
      <c r="L101" s="33"/>
      <c r="M101" s="34" t="str">
        <f aca="false">IF(F101="","",N(I101)/(1-IF(K101="",'Job Info'!$B$39,K101))*(1+IF('Job Info'!$B$38="Yes",'Job Info'!$B$37,0)))</f>
        <v/>
      </c>
      <c r="N101" s="34" t="str">
        <f aca="false">IF(F101="","",N(J101)/(1-IF(L101="",'Job Info'!$B$40,L101)))</f>
        <v/>
      </c>
      <c r="O101" s="34" t="str">
        <f aca="false">IF(F101="","",M101+N101)</f>
        <v/>
      </c>
      <c r="P101" s="34" t="str">
        <f aca="false">IF(F101="","",N(G101)*M101)</f>
        <v/>
      </c>
      <c r="Q101" s="34" t="str">
        <f aca="false">IF(F101="","",N(G101)*N101)</f>
        <v/>
      </c>
      <c r="R101" s="35" t="str">
        <f aca="false">IF(F101="","",P101+Q101)</f>
        <v/>
      </c>
      <c r="S101" s="36"/>
      <c r="T101" s="36"/>
      <c r="U101" s="34" t="str">
        <f aca="false">IF(F101="","",N(G101)*N(I101))</f>
        <v/>
      </c>
      <c r="V101" s="34" t="str">
        <f aca="false">IF(F101="","",N(G101)*N(J101))</f>
        <v/>
      </c>
      <c r="W101" s="13" t="str">
        <f aca="false">IF(F101="","",IF(B101="Excluded","",COUNTIFS($F$6:F101,"?*",$B$6:B101,"&lt;&gt;Excluded")))</f>
        <v/>
      </c>
      <c r="X101" s="34" t="str">
        <f aca="false">IF(F101="","",N(G101)*N(I101)/(1-IF(K101="",'Job Info'!$B$39,K101))*IF('Job Info'!$B$38="Yes",'Job Info'!$B$37,0))</f>
        <v/>
      </c>
    </row>
    <row r="102" customFormat="false" ht="15" hidden="false" customHeight="false" outlineLevel="0" collapsed="false">
      <c r="A102" s="13" t="str">
        <f aca="false">IF(F102="","",ROW()-5)</f>
        <v/>
      </c>
      <c r="B102" s="14"/>
      <c r="C102" s="14"/>
      <c r="D102" s="14"/>
      <c r="E102" s="14"/>
      <c r="F102" s="36"/>
      <c r="G102" s="37"/>
      <c r="H102" s="14"/>
      <c r="I102" s="38"/>
      <c r="J102" s="38"/>
      <c r="K102" s="33"/>
      <c r="L102" s="33"/>
      <c r="M102" s="34" t="str">
        <f aca="false">IF(F102="","",N(I102)/(1-IF(K102="",'Job Info'!$B$39,K102))*(1+IF('Job Info'!$B$38="Yes",'Job Info'!$B$37,0)))</f>
        <v/>
      </c>
      <c r="N102" s="34" t="str">
        <f aca="false">IF(F102="","",N(J102)/(1-IF(L102="",'Job Info'!$B$40,L102)))</f>
        <v/>
      </c>
      <c r="O102" s="34" t="str">
        <f aca="false">IF(F102="","",M102+N102)</f>
        <v/>
      </c>
      <c r="P102" s="34" t="str">
        <f aca="false">IF(F102="","",N(G102)*M102)</f>
        <v/>
      </c>
      <c r="Q102" s="34" t="str">
        <f aca="false">IF(F102="","",N(G102)*N102)</f>
        <v/>
      </c>
      <c r="R102" s="35" t="str">
        <f aca="false">IF(F102="","",P102+Q102)</f>
        <v/>
      </c>
      <c r="S102" s="36"/>
      <c r="T102" s="36"/>
      <c r="U102" s="34" t="str">
        <f aca="false">IF(F102="","",N(G102)*N(I102))</f>
        <v/>
      </c>
      <c r="V102" s="34" t="str">
        <f aca="false">IF(F102="","",N(G102)*N(J102))</f>
        <v/>
      </c>
      <c r="W102" s="13" t="str">
        <f aca="false">IF(F102="","",IF(B102="Excluded","",COUNTIFS($F$6:F102,"?*",$B$6:B102,"&lt;&gt;Excluded")))</f>
        <v/>
      </c>
      <c r="X102" s="34" t="str">
        <f aca="false">IF(F102="","",N(G102)*N(I102)/(1-IF(K102="",'Job Info'!$B$39,K102))*IF('Job Info'!$B$38="Yes",'Job Info'!$B$37,0))</f>
        <v/>
      </c>
    </row>
    <row r="103" customFormat="false" ht="15" hidden="false" customHeight="false" outlineLevel="0" collapsed="false">
      <c r="A103" s="13" t="str">
        <f aca="false">IF(F103="","",ROW()-5)</f>
        <v/>
      </c>
      <c r="B103" s="14"/>
      <c r="C103" s="14"/>
      <c r="D103" s="14"/>
      <c r="E103" s="14"/>
      <c r="F103" s="36"/>
      <c r="G103" s="37"/>
      <c r="H103" s="14"/>
      <c r="I103" s="38"/>
      <c r="J103" s="38"/>
      <c r="K103" s="33"/>
      <c r="L103" s="33"/>
      <c r="M103" s="34" t="str">
        <f aca="false">IF(F103="","",N(I103)/(1-IF(K103="",'Job Info'!$B$39,K103))*(1+IF('Job Info'!$B$38="Yes",'Job Info'!$B$37,0)))</f>
        <v/>
      </c>
      <c r="N103" s="34" t="str">
        <f aca="false">IF(F103="","",N(J103)/(1-IF(L103="",'Job Info'!$B$40,L103)))</f>
        <v/>
      </c>
      <c r="O103" s="34" t="str">
        <f aca="false">IF(F103="","",M103+N103)</f>
        <v/>
      </c>
      <c r="P103" s="34" t="str">
        <f aca="false">IF(F103="","",N(G103)*M103)</f>
        <v/>
      </c>
      <c r="Q103" s="34" t="str">
        <f aca="false">IF(F103="","",N(G103)*N103)</f>
        <v/>
      </c>
      <c r="R103" s="35" t="str">
        <f aca="false">IF(F103="","",P103+Q103)</f>
        <v/>
      </c>
      <c r="S103" s="36"/>
      <c r="T103" s="36"/>
      <c r="U103" s="34" t="str">
        <f aca="false">IF(F103="","",N(G103)*N(I103))</f>
        <v/>
      </c>
      <c r="V103" s="34" t="str">
        <f aca="false">IF(F103="","",N(G103)*N(J103))</f>
        <v/>
      </c>
      <c r="W103" s="13" t="str">
        <f aca="false">IF(F103="","",IF(B103="Excluded","",COUNTIFS($F$6:F103,"?*",$B$6:B103,"&lt;&gt;Excluded")))</f>
        <v/>
      </c>
      <c r="X103" s="34" t="str">
        <f aca="false">IF(F103="","",N(G103)*N(I103)/(1-IF(K103="",'Job Info'!$B$39,K103))*IF('Job Info'!$B$38="Yes",'Job Info'!$B$37,0))</f>
        <v/>
      </c>
    </row>
    <row r="104" customFormat="false" ht="15" hidden="false" customHeight="false" outlineLevel="0" collapsed="false">
      <c r="A104" s="13" t="str">
        <f aca="false">IF(F104="","",ROW()-5)</f>
        <v/>
      </c>
      <c r="B104" s="14"/>
      <c r="C104" s="14"/>
      <c r="D104" s="14"/>
      <c r="E104" s="14"/>
      <c r="F104" s="36"/>
      <c r="G104" s="37"/>
      <c r="H104" s="14"/>
      <c r="I104" s="38"/>
      <c r="J104" s="38"/>
      <c r="K104" s="33"/>
      <c r="L104" s="33"/>
      <c r="M104" s="34" t="str">
        <f aca="false">IF(F104="","",N(I104)/(1-IF(K104="",'Job Info'!$B$39,K104))*(1+IF('Job Info'!$B$38="Yes",'Job Info'!$B$37,0)))</f>
        <v/>
      </c>
      <c r="N104" s="34" t="str">
        <f aca="false">IF(F104="","",N(J104)/(1-IF(L104="",'Job Info'!$B$40,L104)))</f>
        <v/>
      </c>
      <c r="O104" s="34" t="str">
        <f aca="false">IF(F104="","",M104+N104)</f>
        <v/>
      </c>
      <c r="P104" s="34" t="str">
        <f aca="false">IF(F104="","",N(G104)*M104)</f>
        <v/>
      </c>
      <c r="Q104" s="34" t="str">
        <f aca="false">IF(F104="","",N(G104)*N104)</f>
        <v/>
      </c>
      <c r="R104" s="35" t="str">
        <f aca="false">IF(F104="","",P104+Q104)</f>
        <v/>
      </c>
      <c r="S104" s="36"/>
      <c r="T104" s="36"/>
      <c r="U104" s="34" t="str">
        <f aca="false">IF(F104="","",N(G104)*N(I104))</f>
        <v/>
      </c>
      <c r="V104" s="34" t="str">
        <f aca="false">IF(F104="","",N(G104)*N(J104))</f>
        <v/>
      </c>
      <c r="W104" s="13" t="str">
        <f aca="false">IF(F104="","",IF(B104="Excluded","",COUNTIFS($F$6:F104,"?*",$B$6:B104,"&lt;&gt;Excluded")))</f>
        <v/>
      </c>
      <c r="X104" s="34" t="str">
        <f aca="false">IF(F104="","",N(G104)*N(I104)/(1-IF(K104="",'Job Info'!$B$39,K104))*IF('Job Info'!$B$38="Yes",'Job Info'!$B$37,0))</f>
        <v/>
      </c>
    </row>
    <row r="105" customFormat="false" ht="15" hidden="false" customHeight="false" outlineLevel="0" collapsed="false">
      <c r="A105" s="13" t="str">
        <f aca="false">IF(F105="","",ROW()-5)</f>
        <v/>
      </c>
      <c r="B105" s="14"/>
      <c r="C105" s="14"/>
      <c r="D105" s="14"/>
      <c r="E105" s="14"/>
      <c r="F105" s="36"/>
      <c r="G105" s="37"/>
      <c r="H105" s="14"/>
      <c r="I105" s="38"/>
      <c r="J105" s="38"/>
      <c r="K105" s="33"/>
      <c r="L105" s="33"/>
      <c r="M105" s="34" t="str">
        <f aca="false">IF(F105="","",N(I105)/(1-IF(K105="",'Job Info'!$B$39,K105))*(1+IF('Job Info'!$B$38="Yes",'Job Info'!$B$37,0)))</f>
        <v/>
      </c>
      <c r="N105" s="34" t="str">
        <f aca="false">IF(F105="","",N(J105)/(1-IF(L105="",'Job Info'!$B$40,L105)))</f>
        <v/>
      </c>
      <c r="O105" s="34" t="str">
        <f aca="false">IF(F105="","",M105+N105)</f>
        <v/>
      </c>
      <c r="P105" s="34" t="str">
        <f aca="false">IF(F105="","",N(G105)*M105)</f>
        <v/>
      </c>
      <c r="Q105" s="34" t="str">
        <f aca="false">IF(F105="","",N(G105)*N105)</f>
        <v/>
      </c>
      <c r="R105" s="35" t="str">
        <f aca="false">IF(F105="","",P105+Q105)</f>
        <v/>
      </c>
      <c r="S105" s="36"/>
      <c r="T105" s="36"/>
      <c r="U105" s="34" t="str">
        <f aca="false">IF(F105="","",N(G105)*N(I105))</f>
        <v/>
      </c>
      <c r="V105" s="34" t="str">
        <f aca="false">IF(F105="","",N(G105)*N(J105))</f>
        <v/>
      </c>
      <c r="W105" s="13" t="str">
        <f aca="false">IF(F105="","",IF(B105="Excluded","",COUNTIFS($F$6:F105,"?*",$B$6:B105,"&lt;&gt;Excluded")))</f>
        <v/>
      </c>
      <c r="X105" s="34" t="str">
        <f aca="false">IF(F105="","",N(G105)*N(I105)/(1-IF(K105="",'Job Info'!$B$39,K105))*IF('Job Info'!$B$38="Yes",'Job Info'!$B$37,0))</f>
        <v/>
      </c>
    </row>
    <row r="106" customFormat="false" ht="15" hidden="false" customHeight="false" outlineLevel="0" collapsed="false">
      <c r="A106" s="13" t="str">
        <f aca="false">IF(F106="","",ROW()-5)</f>
        <v/>
      </c>
      <c r="B106" s="14"/>
      <c r="C106" s="14"/>
      <c r="D106" s="14"/>
      <c r="E106" s="14"/>
      <c r="F106" s="36"/>
      <c r="G106" s="37"/>
      <c r="H106" s="14"/>
      <c r="I106" s="38"/>
      <c r="J106" s="38"/>
      <c r="K106" s="33"/>
      <c r="L106" s="33"/>
      <c r="M106" s="34" t="str">
        <f aca="false">IF(F106="","",N(I106)/(1-IF(K106="",'Job Info'!$B$39,K106))*(1+IF('Job Info'!$B$38="Yes",'Job Info'!$B$37,0)))</f>
        <v/>
      </c>
      <c r="N106" s="34" t="str">
        <f aca="false">IF(F106="","",N(J106)/(1-IF(L106="",'Job Info'!$B$40,L106)))</f>
        <v/>
      </c>
      <c r="O106" s="34" t="str">
        <f aca="false">IF(F106="","",M106+N106)</f>
        <v/>
      </c>
      <c r="P106" s="34" t="str">
        <f aca="false">IF(F106="","",N(G106)*M106)</f>
        <v/>
      </c>
      <c r="Q106" s="34" t="str">
        <f aca="false">IF(F106="","",N(G106)*N106)</f>
        <v/>
      </c>
      <c r="R106" s="35" t="str">
        <f aca="false">IF(F106="","",P106+Q106)</f>
        <v/>
      </c>
      <c r="S106" s="36"/>
      <c r="T106" s="36"/>
      <c r="U106" s="34" t="str">
        <f aca="false">IF(F106="","",N(G106)*N(I106))</f>
        <v/>
      </c>
      <c r="V106" s="34" t="str">
        <f aca="false">IF(F106="","",N(G106)*N(J106))</f>
        <v/>
      </c>
      <c r="W106" s="13" t="str">
        <f aca="false">IF(F106="","",IF(B106="Excluded","",COUNTIFS($F$6:F106,"?*",$B$6:B106,"&lt;&gt;Excluded")))</f>
        <v/>
      </c>
      <c r="X106" s="34" t="str">
        <f aca="false">IF(F106="","",N(G106)*N(I106)/(1-IF(K106="",'Job Info'!$B$39,K106))*IF('Job Info'!$B$38="Yes",'Job Info'!$B$37,0))</f>
        <v/>
      </c>
    </row>
    <row r="107" customFormat="false" ht="15" hidden="false" customHeight="false" outlineLevel="0" collapsed="false">
      <c r="A107" s="13" t="str">
        <f aca="false">IF(F107="","",ROW()-5)</f>
        <v/>
      </c>
      <c r="B107" s="14"/>
      <c r="C107" s="14"/>
      <c r="D107" s="14"/>
      <c r="E107" s="14"/>
      <c r="F107" s="36"/>
      <c r="G107" s="37"/>
      <c r="H107" s="14"/>
      <c r="I107" s="38"/>
      <c r="J107" s="38"/>
      <c r="K107" s="33"/>
      <c r="L107" s="33"/>
      <c r="M107" s="34" t="str">
        <f aca="false">IF(F107="","",N(I107)/(1-IF(K107="",'Job Info'!$B$39,K107))*(1+IF('Job Info'!$B$38="Yes",'Job Info'!$B$37,0)))</f>
        <v/>
      </c>
      <c r="N107" s="34" t="str">
        <f aca="false">IF(F107="","",N(J107)/(1-IF(L107="",'Job Info'!$B$40,L107)))</f>
        <v/>
      </c>
      <c r="O107" s="34" t="str">
        <f aca="false">IF(F107="","",M107+N107)</f>
        <v/>
      </c>
      <c r="P107" s="34" t="str">
        <f aca="false">IF(F107="","",N(G107)*M107)</f>
        <v/>
      </c>
      <c r="Q107" s="34" t="str">
        <f aca="false">IF(F107="","",N(G107)*N107)</f>
        <v/>
      </c>
      <c r="R107" s="35" t="str">
        <f aca="false">IF(F107="","",P107+Q107)</f>
        <v/>
      </c>
      <c r="S107" s="36"/>
      <c r="T107" s="36"/>
      <c r="U107" s="34" t="str">
        <f aca="false">IF(F107="","",N(G107)*N(I107))</f>
        <v/>
      </c>
      <c r="V107" s="34" t="str">
        <f aca="false">IF(F107="","",N(G107)*N(J107))</f>
        <v/>
      </c>
      <c r="W107" s="13" t="str">
        <f aca="false">IF(F107="","",IF(B107="Excluded","",COUNTIFS($F$6:F107,"?*",$B$6:B107,"&lt;&gt;Excluded")))</f>
        <v/>
      </c>
      <c r="X107" s="34" t="str">
        <f aca="false">IF(F107="","",N(G107)*N(I107)/(1-IF(K107="",'Job Info'!$B$39,K107))*IF('Job Info'!$B$38="Yes",'Job Info'!$B$37,0))</f>
        <v/>
      </c>
    </row>
    <row r="108" customFormat="false" ht="15" hidden="false" customHeight="false" outlineLevel="0" collapsed="false">
      <c r="A108" s="13" t="str">
        <f aca="false">IF(F108="","",ROW()-5)</f>
        <v/>
      </c>
      <c r="B108" s="14"/>
      <c r="C108" s="14"/>
      <c r="D108" s="14"/>
      <c r="E108" s="14"/>
      <c r="F108" s="36"/>
      <c r="G108" s="37"/>
      <c r="H108" s="14"/>
      <c r="I108" s="38"/>
      <c r="J108" s="38"/>
      <c r="K108" s="33"/>
      <c r="L108" s="33"/>
      <c r="M108" s="34" t="str">
        <f aca="false">IF(F108="","",N(I108)/(1-IF(K108="",'Job Info'!$B$39,K108))*(1+IF('Job Info'!$B$38="Yes",'Job Info'!$B$37,0)))</f>
        <v/>
      </c>
      <c r="N108" s="34" t="str">
        <f aca="false">IF(F108="","",N(J108)/(1-IF(L108="",'Job Info'!$B$40,L108)))</f>
        <v/>
      </c>
      <c r="O108" s="34" t="str">
        <f aca="false">IF(F108="","",M108+N108)</f>
        <v/>
      </c>
      <c r="P108" s="34" t="str">
        <f aca="false">IF(F108="","",N(G108)*M108)</f>
        <v/>
      </c>
      <c r="Q108" s="34" t="str">
        <f aca="false">IF(F108="","",N(G108)*N108)</f>
        <v/>
      </c>
      <c r="R108" s="35" t="str">
        <f aca="false">IF(F108="","",P108+Q108)</f>
        <v/>
      </c>
      <c r="S108" s="36"/>
      <c r="T108" s="36"/>
      <c r="U108" s="34" t="str">
        <f aca="false">IF(F108="","",N(G108)*N(I108))</f>
        <v/>
      </c>
      <c r="V108" s="34" t="str">
        <f aca="false">IF(F108="","",N(G108)*N(J108))</f>
        <v/>
      </c>
      <c r="W108" s="13" t="str">
        <f aca="false">IF(F108="","",IF(B108="Excluded","",COUNTIFS($F$6:F108,"?*",$B$6:B108,"&lt;&gt;Excluded")))</f>
        <v/>
      </c>
      <c r="X108" s="34" t="str">
        <f aca="false">IF(F108="","",N(G108)*N(I108)/(1-IF(K108="",'Job Info'!$B$39,K108))*IF('Job Info'!$B$38="Yes",'Job Info'!$B$37,0))</f>
        <v/>
      </c>
    </row>
    <row r="109" customFormat="false" ht="15" hidden="false" customHeight="false" outlineLevel="0" collapsed="false">
      <c r="A109" s="13" t="str">
        <f aca="false">IF(F109="","",ROW()-5)</f>
        <v/>
      </c>
      <c r="B109" s="14"/>
      <c r="C109" s="14"/>
      <c r="D109" s="14"/>
      <c r="E109" s="14"/>
      <c r="F109" s="36"/>
      <c r="G109" s="37"/>
      <c r="H109" s="14"/>
      <c r="I109" s="38"/>
      <c r="J109" s="38"/>
      <c r="K109" s="33"/>
      <c r="L109" s="33"/>
      <c r="M109" s="34" t="str">
        <f aca="false">IF(F109="","",N(I109)/(1-IF(K109="",'Job Info'!$B$39,K109))*(1+IF('Job Info'!$B$38="Yes",'Job Info'!$B$37,0)))</f>
        <v/>
      </c>
      <c r="N109" s="34" t="str">
        <f aca="false">IF(F109="","",N(J109)/(1-IF(L109="",'Job Info'!$B$40,L109)))</f>
        <v/>
      </c>
      <c r="O109" s="34" t="str">
        <f aca="false">IF(F109="","",M109+N109)</f>
        <v/>
      </c>
      <c r="P109" s="34" t="str">
        <f aca="false">IF(F109="","",N(G109)*M109)</f>
        <v/>
      </c>
      <c r="Q109" s="34" t="str">
        <f aca="false">IF(F109="","",N(G109)*N109)</f>
        <v/>
      </c>
      <c r="R109" s="35" t="str">
        <f aca="false">IF(F109="","",P109+Q109)</f>
        <v/>
      </c>
      <c r="S109" s="36"/>
      <c r="T109" s="36"/>
      <c r="U109" s="34" t="str">
        <f aca="false">IF(F109="","",N(G109)*N(I109))</f>
        <v/>
      </c>
      <c r="V109" s="34" t="str">
        <f aca="false">IF(F109="","",N(G109)*N(J109))</f>
        <v/>
      </c>
      <c r="W109" s="13" t="str">
        <f aca="false">IF(F109="","",IF(B109="Excluded","",COUNTIFS($F$6:F109,"?*",$B$6:B109,"&lt;&gt;Excluded")))</f>
        <v/>
      </c>
      <c r="X109" s="34" t="str">
        <f aca="false">IF(F109="","",N(G109)*N(I109)/(1-IF(K109="",'Job Info'!$B$39,K109))*IF('Job Info'!$B$38="Yes",'Job Info'!$B$37,0))</f>
        <v/>
      </c>
    </row>
    <row r="110" customFormat="false" ht="15" hidden="false" customHeight="false" outlineLevel="0" collapsed="false">
      <c r="A110" s="13" t="str">
        <f aca="false">IF(F110="","",ROW()-5)</f>
        <v/>
      </c>
      <c r="B110" s="14"/>
      <c r="C110" s="14"/>
      <c r="D110" s="14"/>
      <c r="E110" s="14"/>
      <c r="F110" s="36"/>
      <c r="G110" s="37"/>
      <c r="H110" s="14"/>
      <c r="I110" s="38"/>
      <c r="J110" s="38"/>
      <c r="K110" s="33"/>
      <c r="L110" s="33"/>
      <c r="M110" s="34" t="str">
        <f aca="false">IF(F110="","",N(I110)/(1-IF(K110="",'Job Info'!$B$39,K110))*(1+IF('Job Info'!$B$38="Yes",'Job Info'!$B$37,0)))</f>
        <v/>
      </c>
      <c r="N110" s="34" t="str">
        <f aca="false">IF(F110="","",N(J110)/(1-IF(L110="",'Job Info'!$B$40,L110)))</f>
        <v/>
      </c>
      <c r="O110" s="34" t="str">
        <f aca="false">IF(F110="","",M110+N110)</f>
        <v/>
      </c>
      <c r="P110" s="34" t="str">
        <f aca="false">IF(F110="","",N(G110)*M110)</f>
        <v/>
      </c>
      <c r="Q110" s="34" t="str">
        <f aca="false">IF(F110="","",N(G110)*N110)</f>
        <v/>
      </c>
      <c r="R110" s="35" t="str">
        <f aca="false">IF(F110="","",P110+Q110)</f>
        <v/>
      </c>
      <c r="S110" s="36"/>
      <c r="T110" s="36"/>
      <c r="U110" s="34" t="str">
        <f aca="false">IF(F110="","",N(G110)*N(I110))</f>
        <v/>
      </c>
      <c r="V110" s="34" t="str">
        <f aca="false">IF(F110="","",N(G110)*N(J110))</f>
        <v/>
      </c>
      <c r="W110" s="13" t="str">
        <f aca="false">IF(F110="","",IF(B110="Excluded","",COUNTIFS($F$6:F110,"?*",$B$6:B110,"&lt;&gt;Excluded")))</f>
        <v/>
      </c>
      <c r="X110" s="34" t="str">
        <f aca="false">IF(F110="","",N(G110)*N(I110)/(1-IF(K110="",'Job Info'!$B$39,K110))*IF('Job Info'!$B$38="Yes",'Job Info'!$B$37,0))</f>
        <v/>
      </c>
    </row>
    <row r="111" customFormat="false" ht="15" hidden="false" customHeight="false" outlineLevel="0" collapsed="false">
      <c r="A111" s="13" t="str">
        <f aca="false">IF(F111="","",ROW()-5)</f>
        <v/>
      </c>
      <c r="B111" s="14"/>
      <c r="C111" s="14"/>
      <c r="D111" s="14"/>
      <c r="E111" s="14"/>
      <c r="F111" s="36"/>
      <c r="G111" s="37"/>
      <c r="H111" s="14"/>
      <c r="I111" s="38"/>
      <c r="J111" s="38"/>
      <c r="K111" s="33"/>
      <c r="L111" s="33"/>
      <c r="M111" s="34" t="str">
        <f aca="false">IF(F111="","",N(I111)/(1-IF(K111="",'Job Info'!$B$39,K111))*(1+IF('Job Info'!$B$38="Yes",'Job Info'!$B$37,0)))</f>
        <v/>
      </c>
      <c r="N111" s="34" t="str">
        <f aca="false">IF(F111="","",N(J111)/(1-IF(L111="",'Job Info'!$B$40,L111)))</f>
        <v/>
      </c>
      <c r="O111" s="34" t="str">
        <f aca="false">IF(F111="","",M111+N111)</f>
        <v/>
      </c>
      <c r="P111" s="34" t="str">
        <f aca="false">IF(F111="","",N(G111)*M111)</f>
        <v/>
      </c>
      <c r="Q111" s="34" t="str">
        <f aca="false">IF(F111="","",N(G111)*N111)</f>
        <v/>
      </c>
      <c r="R111" s="35" t="str">
        <f aca="false">IF(F111="","",P111+Q111)</f>
        <v/>
      </c>
      <c r="S111" s="36"/>
      <c r="T111" s="36"/>
      <c r="U111" s="34" t="str">
        <f aca="false">IF(F111="","",N(G111)*N(I111))</f>
        <v/>
      </c>
      <c r="V111" s="34" t="str">
        <f aca="false">IF(F111="","",N(G111)*N(J111))</f>
        <v/>
      </c>
      <c r="W111" s="13" t="str">
        <f aca="false">IF(F111="","",IF(B111="Excluded","",COUNTIFS($F$6:F111,"?*",$B$6:B111,"&lt;&gt;Excluded")))</f>
        <v/>
      </c>
      <c r="X111" s="34" t="str">
        <f aca="false">IF(F111="","",N(G111)*N(I111)/(1-IF(K111="",'Job Info'!$B$39,K111))*IF('Job Info'!$B$38="Yes",'Job Info'!$B$37,0))</f>
        <v/>
      </c>
    </row>
    <row r="112" customFormat="false" ht="15" hidden="false" customHeight="false" outlineLevel="0" collapsed="false">
      <c r="A112" s="13" t="str">
        <f aca="false">IF(F112="","",ROW()-5)</f>
        <v/>
      </c>
      <c r="B112" s="14"/>
      <c r="C112" s="14"/>
      <c r="D112" s="14"/>
      <c r="E112" s="14"/>
      <c r="F112" s="36"/>
      <c r="G112" s="37"/>
      <c r="H112" s="14"/>
      <c r="I112" s="38"/>
      <c r="J112" s="38"/>
      <c r="K112" s="33"/>
      <c r="L112" s="33"/>
      <c r="M112" s="34" t="str">
        <f aca="false">IF(F112="","",N(I112)/(1-IF(K112="",'Job Info'!$B$39,K112))*(1+IF('Job Info'!$B$38="Yes",'Job Info'!$B$37,0)))</f>
        <v/>
      </c>
      <c r="N112" s="34" t="str">
        <f aca="false">IF(F112="","",N(J112)/(1-IF(L112="",'Job Info'!$B$40,L112)))</f>
        <v/>
      </c>
      <c r="O112" s="34" t="str">
        <f aca="false">IF(F112="","",M112+N112)</f>
        <v/>
      </c>
      <c r="P112" s="34" t="str">
        <f aca="false">IF(F112="","",N(G112)*M112)</f>
        <v/>
      </c>
      <c r="Q112" s="34" t="str">
        <f aca="false">IF(F112="","",N(G112)*N112)</f>
        <v/>
      </c>
      <c r="R112" s="35" t="str">
        <f aca="false">IF(F112="","",P112+Q112)</f>
        <v/>
      </c>
      <c r="S112" s="36"/>
      <c r="T112" s="36"/>
      <c r="U112" s="34" t="str">
        <f aca="false">IF(F112="","",N(G112)*N(I112))</f>
        <v/>
      </c>
      <c r="V112" s="34" t="str">
        <f aca="false">IF(F112="","",N(G112)*N(J112))</f>
        <v/>
      </c>
      <c r="W112" s="13" t="str">
        <f aca="false">IF(F112="","",IF(B112="Excluded","",COUNTIFS($F$6:F112,"?*",$B$6:B112,"&lt;&gt;Excluded")))</f>
        <v/>
      </c>
      <c r="X112" s="34" t="str">
        <f aca="false">IF(F112="","",N(G112)*N(I112)/(1-IF(K112="",'Job Info'!$B$39,K112))*IF('Job Info'!$B$38="Yes",'Job Info'!$B$37,0))</f>
        <v/>
      </c>
    </row>
    <row r="113" customFormat="false" ht="15" hidden="false" customHeight="false" outlineLevel="0" collapsed="false">
      <c r="A113" s="13" t="str">
        <f aca="false">IF(F113="","",ROW()-5)</f>
        <v/>
      </c>
      <c r="B113" s="14"/>
      <c r="C113" s="14"/>
      <c r="D113" s="14"/>
      <c r="E113" s="14"/>
      <c r="F113" s="36"/>
      <c r="G113" s="37"/>
      <c r="H113" s="14"/>
      <c r="I113" s="38"/>
      <c r="J113" s="38"/>
      <c r="K113" s="33"/>
      <c r="L113" s="33"/>
      <c r="M113" s="34" t="str">
        <f aca="false">IF(F113="","",N(I113)/(1-IF(K113="",'Job Info'!$B$39,K113))*(1+IF('Job Info'!$B$38="Yes",'Job Info'!$B$37,0)))</f>
        <v/>
      </c>
      <c r="N113" s="34" t="str">
        <f aca="false">IF(F113="","",N(J113)/(1-IF(L113="",'Job Info'!$B$40,L113)))</f>
        <v/>
      </c>
      <c r="O113" s="34" t="str">
        <f aca="false">IF(F113="","",M113+N113)</f>
        <v/>
      </c>
      <c r="P113" s="34" t="str">
        <f aca="false">IF(F113="","",N(G113)*M113)</f>
        <v/>
      </c>
      <c r="Q113" s="34" t="str">
        <f aca="false">IF(F113="","",N(G113)*N113)</f>
        <v/>
      </c>
      <c r="R113" s="35" t="str">
        <f aca="false">IF(F113="","",P113+Q113)</f>
        <v/>
      </c>
      <c r="S113" s="36"/>
      <c r="T113" s="36"/>
      <c r="U113" s="34" t="str">
        <f aca="false">IF(F113="","",N(G113)*N(I113))</f>
        <v/>
      </c>
      <c r="V113" s="34" t="str">
        <f aca="false">IF(F113="","",N(G113)*N(J113))</f>
        <v/>
      </c>
      <c r="W113" s="13" t="str">
        <f aca="false">IF(F113="","",IF(B113="Excluded","",COUNTIFS($F$6:F113,"?*",$B$6:B113,"&lt;&gt;Excluded")))</f>
        <v/>
      </c>
      <c r="X113" s="34" t="str">
        <f aca="false">IF(F113="","",N(G113)*N(I113)/(1-IF(K113="",'Job Info'!$B$39,K113))*IF('Job Info'!$B$38="Yes",'Job Info'!$B$37,0))</f>
        <v/>
      </c>
    </row>
    <row r="114" customFormat="false" ht="15" hidden="false" customHeight="false" outlineLevel="0" collapsed="false">
      <c r="A114" s="13" t="str">
        <f aca="false">IF(F114="","",ROW()-5)</f>
        <v/>
      </c>
      <c r="B114" s="14"/>
      <c r="C114" s="14"/>
      <c r="D114" s="14"/>
      <c r="E114" s="14"/>
      <c r="F114" s="36"/>
      <c r="G114" s="37"/>
      <c r="H114" s="14"/>
      <c r="I114" s="38"/>
      <c r="J114" s="38"/>
      <c r="K114" s="33"/>
      <c r="L114" s="33"/>
      <c r="M114" s="34" t="str">
        <f aca="false">IF(F114="","",N(I114)/(1-IF(K114="",'Job Info'!$B$39,K114))*(1+IF('Job Info'!$B$38="Yes",'Job Info'!$B$37,0)))</f>
        <v/>
      </c>
      <c r="N114" s="34" t="str">
        <f aca="false">IF(F114="","",N(J114)/(1-IF(L114="",'Job Info'!$B$40,L114)))</f>
        <v/>
      </c>
      <c r="O114" s="34" t="str">
        <f aca="false">IF(F114="","",M114+N114)</f>
        <v/>
      </c>
      <c r="P114" s="34" t="str">
        <f aca="false">IF(F114="","",N(G114)*M114)</f>
        <v/>
      </c>
      <c r="Q114" s="34" t="str">
        <f aca="false">IF(F114="","",N(G114)*N114)</f>
        <v/>
      </c>
      <c r="R114" s="35" t="str">
        <f aca="false">IF(F114="","",P114+Q114)</f>
        <v/>
      </c>
      <c r="S114" s="36"/>
      <c r="T114" s="36"/>
      <c r="U114" s="34" t="str">
        <f aca="false">IF(F114="","",N(G114)*N(I114))</f>
        <v/>
      </c>
      <c r="V114" s="34" t="str">
        <f aca="false">IF(F114="","",N(G114)*N(J114))</f>
        <v/>
      </c>
      <c r="W114" s="13" t="str">
        <f aca="false">IF(F114="","",IF(B114="Excluded","",COUNTIFS($F$6:F114,"?*",$B$6:B114,"&lt;&gt;Excluded")))</f>
        <v/>
      </c>
      <c r="X114" s="34" t="str">
        <f aca="false">IF(F114="","",N(G114)*N(I114)/(1-IF(K114="",'Job Info'!$B$39,K114))*IF('Job Info'!$B$38="Yes",'Job Info'!$B$37,0))</f>
        <v/>
      </c>
    </row>
    <row r="115" customFormat="false" ht="15" hidden="false" customHeight="false" outlineLevel="0" collapsed="false">
      <c r="A115" s="13" t="str">
        <f aca="false">IF(F115="","",ROW()-5)</f>
        <v/>
      </c>
      <c r="B115" s="14"/>
      <c r="C115" s="14"/>
      <c r="D115" s="14"/>
      <c r="E115" s="14"/>
      <c r="F115" s="36"/>
      <c r="G115" s="37"/>
      <c r="H115" s="14"/>
      <c r="I115" s="38"/>
      <c r="J115" s="38"/>
      <c r="K115" s="33"/>
      <c r="L115" s="33"/>
      <c r="M115" s="34" t="str">
        <f aca="false">IF(F115="","",N(I115)/(1-IF(K115="",'Job Info'!$B$39,K115))*(1+IF('Job Info'!$B$38="Yes",'Job Info'!$B$37,0)))</f>
        <v/>
      </c>
      <c r="N115" s="34" t="str">
        <f aca="false">IF(F115="","",N(J115)/(1-IF(L115="",'Job Info'!$B$40,L115)))</f>
        <v/>
      </c>
      <c r="O115" s="34" t="str">
        <f aca="false">IF(F115="","",M115+N115)</f>
        <v/>
      </c>
      <c r="P115" s="34" t="str">
        <f aca="false">IF(F115="","",N(G115)*M115)</f>
        <v/>
      </c>
      <c r="Q115" s="34" t="str">
        <f aca="false">IF(F115="","",N(G115)*N115)</f>
        <v/>
      </c>
      <c r="R115" s="35" t="str">
        <f aca="false">IF(F115="","",P115+Q115)</f>
        <v/>
      </c>
      <c r="S115" s="36"/>
      <c r="T115" s="36"/>
      <c r="U115" s="34" t="str">
        <f aca="false">IF(F115="","",N(G115)*N(I115))</f>
        <v/>
      </c>
      <c r="V115" s="34" t="str">
        <f aca="false">IF(F115="","",N(G115)*N(J115))</f>
        <v/>
      </c>
      <c r="W115" s="13" t="str">
        <f aca="false">IF(F115="","",IF(B115="Excluded","",COUNTIFS($F$6:F115,"?*",$B$6:B115,"&lt;&gt;Excluded")))</f>
        <v/>
      </c>
      <c r="X115" s="34" t="str">
        <f aca="false">IF(F115="","",N(G115)*N(I115)/(1-IF(K115="",'Job Info'!$B$39,K115))*IF('Job Info'!$B$38="Yes",'Job Info'!$B$37,0))</f>
        <v/>
      </c>
    </row>
    <row r="116" customFormat="false" ht="15" hidden="false" customHeight="false" outlineLevel="0" collapsed="false">
      <c r="A116" s="13" t="str">
        <f aca="false">IF(F116="","",ROW()-5)</f>
        <v/>
      </c>
      <c r="B116" s="14"/>
      <c r="C116" s="14"/>
      <c r="D116" s="14"/>
      <c r="E116" s="14"/>
      <c r="F116" s="36"/>
      <c r="G116" s="37"/>
      <c r="H116" s="14"/>
      <c r="I116" s="38"/>
      <c r="J116" s="38"/>
      <c r="K116" s="33"/>
      <c r="L116" s="33"/>
      <c r="M116" s="34" t="str">
        <f aca="false">IF(F116="","",N(I116)/(1-IF(K116="",'Job Info'!$B$39,K116))*(1+IF('Job Info'!$B$38="Yes",'Job Info'!$B$37,0)))</f>
        <v/>
      </c>
      <c r="N116" s="34" t="str">
        <f aca="false">IF(F116="","",N(J116)/(1-IF(L116="",'Job Info'!$B$40,L116)))</f>
        <v/>
      </c>
      <c r="O116" s="34" t="str">
        <f aca="false">IF(F116="","",M116+N116)</f>
        <v/>
      </c>
      <c r="P116" s="34" t="str">
        <f aca="false">IF(F116="","",N(G116)*M116)</f>
        <v/>
      </c>
      <c r="Q116" s="34" t="str">
        <f aca="false">IF(F116="","",N(G116)*N116)</f>
        <v/>
      </c>
      <c r="R116" s="35" t="str">
        <f aca="false">IF(F116="","",P116+Q116)</f>
        <v/>
      </c>
      <c r="S116" s="36"/>
      <c r="T116" s="36"/>
      <c r="U116" s="34" t="str">
        <f aca="false">IF(F116="","",N(G116)*N(I116))</f>
        <v/>
      </c>
      <c r="V116" s="34" t="str">
        <f aca="false">IF(F116="","",N(G116)*N(J116))</f>
        <v/>
      </c>
      <c r="W116" s="13" t="str">
        <f aca="false">IF(F116="","",IF(B116="Excluded","",COUNTIFS($F$6:F116,"?*",$B$6:B116,"&lt;&gt;Excluded")))</f>
        <v/>
      </c>
      <c r="X116" s="34" t="str">
        <f aca="false">IF(F116="","",N(G116)*N(I116)/(1-IF(K116="",'Job Info'!$B$39,K116))*IF('Job Info'!$B$38="Yes",'Job Info'!$B$37,0))</f>
        <v/>
      </c>
    </row>
    <row r="117" customFormat="false" ht="15" hidden="false" customHeight="false" outlineLevel="0" collapsed="false">
      <c r="A117" s="13" t="str">
        <f aca="false">IF(F117="","",ROW()-5)</f>
        <v/>
      </c>
      <c r="B117" s="14"/>
      <c r="C117" s="14"/>
      <c r="D117" s="14"/>
      <c r="E117" s="14"/>
      <c r="F117" s="36"/>
      <c r="G117" s="37"/>
      <c r="H117" s="14"/>
      <c r="I117" s="38"/>
      <c r="J117" s="38"/>
      <c r="K117" s="33"/>
      <c r="L117" s="33"/>
      <c r="M117" s="34" t="str">
        <f aca="false">IF(F117="","",N(I117)/(1-IF(K117="",'Job Info'!$B$39,K117))*(1+IF('Job Info'!$B$38="Yes",'Job Info'!$B$37,0)))</f>
        <v/>
      </c>
      <c r="N117" s="34" t="str">
        <f aca="false">IF(F117="","",N(J117)/(1-IF(L117="",'Job Info'!$B$40,L117)))</f>
        <v/>
      </c>
      <c r="O117" s="34" t="str">
        <f aca="false">IF(F117="","",M117+N117)</f>
        <v/>
      </c>
      <c r="P117" s="34" t="str">
        <f aca="false">IF(F117="","",N(G117)*M117)</f>
        <v/>
      </c>
      <c r="Q117" s="34" t="str">
        <f aca="false">IF(F117="","",N(G117)*N117)</f>
        <v/>
      </c>
      <c r="R117" s="35" t="str">
        <f aca="false">IF(F117="","",P117+Q117)</f>
        <v/>
      </c>
      <c r="S117" s="36"/>
      <c r="T117" s="36"/>
      <c r="U117" s="34" t="str">
        <f aca="false">IF(F117="","",N(G117)*N(I117))</f>
        <v/>
      </c>
      <c r="V117" s="34" t="str">
        <f aca="false">IF(F117="","",N(G117)*N(J117))</f>
        <v/>
      </c>
      <c r="W117" s="13" t="str">
        <f aca="false">IF(F117="","",IF(B117="Excluded","",COUNTIFS($F$6:F117,"?*",$B$6:B117,"&lt;&gt;Excluded")))</f>
        <v/>
      </c>
      <c r="X117" s="34" t="str">
        <f aca="false">IF(F117="","",N(G117)*N(I117)/(1-IF(K117="",'Job Info'!$B$39,K117))*IF('Job Info'!$B$38="Yes",'Job Info'!$B$37,0))</f>
        <v/>
      </c>
    </row>
    <row r="118" customFormat="false" ht="15" hidden="false" customHeight="false" outlineLevel="0" collapsed="false">
      <c r="A118" s="13" t="str">
        <f aca="false">IF(F118="","",ROW()-5)</f>
        <v/>
      </c>
      <c r="B118" s="14"/>
      <c r="C118" s="14"/>
      <c r="D118" s="14"/>
      <c r="E118" s="14"/>
      <c r="F118" s="36"/>
      <c r="G118" s="37"/>
      <c r="H118" s="14"/>
      <c r="I118" s="38"/>
      <c r="J118" s="38"/>
      <c r="K118" s="33"/>
      <c r="L118" s="33"/>
      <c r="M118" s="34" t="str">
        <f aca="false">IF(F118="","",N(I118)/(1-IF(K118="",'Job Info'!$B$39,K118))*(1+IF('Job Info'!$B$38="Yes",'Job Info'!$B$37,0)))</f>
        <v/>
      </c>
      <c r="N118" s="34" t="str">
        <f aca="false">IF(F118="","",N(J118)/(1-IF(L118="",'Job Info'!$B$40,L118)))</f>
        <v/>
      </c>
      <c r="O118" s="34" t="str">
        <f aca="false">IF(F118="","",M118+N118)</f>
        <v/>
      </c>
      <c r="P118" s="34" t="str">
        <f aca="false">IF(F118="","",N(G118)*M118)</f>
        <v/>
      </c>
      <c r="Q118" s="34" t="str">
        <f aca="false">IF(F118="","",N(G118)*N118)</f>
        <v/>
      </c>
      <c r="R118" s="35" t="str">
        <f aca="false">IF(F118="","",P118+Q118)</f>
        <v/>
      </c>
      <c r="S118" s="36"/>
      <c r="T118" s="36"/>
      <c r="U118" s="34" t="str">
        <f aca="false">IF(F118="","",N(G118)*N(I118))</f>
        <v/>
      </c>
      <c r="V118" s="34" t="str">
        <f aca="false">IF(F118="","",N(G118)*N(J118))</f>
        <v/>
      </c>
      <c r="W118" s="13" t="str">
        <f aca="false">IF(F118="","",IF(B118="Excluded","",COUNTIFS($F$6:F118,"?*",$B$6:B118,"&lt;&gt;Excluded")))</f>
        <v/>
      </c>
      <c r="X118" s="34" t="str">
        <f aca="false">IF(F118="","",N(G118)*N(I118)/(1-IF(K118="",'Job Info'!$B$39,K118))*IF('Job Info'!$B$38="Yes",'Job Info'!$B$37,0))</f>
        <v/>
      </c>
    </row>
    <row r="119" customFormat="false" ht="15" hidden="false" customHeight="false" outlineLevel="0" collapsed="false">
      <c r="A119" s="13" t="str">
        <f aca="false">IF(F119="","",ROW()-5)</f>
        <v/>
      </c>
      <c r="B119" s="14"/>
      <c r="C119" s="14"/>
      <c r="D119" s="14"/>
      <c r="E119" s="14"/>
      <c r="F119" s="36"/>
      <c r="G119" s="37"/>
      <c r="H119" s="14"/>
      <c r="I119" s="38"/>
      <c r="J119" s="38"/>
      <c r="K119" s="33"/>
      <c r="L119" s="33"/>
      <c r="M119" s="34" t="str">
        <f aca="false">IF(F119="","",N(I119)/(1-IF(K119="",'Job Info'!$B$39,K119))*(1+IF('Job Info'!$B$38="Yes",'Job Info'!$B$37,0)))</f>
        <v/>
      </c>
      <c r="N119" s="34" t="str">
        <f aca="false">IF(F119="","",N(J119)/(1-IF(L119="",'Job Info'!$B$40,L119)))</f>
        <v/>
      </c>
      <c r="O119" s="34" t="str">
        <f aca="false">IF(F119="","",M119+N119)</f>
        <v/>
      </c>
      <c r="P119" s="34" t="str">
        <f aca="false">IF(F119="","",N(G119)*M119)</f>
        <v/>
      </c>
      <c r="Q119" s="34" t="str">
        <f aca="false">IF(F119="","",N(G119)*N119)</f>
        <v/>
      </c>
      <c r="R119" s="35" t="str">
        <f aca="false">IF(F119="","",P119+Q119)</f>
        <v/>
      </c>
      <c r="S119" s="36"/>
      <c r="T119" s="36"/>
      <c r="U119" s="34" t="str">
        <f aca="false">IF(F119="","",N(G119)*N(I119))</f>
        <v/>
      </c>
      <c r="V119" s="34" t="str">
        <f aca="false">IF(F119="","",N(G119)*N(J119))</f>
        <v/>
      </c>
      <c r="W119" s="13" t="str">
        <f aca="false">IF(F119="","",IF(B119="Excluded","",COUNTIFS($F$6:F119,"?*",$B$6:B119,"&lt;&gt;Excluded")))</f>
        <v/>
      </c>
      <c r="X119" s="34" t="str">
        <f aca="false">IF(F119="","",N(G119)*N(I119)/(1-IF(K119="",'Job Info'!$B$39,K119))*IF('Job Info'!$B$38="Yes",'Job Info'!$B$37,0))</f>
        <v/>
      </c>
    </row>
    <row r="120" customFormat="false" ht="15" hidden="false" customHeight="false" outlineLevel="0" collapsed="false">
      <c r="A120" s="13" t="str">
        <f aca="false">IF(F120="","",ROW()-5)</f>
        <v/>
      </c>
      <c r="B120" s="14"/>
      <c r="C120" s="14"/>
      <c r="D120" s="14"/>
      <c r="E120" s="14"/>
      <c r="F120" s="36"/>
      <c r="G120" s="37"/>
      <c r="H120" s="14"/>
      <c r="I120" s="38"/>
      <c r="J120" s="38"/>
      <c r="K120" s="33"/>
      <c r="L120" s="33"/>
      <c r="M120" s="34" t="str">
        <f aca="false">IF(F120="","",N(I120)/(1-IF(K120="",'Job Info'!$B$39,K120))*(1+IF('Job Info'!$B$38="Yes",'Job Info'!$B$37,0)))</f>
        <v/>
      </c>
      <c r="N120" s="34" t="str">
        <f aca="false">IF(F120="","",N(J120)/(1-IF(L120="",'Job Info'!$B$40,L120)))</f>
        <v/>
      </c>
      <c r="O120" s="34" t="str">
        <f aca="false">IF(F120="","",M120+N120)</f>
        <v/>
      </c>
      <c r="P120" s="34" t="str">
        <f aca="false">IF(F120="","",N(G120)*M120)</f>
        <v/>
      </c>
      <c r="Q120" s="34" t="str">
        <f aca="false">IF(F120="","",N(G120)*N120)</f>
        <v/>
      </c>
      <c r="R120" s="35" t="str">
        <f aca="false">IF(F120="","",P120+Q120)</f>
        <v/>
      </c>
      <c r="S120" s="36"/>
      <c r="T120" s="36"/>
      <c r="U120" s="34" t="str">
        <f aca="false">IF(F120="","",N(G120)*N(I120))</f>
        <v/>
      </c>
      <c r="V120" s="34" t="str">
        <f aca="false">IF(F120="","",N(G120)*N(J120))</f>
        <v/>
      </c>
      <c r="W120" s="13" t="str">
        <f aca="false">IF(F120="","",IF(B120="Excluded","",COUNTIFS($F$6:F120,"?*",$B$6:B120,"&lt;&gt;Excluded")))</f>
        <v/>
      </c>
      <c r="X120" s="34" t="str">
        <f aca="false">IF(F120="","",N(G120)*N(I120)/(1-IF(K120="",'Job Info'!$B$39,K120))*IF('Job Info'!$B$38="Yes",'Job Info'!$B$37,0))</f>
        <v/>
      </c>
    </row>
    <row r="121" customFormat="false" ht="15" hidden="false" customHeight="false" outlineLevel="0" collapsed="false">
      <c r="A121" s="13" t="str">
        <f aca="false">IF(F121="","",ROW()-5)</f>
        <v/>
      </c>
      <c r="B121" s="14"/>
      <c r="C121" s="14"/>
      <c r="D121" s="14"/>
      <c r="E121" s="14"/>
      <c r="F121" s="36"/>
      <c r="G121" s="37"/>
      <c r="H121" s="14"/>
      <c r="I121" s="38"/>
      <c r="J121" s="38"/>
      <c r="K121" s="33"/>
      <c r="L121" s="33"/>
      <c r="M121" s="34" t="str">
        <f aca="false">IF(F121="","",N(I121)/(1-IF(K121="",'Job Info'!$B$39,K121))*(1+IF('Job Info'!$B$38="Yes",'Job Info'!$B$37,0)))</f>
        <v/>
      </c>
      <c r="N121" s="34" t="str">
        <f aca="false">IF(F121="","",N(J121)/(1-IF(L121="",'Job Info'!$B$40,L121)))</f>
        <v/>
      </c>
      <c r="O121" s="34" t="str">
        <f aca="false">IF(F121="","",M121+N121)</f>
        <v/>
      </c>
      <c r="P121" s="34" t="str">
        <f aca="false">IF(F121="","",N(G121)*M121)</f>
        <v/>
      </c>
      <c r="Q121" s="34" t="str">
        <f aca="false">IF(F121="","",N(G121)*N121)</f>
        <v/>
      </c>
      <c r="R121" s="35" t="str">
        <f aca="false">IF(F121="","",P121+Q121)</f>
        <v/>
      </c>
      <c r="S121" s="36"/>
      <c r="T121" s="36"/>
      <c r="U121" s="34" t="str">
        <f aca="false">IF(F121="","",N(G121)*N(I121))</f>
        <v/>
      </c>
      <c r="V121" s="34" t="str">
        <f aca="false">IF(F121="","",N(G121)*N(J121))</f>
        <v/>
      </c>
      <c r="W121" s="13" t="str">
        <f aca="false">IF(F121="","",IF(B121="Excluded","",COUNTIFS($F$6:F121,"?*",$B$6:B121,"&lt;&gt;Excluded")))</f>
        <v/>
      </c>
      <c r="X121" s="34" t="str">
        <f aca="false">IF(F121="","",N(G121)*N(I121)/(1-IF(K121="",'Job Info'!$B$39,K121))*IF('Job Info'!$B$38="Yes",'Job Info'!$B$37,0))</f>
        <v/>
      </c>
    </row>
    <row r="122" customFormat="false" ht="15" hidden="false" customHeight="false" outlineLevel="0" collapsed="false">
      <c r="A122" s="13" t="str">
        <f aca="false">IF(F122="","",ROW()-5)</f>
        <v/>
      </c>
      <c r="B122" s="14"/>
      <c r="C122" s="14"/>
      <c r="D122" s="14"/>
      <c r="E122" s="14"/>
      <c r="F122" s="36"/>
      <c r="G122" s="37"/>
      <c r="H122" s="14"/>
      <c r="I122" s="38"/>
      <c r="J122" s="38"/>
      <c r="K122" s="33"/>
      <c r="L122" s="33"/>
      <c r="M122" s="34" t="str">
        <f aca="false">IF(F122="","",N(I122)/(1-IF(K122="",'Job Info'!$B$39,K122))*(1+IF('Job Info'!$B$38="Yes",'Job Info'!$B$37,0)))</f>
        <v/>
      </c>
      <c r="N122" s="34" t="str">
        <f aca="false">IF(F122="","",N(J122)/(1-IF(L122="",'Job Info'!$B$40,L122)))</f>
        <v/>
      </c>
      <c r="O122" s="34" t="str">
        <f aca="false">IF(F122="","",M122+N122)</f>
        <v/>
      </c>
      <c r="P122" s="34" t="str">
        <f aca="false">IF(F122="","",N(G122)*M122)</f>
        <v/>
      </c>
      <c r="Q122" s="34" t="str">
        <f aca="false">IF(F122="","",N(G122)*N122)</f>
        <v/>
      </c>
      <c r="R122" s="35" t="str">
        <f aca="false">IF(F122="","",P122+Q122)</f>
        <v/>
      </c>
      <c r="S122" s="36"/>
      <c r="T122" s="36"/>
      <c r="U122" s="34" t="str">
        <f aca="false">IF(F122="","",N(G122)*N(I122))</f>
        <v/>
      </c>
      <c r="V122" s="34" t="str">
        <f aca="false">IF(F122="","",N(G122)*N(J122))</f>
        <v/>
      </c>
      <c r="W122" s="13" t="str">
        <f aca="false">IF(F122="","",IF(B122="Excluded","",COUNTIFS($F$6:F122,"?*",$B$6:B122,"&lt;&gt;Excluded")))</f>
        <v/>
      </c>
      <c r="X122" s="34" t="str">
        <f aca="false">IF(F122="","",N(G122)*N(I122)/(1-IF(K122="",'Job Info'!$B$39,K122))*IF('Job Info'!$B$38="Yes",'Job Info'!$B$37,0))</f>
        <v/>
      </c>
    </row>
    <row r="123" customFormat="false" ht="15" hidden="false" customHeight="false" outlineLevel="0" collapsed="false">
      <c r="A123" s="13" t="str">
        <f aca="false">IF(F123="","",ROW()-5)</f>
        <v/>
      </c>
      <c r="B123" s="14"/>
      <c r="C123" s="14"/>
      <c r="D123" s="14"/>
      <c r="E123" s="14"/>
      <c r="F123" s="36"/>
      <c r="G123" s="37"/>
      <c r="H123" s="14"/>
      <c r="I123" s="38"/>
      <c r="J123" s="38"/>
      <c r="K123" s="33"/>
      <c r="L123" s="33"/>
      <c r="M123" s="34" t="str">
        <f aca="false">IF(F123="","",N(I123)/(1-IF(K123="",'Job Info'!$B$39,K123))*(1+IF('Job Info'!$B$38="Yes",'Job Info'!$B$37,0)))</f>
        <v/>
      </c>
      <c r="N123" s="34" t="str">
        <f aca="false">IF(F123="","",N(J123)/(1-IF(L123="",'Job Info'!$B$40,L123)))</f>
        <v/>
      </c>
      <c r="O123" s="34" t="str">
        <f aca="false">IF(F123="","",M123+N123)</f>
        <v/>
      </c>
      <c r="P123" s="34" t="str">
        <f aca="false">IF(F123="","",N(G123)*M123)</f>
        <v/>
      </c>
      <c r="Q123" s="34" t="str">
        <f aca="false">IF(F123="","",N(G123)*N123)</f>
        <v/>
      </c>
      <c r="R123" s="35" t="str">
        <f aca="false">IF(F123="","",P123+Q123)</f>
        <v/>
      </c>
      <c r="S123" s="36"/>
      <c r="T123" s="36"/>
      <c r="U123" s="34" t="str">
        <f aca="false">IF(F123="","",N(G123)*N(I123))</f>
        <v/>
      </c>
      <c r="V123" s="34" t="str">
        <f aca="false">IF(F123="","",N(G123)*N(J123))</f>
        <v/>
      </c>
      <c r="W123" s="13" t="str">
        <f aca="false">IF(F123="","",IF(B123="Excluded","",COUNTIFS($F$6:F123,"?*",$B$6:B123,"&lt;&gt;Excluded")))</f>
        <v/>
      </c>
      <c r="X123" s="34" t="str">
        <f aca="false">IF(F123="","",N(G123)*N(I123)/(1-IF(K123="",'Job Info'!$B$39,K123))*IF('Job Info'!$B$38="Yes",'Job Info'!$B$37,0))</f>
        <v/>
      </c>
    </row>
    <row r="124" customFormat="false" ht="15" hidden="false" customHeight="false" outlineLevel="0" collapsed="false">
      <c r="A124" s="13" t="str">
        <f aca="false">IF(F124="","",ROW()-5)</f>
        <v/>
      </c>
      <c r="B124" s="14"/>
      <c r="C124" s="14"/>
      <c r="D124" s="14"/>
      <c r="E124" s="14"/>
      <c r="F124" s="36"/>
      <c r="G124" s="37"/>
      <c r="H124" s="14"/>
      <c r="I124" s="38"/>
      <c r="J124" s="38"/>
      <c r="K124" s="33"/>
      <c r="L124" s="33"/>
      <c r="M124" s="34" t="str">
        <f aca="false">IF(F124="","",N(I124)/(1-IF(K124="",'Job Info'!$B$39,K124))*(1+IF('Job Info'!$B$38="Yes",'Job Info'!$B$37,0)))</f>
        <v/>
      </c>
      <c r="N124" s="34" t="str">
        <f aca="false">IF(F124="","",N(J124)/(1-IF(L124="",'Job Info'!$B$40,L124)))</f>
        <v/>
      </c>
      <c r="O124" s="34" t="str">
        <f aca="false">IF(F124="","",M124+N124)</f>
        <v/>
      </c>
      <c r="P124" s="34" t="str">
        <f aca="false">IF(F124="","",N(G124)*M124)</f>
        <v/>
      </c>
      <c r="Q124" s="34" t="str">
        <f aca="false">IF(F124="","",N(G124)*N124)</f>
        <v/>
      </c>
      <c r="R124" s="35" t="str">
        <f aca="false">IF(F124="","",P124+Q124)</f>
        <v/>
      </c>
      <c r="S124" s="36"/>
      <c r="T124" s="36"/>
      <c r="U124" s="34" t="str">
        <f aca="false">IF(F124="","",N(G124)*N(I124))</f>
        <v/>
      </c>
      <c r="V124" s="34" t="str">
        <f aca="false">IF(F124="","",N(G124)*N(J124))</f>
        <v/>
      </c>
      <c r="W124" s="13" t="str">
        <f aca="false">IF(F124="","",IF(B124="Excluded","",COUNTIFS($F$6:F124,"?*",$B$6:B124,"&lt;&gt;Excluded")))</f>
        <v/>
      </c>
      <c r="X124" s="34" t="str">
        <f aca="false">IF(F124="","",N(G124)*N(I124)/(1-IF(K124="",'Job Info'!$B$39,K124))*IF('Job Info'!$B$38="Yes",'Job Info'!$B$37,0))</f>
        <v/>
      </c>
    </row>
    <row r="125" customFormat="false" ht="15" hidden="false" customHeight="false" outlineLevel="0" collapsed="false">
      <c r="A125" s="13" t="str">
        <f aca="false">IF(F125="","",ROW()-5)</f>
        <v/>
      </c>
      <c r="B125" s="14"/>
      <c r="C125" s="14"/>
      <c r="D125" s="14"/>
      <c r="E125" s="14"/>
      <c r="F125" s="36"/>
      <c r="G125" s="37"/>
      <c r="H125" s="14"/>
      <c r="I125" s="38"/>
      <c r="J125" s="38"/>
      <c r="K125" s="33"/>
      <c r="L125" s="33"/>
      <c r="M125" s="34" t="str">
        <f aca="false">IF(F125="","",N(I125)/(1-IF(K125="",'Job Info'!$B$39,K125))*(1+IF('Job Info'!$B$38="Yes",'Job Info'!$B$37,0)))</f>
        <v/>
      </c>
      <c r="N125" s="34" t="str">
        <f aca="false">IF(F125="","",N(J125)/(1-IF(L125="",'Job Info'!$B$40,L125)))</f>
        <v/>
      </c>
      <c r="O125" s="34" t="str">
        <f aca="false">IF(F125="","",M125+N125)</f>
        <v/>
      </c>
      <c r="P125" s="34" t="str">
        <f aca="false">IF(F125="","",N(G125)*M125)</f>
        <v/>
      </c>
      <c r="Q125" s="34" t="str">
        <f aca="false">IF(F125="","",N(G125)*N125)</f>
        <v/>
      </c>
      <c r="R125" s="35" t="str">
        <f aca="false">IF(F125="","",P125+Q125)</f>
        <v/>
      </c>
      <c r="S125" s="36"/>
      <c r="T125" s="36"/>
      <c r="U125" s="34" t="str">
        <f aca="false">IF(F125="","",N(G125)*N(I125))</f>
        <v/>
      </c>
      <c r="V125" s="34" t="str">
        <f aca="false">IF(F125="","",N(G125)*N(J125))</f>
        <v/>
      </c>
      <c r="W125" s="13" t="str">
        <f aca="false">IF(F125="","",IF(B125="Excluded","",COUNTIFS($F$6:F125,"?*",$B$6:B125,"&lt;&gt;Excluded")))</f>
        <v/>
      </c>
      <c r="X125" s="34" t="str">
        <f aca="false">IF(F125="","",N(G125)*N(I125)/(1-IF(K125="",'Job Info'!$B$39,K125))*IF('Job Info'!$B$38="Yes",'Job Info'!$B$37,0))</f>
        <v/>
      </c>
    </row>
    <row r="126" customFormat="false" ht="15" hidden="false" customHeight="false" outlineLevel="0" collapsed="false">
      <c r="A126" s="13" t="str">
        <f aca="false">IF(F126="","",ROW()-5)</f>
        <v/>
      </c>
      <c r="B126" s="14"/>
      <c r="C126" s="14"/>
      <c r="D126" s="14"/>
      <c r="E126" s="14"/>
      <c r="F126" s="36"/>
      <c r="G126" s="37"/>
      <c r="H126" s="14"/>
      <c r="I126" s="38"/>
      <c r="J126" s="38"/>
      <c r="K126" s="33"/>
      <c r="L126" s="33"/>
      <c r="M126" s="34" t="str">
        <f aca="false">IF(F126="","",N(I126)/(1-IF(K126="",'Job Info'!$B$39,K126))*(1+IF('Job Info'!$B$38="Yes",'Job Info'!$B$37,0)))</f>
        <v/>
      </c>
      <c r="N126" s="34" t="str">
        <f aca="false">IF(F126="","",N(J126)/(1-IF(L126="",'Job Info'!$B$40,L126)))</f>
        <v/>
      </c>
      <c r="O126" s="34" t="str">
        <f aca="false">IF(F126="","",M126+N126)</f>
        <v/>
      </c>
      <c r="P126" s="34" t="str">
        <f aca="false">IF(F126="","",N(G126)*M126)</f>
        <v/>
      </c>
      <c r="Q126" s="34" t="str">
        <f aca="false">IF(F126="","",N(G126)*N126)</f>
        <v/>
      </c>
      <c r="R126" s="35" t="str">
        <f aca="false">IF(F126="","",P126+Q126)</f>
        <v/>
      </c>
      <c r="S126" s="36"/>
      <c r="T126" s="36"/>
      <c r="U126" s="34" t="str">
        <f aca="false">IF(F126="","",N(G126)*N(I126))</f>
        <v/>
      </c>
      <c r="V126" s="34" t="str">
        <f aca="false">IF(F126="","",N(G126)*N(J126))</f>
        <v/>
      </c>
      <c r="W126" s="13" t="str">
        <f aca="false">IF(F126="","",IF(B126="Excluded","",COUNTIFS($F$6:F126,"?*",$B$6:B126,"&lt;&gt;Excluded")))</f>
        <v/>
      </c>
      <c r="X126" s="34" t="str">
        <f aca="false">IF(F126="","",N(G126)*N(I126)/(1-IF(K126="",'Job Info'!$B$39,K126))*IF('Job Info'!$B$38="Yes",'Job Info'!$B$37,0))</f>
        <v/>
      </c>
    </row>
    <row r="127" customFormat="false" ht="15" hidden="false" customHeight="false" outlineLevel="0" collapsed="false">
      <c r="A127" s="13" t="str">
        <f aca="false">IF(F127="","",ROW()-5)</f>
        <v/>
      </c>
      <c r="B127" s="14"/>
      <c r="C127" s="14"/>
      <c r="D127" s="14"/>
      <c r="E127" s="14"/>
      <c r="F127" s="36"/>
      <c r="G127" s="37"/>
      <c r="H127" s="14"/>
      <c r="I127" s="38"/>
      <c r="J127" s="38"/>
      <c r="K127" s="33"/>
      <c r="L127" s="33"/>
      <c r="M127" s="34" t="str">
        <f aca="false">IF(F127="","",N(I127)/(1-IF(K127="",'Job Info'!$B$39,K127))*(1+IF('Job Info'!$B$38="Yes",'Job Info'!$B$37,0)))</f>
        <v/>
      </c>
      <c r="N127" s="34" t="str">
        <f aca="false">IF(F127="","",N(J127)/(1-IF(L127="",'Job Info'!$B$40,L127)))</f>
        <v/>
      </c>
      <c r="O127" s="34" t="str">
        <f aca="false">IF(F127="","",M127+N127)</f>
        <v/>
      </c>
      <c r="P127" s="34" t="str">
        <f aca="false">IF(F127="","",N(G127)*M127)</f>
        <v/>
      </c>
      <c r="Q127" s="34" t="str">
        <f aca="false">IF(F127="","",N(G127)*N127)</f>
        <v/>
      </c>
      <c r="R127" s="35" t="str">
        <f aca="false">IF(F127="","",P127+Q127)</f>
        <v/>
      </c>
      <c r="S127" s="36"/>
      <c r="T127" s="36"/>
      <c r="U127" s="34" t="str">
        <f aca="false">IF(F127="","",N(G127)*N(I127))</f>
        <v/>
      </c>
      <c r="V127" s="34" t="str">
        <f aca="false">IF(F127="","",N(G127)*N(J127))</f>
        <v/>
      </c>
      <c r="W127" s="13" t="str">
        <f aca="false">IF(F127="","",IF(B127="Excluded","",COUNTIFS($F$6:F127,"?*",$B$6:B127,"&lt;&gt;Excluded")))</f>
        <v/>
      </c>
      <c r="X127" s="34" t="str">
        <f aca="false">IF(F127="","",N(G127)*N(I127)/(1-IF(K127="",'Job Info'!$B$39,K127))*IF('Job Info'!$B$38="Yes",'Job Info'!$B$37,0))</f>
        <v/>
      </c>
    </row>
    <row r="128" customFormat="false" ht="15" hidden="false" customHeight="false" outlineLevel="0" collapsed="false">
      <c r="A128" s="13" t="str">
        <f aca="false">IF(F128="","",ROW()-5)</f>
        <v/>
      </c>
      <c r="B128" s="14"/>
      <c r="C128" s="14"/>
      <c r="D128" s="14"/>
      <c r="E128" s="14"/>
      <c r="F128" s="36"/>
      <c r="G128" s="37"/>
      <c r="H128" s="14"/>
      <c r="I128" s="38"/>
      <c r="J128" s="38"/>
      <c r="K128" s="33"/>
      <c r="L128" s="33"/>
      <c r="M128" s="34" t="str">
        <f aca="false">IF(F128="","",N(I128)/(1-IF(K128="",'Job Info'!$B$39,K128))*(1+IF('Job Info'!$B$38="Yes",'Job Info'!$B$37,0)))</f>
        <v/>
      </c>
      <c r="N128" s="34" t="str">
        <f aca="false">IF(F128="","",N(J128)/(1-IF(L128="",'Job Info'!$B$40,L128)))</f>
        <v/>
      </c>
      <c r="O128" s="34" t="str">
        <f aca="false">IF(F128="","",M128+N128)</f>
        <v/>
      </c>
      <c r="P128" s="34" t="str">
        <f aca="false">IF(F128="","",N(G128)*M128)</f>
        <v/>
      </c>
      <c r="Q128" s="34" t="str">
        <f aca="false">IF(F128="","",N(G128)*N128)</f>
        <v/>
      </c>
      <c r="R128" s="35" t="str">
        <f aca="false">IF(F128="","",P128+Q128)</f>
        <v/>
      </c>
      <c r="S128" s="36"/>
      <c r="T128" s="36"/>
      <c r="U128" s="34" t="str">
        <f aca="false">IF(F128="","",N(G128)*N(I128))</f>
        <v/>
      </c>
      <c r="V128" s="34" t="str">
        <f aca="false">IF(F128="","",N(G128)*N(J128))</f>
        <v/>
      </c>
      <c r="W128" s="13" t="str">
        <f aca="false">IF(F128="","",IF(B128="Excluded","",COUNTIFS($F$6:F128,"?*",$B$6:B128,"&lt;&gt;Excluded")))</f>
        <v/>
      </c>
      <c r="X128" s="34" t="str">
        <f aca="false">IF(F128="","",N(G128)*N(I128)/(1-IF(K128="",'Job Info'!$B$39,K128))*IF('Job Info'!$B$38="Yes",'Job Info'!$B$37,0))</f>
        <v/>
      </c>
    </row>
    <row r="129" customFormat="false" ht="15" hidden="false" customHeight="false" outlineLevel="0" collapsed="false">
      <c r="A129" s="13" t="str">
        <f aca="false">IF(F129="","",ROW()-5)</f>
        <v/>
      </c>
      <c r="B129" s="14"/>
      <c r="C129" s="14"/>
      <c r="D129" s="14"/>
      <c r="E129" s="14"/>
      <c r="F129" s="36"/>
      <c r="G129" s="37"/>
      <c r="H129" s="14"/>
      <c r="I129" s="38"/>
      <c r="J129" s="38"/>
      <c r="K129" s="33"/>
      <c r="L129" s="33"/>
      <c r="M129" s="34" t="str">
        <f aca="false">IF(F129="","",N(I129)/(1-IF(K129="",'Job Info'!$B$39,K129))*(1+IF('Job Info'!$B$38="Yes",'Job Info'!$B$37,0)))</f>
        <v/>
      </c>
      <c r="N129" s="34" t="str">
        <f aca="false">IF(F129="","",N(J129)/(1-IF(L129="",'Job Info'!$B$40,L129)))</f>
        <v/>
      </c>
      <c r="O129" s="34" t="str">
        <f aca="false">IF(F129="","",M129+N129)</f>
        <v/>
      </c>
      <c r="P129" s="34" t="str">
        <f aca="false">IF(F129="","",N(G129)*M129)</f>
        <v/>
      </c>
      <c r="Q129" s="34" t="str">
        <f aca="false">IF(F129="","",N(G129)*N129)</f>
        <v/>
      </c>
      <c r="R129" s="35" t="str">
        <f aca="false">IF(F129="","",P129+Q129)</f>
        <v/>
      </c>
      <c r="S129" s="36"/>
      <c r="T129" s="36"/>
      <c r="U129" s="34" t="str">
        <f aca="false">IF(F129="","",N(G129)*N(I129))</f>
        <v/>
      </c>
      <c r="V129" s="34" t="str">
        <f aca="false">IF(F129="","",N(G129)*N(J129))</f>
        <v/>
      </c>
      <c r="W129" s="13" t="str">
        <f aca="false">IF(F129="","",IF(B129="Excluded","",COUNTIFS($F$6:F129,"?*",$B$6:B129,"&lt;&gt;Excluded")))</f>
        <v/>
      </c>
      <c r="X129" s="34" t="str">
        <f aca="false">IF(F129="","",N(G129)*N(I129)/(1-IF(K129="",'Job Info'!$B$39,K129))*IF('Job Info'!$B$38="Yes",'Job Info'!$B$37,0))</f>
        <v/>
      </c>
    </row>
    <row r="130" customFormat="false" ht="15" hidden="false" customHeight="false" outlineLevel="0" collapsed="false">
      <c r="A130" s="13" t="str">
        <f aca="false">IF(F130="","",ROW()-5)</f>
        <v/>
      </c>
      <c r="B130" s="14"/>
      <c r="C130" s="14"/>
      <c r="D130" s="14"/>
      <c r="E130" s="14"/>
      <c r="F130" s="36"/>
      <c r="G130" s="37"/>
      <c r="H130" s="14"/>
      <c r="I130" s="38"/>
      <c r="J130" s="38"/>
      <c r="K130" s="33"/>
      <c r="L130" s="33"/>
      <c r="M130" s="34" t="str">
        <f aca="false">IF(F130="","",N(I130)/(1-IF(K130="",'Job Info'!$B$39,K130))*(1+IF('Job Info'!$B$38="Yes",'Job Info'!$B$37,0)))</f>
        <v/>
      </c>
      <c r="N130" s="34" t="str">
        <f aca="false">IF(F130="","",N(J130)/(1-IF(L130="",'Job Info'!$B$40,L130)))</f>
        <v/>
      </c>
      <c r="O130" s="34" t="str">
        <f aca="false">IF(F130="","",M130+N130)</f>
        <v/>
      </c>
      <c r="P130" s="34" t="str">
        <f aca="false">IF(F130="","",N(G130)*M130)</f>
        <v/>
      </c>
      <c r="Q130" s="34" t="str">
        <f aca="false">IF(F130="","",N(G130)*N130)</f>
        <v/>
      </c>
      <c r="R130" s="35" t="str">
        <f aca="false">IF(F130="","",P130+Q130)</f>
        <v/>
      </c>
      <c r="S130" s="36"/>
      <c r="T130" s="36"/>
      <c r="U130" s="34" t="str">
        <f aca="false">IF(F130="","",N(G130)*N(I130))</f>
        <v/>
      </c>
      <c r="V130" s="34" t="str">
        <f aca="false">IF(F130="","",N(G130)*N(J130))</f>
        <v/>
      </c>
      <c r="W130" s="13" t="str">
        <f aca="false">IF(F130="","",IF(B130="Excluded","",COUNTIFS($F$6:F130,"?*",$B$6:B130,"&lt;&gt;Excluded")))</f>
        <v/>
      </c>
      <c r="X130" s="34" t="str">
        <f aca="false">IF(F130="","",N(G130)*N(I130)/(1-IF(K130="",'Job Info'!$B$39,K130))*IF('Job Info'!$B$38="Yes",'Job Info'!$B$37,0))</f>
        <v/>
      </c>
    </row>
    <row r="131" customFormat="false" ht="15" hidden="false" customHeight="false" outlineLevel="0" collapsed="false">
      <c r="A131" s="13" t="str">
        <f aca="false">IF(F131="","",ROW()-5)</f>
        <v/>
      </c>
      <c r="B131" s="14"/>
      <c r="C131" s="14"/>
      <c r="D131" s="14"/>
      <c r="E131" s="14"/>
      <c r="F131" s="36"/>
      <c r="G131" s="37"/>
      <c r="H131" s="14"/>
      <c r="I131" s="38"/>
      <c r="J131" s="38"/>
      <c r="K131" s="33"/>
      <c r="L131" s="33"/>
      <c r="M131" s="34" t="str">
        <f aca="false">IF(F131="","",N(I131)/(1-IF(K131="",'Job Info'!$B$39,K131))*(1+IF('Job Info'!$B$38="Yes",'Job Info'!$B$37,0)))</f>
        <v/>
      </c>
      <c r="N131" s="34" t="str">
        <f aca="false">IF(F131="","",N(J131)/(1-IF(L131="",'Job Info'!$B$40,L131)))</f>
        <v/>
      </c>
      <c r="O131" s="34" t="str">
        <f aca="false">IF(F131="","",M131+N131)</f>
        <v/>
      </c>
      <c r="P131" s="34" t="str">
        <f aca="false">IF(F131="","",N(G131)*M131)</f>
        <v/>
      </c>
      <c r="Q131" s="34" t="str">
        <f aca="false">IF(F131="","",N(G131)*N131)</f>
        <v/>
      </c>
      <c r="R131" s="35" t="str">
        <f aca="false">IF(F131="","",P131+Q131)</f>
        <v/>
      </c>
      <c r="S131" s="36"/>
      <c r="T131" s="36"/>
      <c r="U131" s="34" t="str">
        <f aca="false">IF(F131="","",N(G131)*N(I131))</f>
        <v/>
      </c>
      <c r="V131" s="34" t="str">
        <f aca="false">IF(F131="","",N(G131)*N(J131))</f>
        <v/>
      </c>
      <c r="W131" s="13" t="str">
        <f aca="false">IF(F131="","",IF(B131="Excluded","",COUNTIFS($F$6:F131,"?*",$B$6:B131,"&lt;&gt;Excluded")))</f>
        <v/>
      </c>
      <c r="X131" s="34" t="str">
        <f aca="false">IF(F131="","",N(G131)*N(I131)/(1-IF(K131="",'Job Info'!$B$39,K131))*IF('Job Info'!$B$38="Yes",'Job Info'!$B$37,0))</f>
        <v/>
      </c>
    </row>
    <row r="132" customFormat="false" ht="15" hidden="false" customHeight="false" outlineLevel="0" collapsed="false">
      <c r="A132" s="13" t="str">
        <f aca="false">IF(F132="","",ROW()-5)</f>
        <v/>
      </c>
      <c r="B132" s="14"/>
      <c r="C132" s="14"/>
      <c r="D132" s="14"/>
      <c r="E132" s="14"/>
      <c r="F132" s="36"/>
      <c r="G132" s="37"/>
      <c r="H132" s="14"/>
      <c r="I132" s="38"/>
      <c r="J132" s="38"/>
      <c r="K132" s="33"/>
      <c r="L132" s="33"/>
      <c r="M132" s="34" t="str">
        <f aca="false">IF(F132="","",N(I132)/(1-IF(K132="",'Job Info'!$B$39,K132))*(1+IF('Job Info'!$B$38="Yes",'Job Info'!$B$37,0)))</f>
        <v/>
      </c>
      <c r="N132" s="34" t="str">
        <f aca="false">IF(F132="","",N(J132)/(1-IF(L132="",'Job Info'!$B$40,L132)))</f>
        <v/>
      </c>
      <c r="O132" s="34" t="str">
        <f aca="false">IF(F132="","",M132+N132)</f>
        <v/>
      </c>
      <c r="P132" s="34" t="str">
        <f aca="false">IF(F132="","",N(G132)*M132)</f>
        <v/>
      </c>
      <c r="Q132" s="34" t="str">
        <f aca="false">IF(F132="","",N(G132)*N132)</f>
        <v/>
      </c>
      <c r="R132" s="35" t="str">
        <f aca="false">IF(F132="","",P132+Q132)</f>
        <v/>
      </c>
      <c r="S132" s="36"/>
      <c r="T132" s="36"/>
      <c r="U132" s="34" t="str">
        <f aca="false">IF(F132="","",N(G132)*N(I132))</f>
        <v/>
      </c>
      <c r="V132" s="34" t="str">
        <f aca="false">IF(F132="","",N(G132)*N(J132))</f>
        <v/>
      </c>
      <c r="W132" s="13" t="str">
        <f aca="false">IF(F132="","",IF(B132="Excluded","",COUNTIFS($F$6:F132,"?*",$B$6:B132,"&lt;&gt;Excluded")))</f>
        <v/>
      </c>
      <c r="X132" s="34" t="str">
        <f aca="false">IF(F132="","",N(G132)*N(I132)/(1-IF(K132="",'Job Info'!$B$39,K132))*IF('Job Info'!$B$38="Yes",'Job Info'!$B$37,0))</f>
        <v/>
      </c>
    </row>
    <row r="133" customFormat="false" ht="15" hidden="false" customHeight="false" outlineLevel="0" collapsed="false">
      <c r="A133" s="13" t="str">
        <f aca="false">IF(F133="","",ROW()-5)</f>
        <v/>
      </c>
      <c r="B133" s="14"/>
      <c r="C133" s="14"/>
      <c r="D133" s="14"/>
      <c r="E133" s="14"/>
      <c r="F133" s="36"/>
      <c r="G133" s="37"/>
      <c r="H133" s="14"/>
      <c r="I133" s="38"/>
      <c r="J133" s="38"/>
      <c r="K133" s="33"/>
      <c r="L133" s="33"/>
      <c r="M133" s="34" t="str">
        <f aca="false">IF(F133="","",N(I133)/(1-IF(K133="",'Job Info'!$B$39,K133))*(1+IF('Job Info'!$B$38="Yes",'Job Info'!$B$37,0)))</f>
        <v/>
      </c>
      <c r="N133" s="34" t="str">
        <f aca="false">IF(F133="","",N(J133)/(1-IF(L133="",'Job Info'!$B$40,L133)))</f>
        <v/>
      </c>
      <c r="O133" s="34" t="str">
        <f aca="false">IF(F133="","",M133+N133)</f>
        <v/>
      </c>
      <c r="P133" s="34" t="str">
        <f aca="false">IF(F133="","",N(G133)*M133)</f>
        <v/>
      </c>
      <c r="Q133" s="34" t="str">
        <f aca="false">IF(F133="","",N(G133)*N133)</f>
        <v/>
      </c>
      <c r="R133" s="35" t="str">
        <f aca="false">IF(F133="","",P133+Q133)</f>
        <v/>
      </c>
      <c r="S133" s="36"/>
      <c r="T133" s="36"/>
      <c r="U133" s="34" t="str">
        <f aca="false">IF(F133="","",N(G133)*N(I133))</f>
        <v/>
      </c>
      <c r="V133" s="34" t="str">
        <f aca="false">IF(F133="","",N(G133)*N(J133))</f>
        <v/>
      </c>
      <c r="W133" s="13" t="str">
        <f aca="false">IF(F133="","",IF(B133="Excluded","",COUNTIFS($F$6:F133,"?*",$B$6:B133,"&lt;&gt;Excluded")))</f>
        <v/>
      </c>
      <c r="X133" s="34" t="str">
        <f aca="false">IF(F133="","",N(G133)*N(I133)/(1-IF(K133="",'Job Info'!$B$39,K133))*IF('Job Info'!$B$38="Yes",'Job Info'!$B$37,0))</f>
        <v/>
      </c>
    </row>
    <row r="134" customFormat="false" ht="15" hidden="false" customHeight="false" outlineLevel="0" collapsed="false">
      <c r="A134" s="13" t="str">
        <f aca="false">IF(F134="","",ROW()-5)</f>
        <v/>
      </c>
      <c r="B134" s="14"/>
      <c r="C134" s="14"/>
      <c r="D134" s="14"/>
      <c r="E134" s="14"/>
      <c r="F134" s="36"/>
      <c r="G134" s="37"/>
      <c r="H134" s="14"/>
      <c r="I134" s="38"/>
      <c r="J134" s="38"/>
      <c r="K134" s="33"/>
      <c r="L134" s="33"/>
      <c r="M134" s="34" t="str">
        <f aca="false">IF(F134="","",N(I134)/(1-IF(K134="",'Job Info'!$B$39,K134))*(1+IF('Job Info'!$B$38="Yes",'Job Info'!$B$37,0)))</f>
        <v/>
      </c>
      <c r="N134" s="34" t="str">
        <f aca="false">IF(F134="","",N(J134)/(1-IF(L134="",'Job Info'!$B$40,L134)))</f>
        <v/>
      </c>
      <c r="O134" s="34" t="str">
        <f aca="false">IF(F134="","",M134+N134)</f>
        <v/>
      </c>
      <c r="P134" s="34" t="str">
        <f aca="false">IF(F134="","",N(G134)*M134)</f>
        <v/>
      </c>
      <c r="Q134" s="34" t="str">
        <f aca="false">IF(F134="","",N(G134)*N134)</f>
        <v/>
      </c>
      <c r="R134" s="35" t="str">
        <f aca="false">IF(F134="","",P134+Q134)</f>
        <v/>
      </c>
      <c r="S134" s="36"/>
      <c r="T134" s="36"/>
      <c r="U134" s="34" t="str">
        <f aca="false">IF(F134="","",N(G134)*N(I134))</f>
        <v/>
      </c>
      <c r="V134" s="34" t="str">
        <f aca="false">IF(F134="","",N(G134)*N(J134))</f>
        <v/>
      </c>
      <c r="W134" s="13" t="str">
        <f aca="false">IF(F134="","",IF(B134="Excluded","",COUNTIFS($F$6:F134,"?*",$B$6:B134,"&lt;&gt;Excluded")))</f>
        <v/>
      </c>
      <c r="X134" s="34" t="str">
        <f aca="false">IF(F134="","",N(G134)*N(I134)/(1-IF(K134="",'Job Info'!$B$39,K134))*IF('Job Info'!$B$38="Yes",'Job Info'!$B$37,0))</f>
        <v/>
      </c>
    </row>
    <row r="135" customFormat="false" ht="15" hidden="false" customHeight="false" outlineLevel="0" collapsed="false">
      <c r="A135" s="13" t="str">
        <f aca="false">IF(F135="","",ROW()-5)</f>
        <v/>
      </c>
      <c r="B135" s="14"/>
      <c r="C135" s="14"/>
      <c r="D135" s="14"/>
      <c r="E135" s="14"/>
      <c r="F135" s="36"/>
      <c r="G135" s="37"/>
      <c r="H135" s="14"/>
      <c r="I135" s="38"/>
      <c r="J135" s="38"/>
      <c r="K135" s="33"/>
      <c r="L135" s="33"/>
      <c r="M135" s="34" t="str">
        <f aca="false">IF(F135="","",N(I135)/(1-IF(K135="",'Job Info'!$B$39,K135))*(1+IF('Job Info'!$B$38="Yes",'Job Info'!$B$37,0)))</f>
        <v/>
      </c>
      <c r="N135" s="34" t="str">
        <f aca="false">IF(F135="","",N(J135)/(1-IF(L135="",'Job Info'!$B$40,L135)))</f>
        <v/>
      </c>
      <c r="O135" s="34" t="str">
        <f aca="false">IF(F135="","",M135+N135)</f>
        <v/>
      </c>
      <c r="P135" s="34" t="str">
        <f aca="false">IF(F135="","",N(G135)*M135)</f>
        <v/>
      </c>
      <c r="Q135" s="34" t="str">
        <f aca="false">IF(F135="","",N(G135)*N135)</f>
        <v/>
      </c>
      <c r="R135" s="35" t="str">
        <f aca="false">IF(F135="","",P135+Q135)</f>
        <v/>
      </c>
      <c r="S135" s="36"/>
      <c r="T135" s="36"/>
      <c r="U135" s="34" t="str">
        <f aca="false">IF(F135="","",N(G135)*N(I135))</f>
        <v/>
      </c>
      <c r="V135" s="34" t="str">
        <f aca="false">IF(F135="","",N(G135)*N(J135))</f>
        <v/>
      </c>
      <c r="W135" s="13" t="str">
        <f aca="false">IF(F135="","",IF(B135="Excluded","",COUNTIFS($F$6:F135,"?*",$B$6:B135,"&lt;&gt;Excluded")))</f>
        <v/>
      </c>
      <c r="X135" s="34" t="str">
        <f aca="false">IF(F135="","",N(G135)*N(I135)/(1-IF(K135="",'Job Info'!$B$39,K135))*IF('Job Info'!$B$38="Yes",'Job Info'!$B$37,0))</f>
        <v/>
      </c>
    </row>
    <row r="136" customFormat="false" ht="15" hidden="false" customHeight="false" outlineLevel="0" collapsed="false">
      <c r="A136" s="13" t="str">
        <f aca="false">IF(F136="","",ROW()-5)</f>
        <v/>
      </c>
      <c r="B136" s="14"/>
      <c r="C136" s="14"/>
      <c r="D136" s="14"/>
      <c r="E136" s="14"/>
      <c r="F136" s="36"/>
      <c r="G136" s="37"/>
      <c r="H136" s="14"/>
      <c r="I136" s="38"/>
      <c r="J136" s="38"/>
      <c r="K136" s="33"/>
      <c r="L136" s="33"/>
      <c r="M136" s="34" t="str">
        <f aca="false">IF(F136="","",N(I136)/(1-IF(K136="",'Job Info'!$B$39,K136))*(1+IF('Job Info'!$B$38="Yes",'Job Info'!$B$37,0)))</f>
        <v/>
      </c>
      <c r="N136" s="34" t="str">
        <f aca="false">IF(F136="","",N(J136)/(1-IF(L136="",'Job Info'!$B$40,L136)))</f>
        <v/>
      </c>
      <c r="O136" s="34" t="str">
        <f aca="false">IF(F136="","",M136+N136)</f>
        <v/>
      </c>
      <c r="P136" s="34" t="str">
        <f aca="false">IF(F136="","",N(G136)*M136)</f>
        <v/>
      </c>
      <c r="Q136" s="34" t="str">
        <f aca="false">IF(F136="","",N(G136)*N136)</f>
        <v/>
      </c>
      <c r="R136" s="35" t="str">
        <f aca="false">IF(F136="","",P136+Q136)</f>
        <v/>
      </c>
      <c r="S136" s="36"/>
      <c r="T136" s="36"/>
      <c r="U136" s="34" t="str">
        <f aca="false">IF(F136="","",N(G136)*N(I136))</f>
        <v/>
      </c>
      <c r="V136" s="34" t="str">
        <f aca="false">IF(F136="","",N(G136)*N(J136))</f>
        <v/>
      </c>
      <c r="W136" s="13" t="str">
        <f aca="false">IF(F136="","",IF(B136="Excluded","",COUNTIFS($F$6:F136,"?*",$B$6:B136,"&lt;&gt;Excluded")))</f>
        <v/>
      </c>
      <c r="X136" s="34" t="str">
        <f aca="false">IF(F136="","",N(G136)*N(I136)/(1-IF(K136="",'Job Info'!$B$39,K136))*IF('Job Info'!$B$38="Yes",'Job Info'!$B$37,0))</f>
        <v/>
      </c>
    </row>
    <row r="137" customFormat="false" ht="15" hidden="false" customHeight="false" outlineLevel="0" collapsed="false">
      <c r="A137" s="13" t="str">
        <f aca="false">IF(F137="","",ROW()-5)</f>
        <v/>
      </c>
      <c r="B137" s="14"/>
      <c r="C137" s="14"/>
      <c r="D137" s="14"/>
      <c r="E137" s="14"/>
      <c r="F137" s="36"/>
      <c r="G137" s="37"/>
      <c r="H137" s="14"/>
      <c r="I137" s="38"/>
      <c r="J137" s="38"/>
      <c r="K137" s="33"/>
      <c r="L137" s="33"/>
      <c r="M137" s="34" t="str">
        <f aca="false">IF(F137="","",N(I137)/(1-IF(K137="",'Job Info'!$B$39,K137))*(1+IF('Job Info'!$B$38="Yes",'Job Info'!$B$37,0)))</f>
        <v/>
      </c>
      <c r="N137" s="34" t="str">
        <f aca="false">IF(F137="","",N(J137)/(1-IF(L137="",'Job Info'!$B$40,L137)))</f>
        <v/>
      </c>
      <c r="O137" s="34" t="str">
        <f aca="false">IF(F137="","",M137+N137)</f>
        <v/>
      </c>
      <c r="P137" s="34" t="str">
        <f aca="false">IF(F137="","",N(G137)*M137)</f>
        <v/>
      </c>
      <c r="Q137" s="34" t="str">
        <f aca="false">IF(F137="","",N(G137)*N137)</f>
        <v/>
      </c>
      <c r="R137" s="35" t="str">
        <f aca="false">IF(F137="","",P137+Q137)</f>
        <v/>
      </c>
      <c r="S137" s="36"/>
      <c r="T137" s="36"/>
      <c r="U137" s="34" t="str">
        <f aca="false">IF(F137="","",N(G137)*N(I137))</f>
        <v/>
      </c>
      <c r="V137" s="34" t="str">
        <f aca="false">IF(F137="","",N(G137)*N(J137))</f>
        <v/>
      </c>
      <c r="W137" s="13" t="str">
        <f aca="false">IF(F137="","",IF(B137="Excluded","",COUNTIFS($F$6:F137,"?*",$B$6:B137,"&lt;&gt;Excluded")))</f>
        <v/>
      </c>
      <c r="X137" s="34" t="str">
        <f aca="false">IF(F137="","",N(G137)*N(I137)/(1-IF(K137="",'Job Info'!$B$39,K137))*IF('Job Info'!$B$38="Yes",'Job Info'!$B$37,0))</f>
        <v/>
      </c>
    </row>
    <row r="138" customFormat="false" ht="15" hidden="false" customHeight="false" outlineLevel="0" collapsed="false">
      <c r="A138" s="13" t="str">
        <f aca="false">IF(F138="","",ROW()-5)</f>
        <v/>
      </c>
      <c r="B138" s="14"/>
      <c r="C138" s="14"/>
      <c r="D138" s="14"/>
      <c r="E138" s="14"/>
      <c r="F138" s="36"/>
      <c r="G138" s="37"/>
      <c r="H138" s="14"/>
      <c r="I138" s="38"/>
      <c r="J138" s="38"/>
      <c r="K138" s="33"/>
      <c r="L138" s="33"/>
      <c r="M138" s="34" t="str">
        <f aca="false">IF(F138="","",N(I138)/(1-IF(K138="",'Job Info'!$B$39,K138))*(1+IF('Job Info'!$B$38="Yes",'Job Info'!$B$37,0)))</f>
        <v/>
      </c>
      <c r="N138" s="34" t="str">
        <f aca="false">IF(F138="","",N(J138)/(1-IF(L138="",'Job Info'!$B$40,L138)))</f>
        <v/>
      </c>
      <c r="O138" s="34" t="str">
        <f aca="false">IF(F138="","",M138+N138)</f>
        <v/>
      </c>
      <c r="P138" s="34" t="str">
        <f aca="false">IF(F138="","",N(G138)*M138)</f>
        <v/>
      </c>
      <c r="Q138" s="34" t="str">
        <f aca="false">IF(F138="","",N(G138)*N138)</f>
        <v/>
      </c>
      <c r="R138" s="35" t="str">
        <f aca="false">IF(F138="","",P138+Q138)</f>
        <v/>
      </c>
      <c r="S138" s="36"/>
      <c r="T138" s="36"/>
      <c r="U138" s="34" t="str">
        <f aca="false">IF(F138="","",N(G138)*N(I138))</f>
        <v/>
      </c>
      <c r="V138" s="34" t="str">
        <f aca="false">IF(F138="","",N(G138)*N(J138))</f>
        <v/>
      </c>
      <c r="W138" s="13" t="str">
        <f aca="false">IF(F138="","",IF(B138="Excluded","",COUNTIFS($F$6:F138,"?*",$B$6:B138,"&lt;&gt;Excluded")))</f>
        <v/>
      </c>
      <c r="X138" s="34" t="str">
        <f aca="false">IF(F138="","",N(G138)*N(I138)/(1-IF(K138="",'Job Info'!$B$39,K138))*IF('Job Info'!$B$38="Yes",'Job Info'!$B$37,0))</f>
        <v/>
      </c>
    </row>
    <row r="139" customFormat="false" ht="15" hidden="false" customHeight="false" outlineLevel="0" collapsed="false">
      <c r="A139" s="13" t="str">
        <f aca="false">IF(F139="","",ROW()-5)</f>
        <v/>
      </c>
      <c r="B139" s="14"/>
      <c r="C139" s="14"/>
      <c r="D139" s="14"/>
      <c r="E139" s="14"/>
      <c r="F139" s="36"/>
      <c r="G139" s="37"/>
      <c r="H139" s="14"/>
      <c r="I139" s="38"/>
      <c r="J139" s="38"/>
      <c r="K139" s="33"/>
      <c r="L139" s="33"/>
      <c r="M139" s="34" t="str">
        <f aca="false">IF(F139="","",N(I139)/(1-IF(K139="",'Job Info'!$B$39,K139))*(1+IF('Job Info'!$B$38="Yes",'Job Info'!$B$37,0)))</f>
        <v/>
      </c>
      <c r="N139" s="34" t="str">
        <f aca="false">IF(F139="","",N(J139)/(1-IF(L139="",'Job Info'!$B$40,L139)))</f>
        <v/>
      </c>
      <c r="O139" s="34" t="str">
        <f aca="false">IF(F139="","",M139+N139)</f>
        <v/>
      </c>
      <c r="P139" s="34" t="str">
        <f aca="false">IF(F139="","",N(G139)*M139)</f>
        <v/>
      </c>
      <c r="Q139" s="34" t="str">
        <f aca="false">IF(F139="","",N(G139)*N139)</f>
        <v/>
      </c>
      <c r="R139" s="35" t="str">
        <f aca="false">IF(F139="","",P139+Q139)</f>
        <v/>
      </c>
      <c r="S139" s="36"/>
      <c r="T139" s="36"/>
      <c r="U139" s="34" t="str">
        <f aca="false">IF(F139="","",N(G139)*N(I139))</f>
        <v/>
      </c>
      <c r="V139" s="34" t="str">
        <f aca="false">IF(F139="","",N(G139)*N(J139))</f>
        <v/>
      </c>
      <c r="W139" s="13" t="str">
        <f aca="false">IF(F139="","",IF(B139="Excluded","",COUNTIFS($F$6:F139,"?*",$B$6:B139,"&lt;&gt;Excluded")))</f>
        <v/>
      </c>
      <c r="X139" s="34" t="str">
        <f aca="false">IF(F139="","",N(G139)*N(I139)/(1-IF(K139="",'Job Info'!$B$39,K139))*IF('Job Info'!$B$38="Yes",'Job Info'!$B$37,0))</f>
        <v/>
      </c>
    </row>
    <row r="140" customFormat="false" ht="15" hidden="false" customHeight="false" outlineLevel="0" collapsed="false">
      <c r="A140" s="13" t="str">
        <f aca="false">IF(F140="","",ROW()-5)</f>
        <v/>
      </c>
      <c r="B140" s="14"/>
      <c r="C140" s="14"/>
      <c r="D140" s="14"/>
      <c r="E140" s="14"/>
      <c r="F140" s="36"/>
      <c r="G140" s="37"/>
      <c r="H140" s="14"/>
      <c r="I140" s="38"/>
      <c r="J140" s="38"/>
      <c r="K140" s="33"/>
      <c r="L140" s="33"/>
      <c r="M140" s="34" t="str">
        <f aca="false">IF(F140="","",N(I140)/(1-IF(K140="",'Job Info'!$B$39,K140))*(1+IF('Job Info'!$B$38="Yes",'Job Info'!$B$37,0)))</f>
        <v/>
      </c>
      <c r="N140" s="34" t="str">
        <f aca="false">IF(F140="","",N(J140)/(1-IF(L140="",'Job Info'!$B$40,L140)))</f>
        <v/>
      </c>
      <c r="O140" s="34" t="str">
        <f aca="false">IF(F140="","",M140+N140)</f>
        <v/>
      </c>
      <c r="P140" s="34" t="str">
        <f aca="false">IF(F140="","",N(G140)*M140)</f>
        <v/>
      </c>
      <c r="Q140" s="34" t="str">
        <f aca="false">IF(F140="","",N(G140)*N140)</f>
        <v/>
      </c>
      <c r="R140" s="35" t="str">
        <f aca="false">IF(F140="","",P140+Q140)</f>
        <v/>
      </c>
      <c r="S140" s="36"/>
      <c r="T140" s="36"/>
      <c r="U140" s="34" t="str">
        <f aca="false">IF(F140="","",N(G140)*N(I140))</f>
        <v/>
      </c>
      <c r="V140" s="34" t="str">
        <f aca="false">IF(F140="","",N(G140)*N(J140))</f>
        <v/>
      </c>
      <c r="W140" s="13" t="str">
        <f aca="false">IF(F140="","",IF(B140="Excluded","",COUNTIFS($F$6:F140,"?*",$B$6:B140,"&lt;&gt;Excluded")))</f>
        <v/>
      </c>
      <c r="X140" s="34" t="str">
        <f aca="false">IF(F140="","",N(G140)*N(I140)/(1-IF(K140="",'Job Info'!$B$39,K140))*IF('Job Info'!$B$38="Yes",'Job Info'!$B$37,0))</f>
        <v/>
      </c>
    </row>
    <row r="141" customFormat="false" ht="15" hidden="false" customHeight="false" outlineLevel="0" collapsed="false">
      <c r="A141" s="13" t="str">
        <f aca="false">IF(F141="","",ROW()-5)</f>
        <v/>
      </c>
      <c r="B141" s="14"/>
      <c r="C141" s="14"/>
      <c r="D141" s="14"/>
      <c r="E141" s="14"/>
      <c r="F141" s="36"/>
      <c r="G141" s="37"/>
      <c r="H141" s="14"/>
      <c r="I141" s="38"/>
      <c r="J141" s="38"/>
      <c r="K141" s="33"/>
      <c r="L141" s="33"/>
      <c r="M141" s="34" t="str">
        <f aca="false">IF(F141="","",N(I141)/(1-IF(K141="",'Job Info'!$B$39,K141))*(1+IF('Job Info'!$B$38="Yes",'Job Info'!$B$37,0)))</f>
        <v/>
      </c>
      <c r="N141" s="34" t="str">
        <f aca="false">IF(F141="","",N(J141)/(1-IF(L141="",'Job Info'!$B$40,L141)))</f>
        <v/>
      </c>
      <c r="O141" s="34" t="str">
        <f aca="false">IF(F141="","",M141+N141)</f>
        <v/>
      </c>
      <c r="P141" s="34" t="str">
        <f aca="false">IF(F141="","",N(G141)*M141)</f>
        <v/>
      </c>
      <c r="Q141" s="34" t="str">
        <f aca="false">IF(F141="","",N(G141)*N141)</f>
        <v/>
      </c>
      <c r="R141" s="35" t="str">
        <f aca="false">IF(F141="","",P141+Q141)</f>
        <v/>
      </c>
      <c r="S141" s="36"/>
      <c r="T141" s="36"/>
      <c r="U141" s="34" t="str">
        <f aca="false">IF(F141="","",N(G141)*N(I141))</f>
        <v/>
      </c>
      <c r="V141" s="34" t="str">
        <f aca="false">IF(F141="","",N(G141)*N(J141))</f>
        <v/>
      </c>
      <c r="W141" s="13" t="str">
        <f aca="false">IF(F141="","",IF(B141="Excluded","",COUNTIFS($F$6:F141,"?*",$B$6:B141,"&lt;&gt;Excluded")))</f>
        <v/>
      </c>
      <c r="X141" s="34" t="str">
        <f aca="false">IF(F141="","",N(G141)*N(I141)/(1-IF(K141="",'Job Info'!$B$39,K141))*IF('Job Info'!$B$38="Yes",'Job Info'!$B$37,0))</f>
        <v/>
      </c>
    </row>
    <row r="142" customFormat="false" ht="15" hidden="false" customHeight="false" outlineLevel="0" collapsed="false">
      <c r="A142" s="13" t="str">
        <f aca="false">IF(F142="","",ROW()-5)</f>
        <v/>
      </c>
      <c r="B142" s="14"/>
      <c r="C142" s="14"/>
      <c r="D142" s="14"/>
      <c r="E142" s="14"/>
      <c r="F142" s="36"/>
      <c r="G142" s="37"/>
      <c r="H142" s="14"/>
      <c r="I142" s="38"/>
      <c r="J142" s="38"/>
      <c r="K142" s="33"/>
      <c r="L142" s="33"/>
      <c r="M142" s="34" t="str">
        <f aca="false">IF(F142="","",N(I142)/(1-IF(K142="",'Job Info'!$B$39,K142))*(1+IF('Job Info'!$B$38="Yes",'Job Info'!$B$37,0)))</f>
        <v/>
      </c>
      <c r="N142" s="34" t="str">
        <f aca="false">IF(F142="","",N(J142)/(1-IF(L142="",'Job Info'!$B$40,L142)))</f>
        <v/>
      </c>
      <c r="O142" s="34" t="str">
        <f aca="false">IF(F142="","",M142+N142)</f>
        <v/>
      </c>
      <c r="P142" s="34" t="str">
        <f aca="false">IF(F142="","",N(G142)*M142)</f>
        <v/>
      </c>
      <c r="Q142" s="34" t="str">
        <f aca="false">IF(F142="","",N(G142)*N142)</f>
        <v/>
      </c>
      <c r="R142" s="35" t="str">
        <f aca="false">IF(F142="","",P142+Q142)</f>
        <v/>
      </c>
      <c r="S142" s="36"/>
      <c r="T142" s="36"/>
      <c r="U142" s="34" t="str">
        <f aca="false">IF(F142="","",N(G142)*N(I142))</f>
        <v/>
      </c>
      <c r="V142" s="34" t="str">
        <f aca="false">IF(F142="","",N(G142)*N(J142))</f>
        <v/>
      </c>
      <c r="W142" s="13" t="str">
        <f aca="false">IF(F142="","",IF(B142="Excluded","",COUNTIFS($F$6:F142,"?*",$B$6:B142,"&lt;&gt;Excluded")))</f>
        <v/>
      </c>
      <c r="X142" s="34" t="str">
        <f aca="false">IF(F142="","",N(G142)*N(I142)/(1-IF(K142="",'Job Info'!$B$39,K142))*IF('Job Info'!$B$38="Yes",'Job Info'!$B$37,0))</f>
        <v/>
      </c>
    </row>
    <row r="143" customFormat="false" ht="15" hidden="false" customHeight="false" outlineLevel="0" collapsed="false">
      <c r="A143" s="13" t="str">
        <f aca="false">IF(F143="","",ROW()-5)</f>
        <v/>
      </c>
      <c r="B143" s="14"/>
      <c r="C143" s="14"/>
      <c r="D143" s="14"/>
      <c r="E143" s="14"/>
      <c r="F143" s="36"/>
      <c r="G143" s="37"/>
      <c r="H143" s="14"/>
      <c r="I143" s="38"/>
      <c r="J143" s="38"/>
      <c r="K143" s="33"/>
      <c r="L143" s="33"/>
      <c r="M143" s="34" t="str">
        <f aca="false">IF(F143="","",N(I143)/(1-IF(K143="",'Job Info'!$B$39,K143))*(1+IF('Job Info'!$B$38="Yes",'Job Info'!$B$37,0)))</f>
        <v/>
      </c>
      <c r="N143" s="34" t="str">
        <f aca="false">IF(F143="","",N(J143)/(1-IF(L143="",'Job Info'!$B$40,L143)))</f>
        <v/>
      </c>
      <c r="O143" s="34" t="str">
        <f aca="false">IF(F143="","",M143+N143)</f>
        <v/>
      </c>
      <c r="P143" s="34" t="str">
        <f aca="false">IF(F143="","",N(G143)*M143)</f>
        <v/>
      </c>
      <c r="Q143" s="34" t="str">
        <f aca="false">IF(F143="","",N(G143)*N143)</f>
        <v/>
      </c>
      <c r="R143" s="35" t="str">
        <f aca="false">IF(F143="","",P143+Q143)</f>
        <v/>
      </c>
      <c r="S143" s="36"/>
      <c r="T143" s="36"/>
      <c r="U143" s="34" t="str">
        <f aca="false">IF(F143="","",N(G143)*N(I143))</f>
        <v/>
      </c>
      <c r="V143" s="34" t="str">
        <f aca="false">IF(F143="","",N(G143)*N(J143))</f>
        <v/>
      </c>
      <c r="W143" s="13" t="str">
        <f aca="false">IF(F143="","",IF(B143="Excluded","",COUNTIFS($F$6:F143,"?*",$B$6:B143,"&lt;&gt;Excluded")))</f>
        <v/>
      </c>
      <c r="X143" s="34" t="str">
        <f aca="false">IF(F143="","",N(G143)*N(I143)/(1-IF(K143="",'Job Info'!$B$39,K143))*IF('Job Info'!$B$38="Yes",'Job Info'!$B$37,0))</f>
        <v/>
      </c>
    </row>
    <row r="144" customFormat="false" ht="15" hidden="false" customHeight="false" outlineLevel="0" collapsed="false">
      <c r="A144" s="13" t="str">
        <f aca="false">IF(F144="","",ROW()-5)</f>
        <v/>
      </c>
      <c r="B144" s="14"/>
      <c r="C144" s="14"/>
      <c r="D144" s="14"/>
      <c r="E144" s="14"/>
      <c r="F144" s="36"/>
      <c r="G144" s="37"/>
      <c r="H144" s="14"/>
      <c r="I144" s="38"/>
      <c r="J144" s="38"/>
      <c r="K144" s="33"/>
      <c r="L144" s="33"/>
      <c r="M144" s="34" t="str">
        <f aca="false">IF(F144="","",N(I144)/(1-IF(K144="",'Job Info'!$B$39,K144))*(1+IF('Job Info'!$B$38="Yes",'Job Info'!$B$37,0)))</f>
        <v/>
      </c>
      <c r="N144" s="34" t="str">
        <f aca="false">IF(F144="","",N(J144)/(1-IF(L144="",'Job Info'!$B$40,L144)))</f>
        <v/>
      </c>
      <c r="O144" s="34" t="str">
        <f aca="false">IF(F144="","",M144+N144)</f>
        <v/>
      </c>
      <c r="P144" s="34" t="str">
        <f aca="false">IF(F144="","",N(G144)*M144)</f>
        <v/>
      </c>
      <c r="Q144" s="34" t="str">
        <f aca="false">IF(F144="","",N(G144)*N144)</f>
        <v/>
      </c>
      <c r="R144" s="35" t="str">
        <f aca="false">IF(F144="","",P144+Q144)</f>
        <v/>
      </c>
      <c r="S144" s="36"/>
      <c r="T144" s="36"/>
      <c r="U144" s="34" t="str">
        <f aca="false">IF(F144="","",N(G144)*N(I144))</f>
        <v/>
      </c>
      <c r="V144" s="34" t="str">
        <f aca="false">IF(F144="","",N(G144)*N(J144))</f>
        <v/>
      </c>
      <c r="W144" s="13" t="str">
        <f aca="false">IF(F144="","",IF(B144="Excluded","",COUNTIFS($F$6:F144,"?*",$B$6:B144,"&lt;&gt;Excluded")))</f>
        <v/>
      </c>
      <c r="X144" s="34" t="str">
        <f aca="false">IF(F144="","",N(G144)*N(I144)/(1-IF(K144="",'Job Info'!$B$39,K144))*IF('Job Info'!$B$38="Yes",'Job Info'!$B$37,0))</f>
        <v/>
      </c>
    </row>
    <row r="145" customFormat="false" ht="15" hidden="false" customHeight="false" outlineLevel="0" collapsed="false">
      <c r="A145" s="13" t="str">
        <f aca="false">IF(F145="","",ROW()-5)</f>
        <v/>
      </c>
      <c r="B145" s="14"/>
      <c r="C145" s="14"/>
      <c r="D145" s="14"/>
      <c r="E145" s="14"/>
      <c r="F145" s="36"/>
      <c r="G145" s="37"/>
      <c r="H145" s="14"/>
      <c r="I145" s="38"/>
      <c r="J145" s="38"/>
      <c r="K145" s="33"/>
      <c r="L145" s="33"/>
      <c r="M145" s="34" t="str">
        <f aca="false">IF(F145="","",N(I145)/(1-IF(K145="",'Job Info'!$B$39,K145))*(1+IF('Job Info'!$B$38="Yes",'Job Info'!$B$37,0)))</f>
        <v/>
      </c>
      <c r="N145" s="34" t="str">
        <f aca="false">IF(F145="","",N(J145)/(1-IF(L145="",'Job Info'!$B$40,L145)))</f>
        <v/>
      </c>
      <c r="O145" s="34" t="str">
        <f aca="false">IF(F145="","",M145+N145)</f>
        <v/>
      </c>
      <c r="P145" s="34" t="str">
        <f aca="false">IF(F145="","",N(G145)*M145)</f>
        <v/>
      </c>
      <c r="Q145" s="34" t="str">
        <f aca="false">IF(F145="","",N(G145)*N145)</f>
        <v/>
      </c>
      <c r="R145" s="35" t="str">
        <f aca="false">IF(F145="","",P145+Q145)</f>
        <v/>
      </c>
      <c r="S145" s="36"/>
      <c r="T145" s="36"/>
      <c r="U145" s="34" t="str">
        <f aca="false">IF(F145="","",N(G145)*N(I145))</f>
        <v/>
      </c>
      <c r="V145" s="34" t="str">
        <f aca="false">IF(F145="","",N(G145)*N(J145))</f>
        <v/>
      </c>
      <c r="W145" s="13" t="str">
        <f aca="false">IF(F145="","",IF(B145="Excluded","",COUNTIFS($F$6:F145,"?*",$B$6:B145,"&lt;&gt;Excluded")))</f>
        <v/>
      </c>
      <c r="X145" s="34" t="str">
        <f aca="false">IF(F145="","",N(G145)*N(I145)/(1-IF(K145="",'Job Info'!$B$39,K145))*IF('Job Info'!$B$38="Yes",'Job Info'!$B$37,0))</f>
        <v/>
      </c>
    </row>
    <row r="146" customFormat="false" ht="15" hidden="false" customHeight="false" outlineLevel="0" collapsed="false">
      <c r="A146" s="13" t="str">
        <f aca="false">IF(F146="","",ROW()-5)</f>
        <v/>
      </c>
      <c r="B146" s="14"/>
      <c r="C146" s="14"/>
      <c r="D146" s="14"/>
      <c r="E146" s="14"/>
      <c r="F146" s="36"/>
      <c r="G146" s="37"/>
      <c r="H146" s="14"/>
      <c r="I146" s="38"/>
      <c r="J146" s="38"/>
      <c r="K146" s="33"/>
      <c r="L146" s="33"/>
      <c r="M146" s="34" t="str">
        <f aca="false">IF(F146="","",N(I146)/(1-IF(K146="",'Job Info'!$B$39,K146))*(1+IF('Job Info'!$B$38="Yes",'Job Info'!$B$37,0)))</f>
        <v/>
      </c>
      <c r="N146" s="34" t="str">
        <f aca="false">IF(F146="","",N(J146)/(1-IF(L146="",'Job Info'!$B$40,L146)))</f>
        <v/>
      </c>
      <c r="O146" s="34" t="str">
        <f aca="false">IF(F146="","",M146+N146)</f>
        <v/>
      </c>
      <c r="P146" s="34" t="str">
        <f aca="false">IF(F146="","",N(G146)*M146)</f>
        <v/>
      </c>
      <c r="Q146" s="34" t="str">
        <f aca="false">IF(F146="","",N(G146)*N146)</f>
        <v/>
      </c>
      <c r="R146" s="35" t="str">
        <f aca="false">IF(F146="","",P146+Q146)</f>
        <v/>
      </c>
      <c r="S146" s="36"/>
      <c r="T146" s="36"/>
      <c r="U146" s="34" t="str">
        <f aca="false">IF(F146="","",N(G146)*N(I146))</f>
        <v/>
      </c>
      <c r="V146" s="34" t="str">
        <f aca="false">IF(F146="","",N(G146)*N(J146))</f>
        <v/>
      </c>
      <c r="W146" s="13" t="str">
        <f aca="false">IF(F146="","",IF(B146="Excluded","",COUNTIFS($F$6:F146,"?*",$B$6:B146,"&lt;&gt;Excluded")))</f>
        <v/>
      </c>
      <c r="X146" s="34" t="str">
        <f aca="false">IF(F146="","",N(G146)*N(I146)/(1-IF(K146="",'Job Info'!$B$39,K146))*IF('Job Info'!$B$38="Yes",'Job Info'!$B$37,0))</f>
        <v/>
      </c>
    </row>
    <row r="147" customFormat="false" ht="15" hidden="false" customHeight="false" outlineLevel="0" collapsed="false">
      <c r="A147" s="13" t="str">
        <f aca="false">IF(F147="","",ROW()-5)</f>
        <v/>
      </c>
      <c r="B147" s="14"/>
      <c r="C147" s="14"/>
      <c r="D147" s="14"/>
      <c r="E147" s="14"/>
      <c r="F147" s="36"/>
      <c r="G147" s="37"/>
      <c r="H147" s="14"/>
      <c r="I147" s="38"/>
      <c r="J147" s="38"/>
      <c r="K147" s="33"/>
      <c r="L147" s="33"/>
      <c r="M147" s="34" t="str">
        <f aca="false">IF(F147="","",N(I147)/(1-IF(K147="",'Job Info'!$B$39,K147))*(1+IF('Job Info'!$B$38="Yes",'Job Info'!$B$37,0)))</f>
        <v/>
      </c>
      <c r="N147" s="34" t="str">
        <f aca="false">IF(F147="","",N(J147)/(1-IF(L147="",'Job Info'!$B$40,L147)))</f>
        <v/>
      </c>
      <c r="O147" s="34" t="str">
        <f aca="false">IF(F147="","",M147+N147)</f>
        <v/>
      </c>
      <c r="P147" s="34" t="str">
        <f aca="false">IF(F147="","",N(G147)*M147)</f>
        <v/>
      </c>
      <c r="Q147" s="34" t="str">
        <f aca="false">IF(F147="","",N(G147)*N147)</f>
        <v/>
      </c>
      <c r="R147" s="35" t="str">
        <f aca="false">IF(F147="","",P147+Q147)</f>
        <v/>
      </c>
      <c r="S147" s="36"/>
      <c r="T147" s="36"/>
      <c r="U147" s="34" t="str">
        <f aca="false">IF(F147="","",N(G147)*N(I147))</f>
        <v/>
      </c>
      <c r="V147" s="34" t="str">
        <f aca="false">IF(F147="","",N(G147)*N(J147))</f>
        <v/>
      </c>
      <c r="W147" s="13" t="str">
        <f aca="false">IF(F147="","",IF(B147="Excluded","",COUNTIFS($F$6:F147,"?*",$B$6:B147,"&lt;&gt;Excluded")))</f>
        <v/>
      </c>
      <c r="X147" s="34" t="str">
        <f aca="false">IF(F147="","",N(G147)*N(I147)/(1-IF(K147="",'Job Info'!$B$39,K147))*IF('Job Info'!$B$38="Yes",'Job Info'!$B$37,0))</f>
        <v/>
      </c>
    </row>
    <row r="148" customFormat="false" ht="15" hidden="false" customHeight="false" outlineLevel="0" collapsed="false">
      <c r="A148" s="13" t="str">
        <f aca="false">IF(F148="","",ROW()-5)</f>
        <v/>
      </c>
      <c r="B148" s="14"/>
      <c r="C148" s="14"/>
      <c r="D148" s="14"/>
      <c r="E148" s="14"/>
      <c r="F148" s="36"/>
      <c r="G148" s="37"/>
      <c r="H148" s="14"/>
      <c r="I148" s="38"/>
      <c r="J148" s="38"/>
      <c r="K148" s="33"/>
      <c r="L148" s="33"/>
      <c r="M148" s="34" t="str">
        <f aca="false">IF(F148="","",N(I148)/(1-IF(K148="",'Job Info'!$B$39,K148))*(1+IF('Job Info'!$B$38="Yes",'Job Info'!$B$37,0)))</f>
        <v/>
      </c>
      <c r="N148" s="34" t="str">
        <f aca="false">IF(F148="","",N(J148)/(1-IF(L148="",'Job Info'!$B$40,L148)))</f>
        <v/>
      </c>
      <c r="O148" s="34" t="str">
        <f aca="false">IF(F148="","",M148+N148)</f>
        <v/>
      </c>
      <c r="P148" s="34" t="str">
        <f aca="false">IF(F148="","",N(G148)*M148)</f>
        <v/>
      </c>
      <c r="Q148" s="34" t="str">
        <f aca="false">IF(F148="","",N(G148)*N148)</f>
        <v/>
      </c>
      <c r="R148" s="35" t="str">
        <f aca="false">IF(F148="","",P148+Q148)</f>
        <v/>
      </c>
      <c r="S148" s="36"/>
      <c r="T148" s="36"/>
      <c r="U148" s="34" t="str">
        <f aca="false">IF(F148="","",N(G148)*N(I148))</f>
        <v/>
      </c>
      <c r="V148" s="34" t="str">
        <f aca="false">IF(F148="","",N(G148)*N(J148))</f>
        <v/>
      </c>
      <c r="W148" s="13" t="str">
        <f aca="false">IF(F148="","",IF(B148="Excluded","",COUNTIFS($F$6:F148,"?*",$B$6:B148,"&lt;&gt;Excluded")))</f>
        <v/>
      </c>
      <c r="X148" s="34" t="str">
        <f aca="false">IF(F148="","",N(G148)*N(I148)/(1-IF(K148="",'Job Info'!$B$39,K148))*IF('Job Info'!$B$38="Yes",'Job Info'!$B$37,0))</f>
        <v/>
      </c>
    </row>
    <row r="149" customFormat="false" ht="15" hidden="false" customHeight="false" outlineLevel="0" collapsed="false">
      <c r="A149" s="13" t="str">
        <f aca="false">IF(F149="","",ROW()-5)</f>
        <v/>
      </c>
      <c r="B149" s="14"/>
      <c r="C149" s="14"/>
      <c r="D149" s="14"/>
      <c r="E149" s="14"/>
      <c r="F149" s="36"/>
      <c r="G149" s="37"/>
      <c r="H149" s="14"/>
      <c r="I149" s="38"/>
      <c r="J149" s="38"/>
      <c r="K149" s="33"/>
      <c r="L149" s="33"/>
      <c r="M149" s="34" t="str">
        <f aca="false">IF(F149="","",N(I149)/(1-IF(K149="",'Job Info'!$B$39,K149))*(1+IF('Job Info'!$B$38="Yes",'Job Info'!$B$37,0)))</f>
        <v/>
      </c>
      <c r="N149" s="34" t="str">
        <f aca="false">IF(F149="","",N(J149)/(1-IF(L149="",'Job Info'!$B$40,L149)))</f>
        <v/>
      </c>
      <c r="O149" s="34" t="str">
        <f aca="false">IF(F149="","",M149+N149)</f>
        <v/>
      </c>
      <c r="P149" s="34" t="str">
        <f aca="false">IF(F149="","",N(G149)*M149)</f>
        <v/>
      </c>
      <c r="Q149" s="34" t="str">
        <f aca="false">IF(F149="","",N(G149)*N149)</f>
        <v/>
      </c>
      <c r="R149" s="35" t="str">
        <f aca="false">IF(F149="","",P149+Q149)</f>
        <v/>
      </c>
      <c r="S149" s="36"/>
      <c r="T149" s="36"/>
      <c r="U149" s="34" t="str">
        <f aca="false">IF(F149="","",N(G149)*N(I149))</f>
        <v/>
      </c>
      <c r="V149" s="34" t="str">
        <f aca="false">IF(F149="","",N(G149)*N(J149))</f>
        <v/>
      </c>
      <c r="W149" s="13" t="str">
        <f aca="false">IF(F149="","",IF(B149="Excluded","",COUNTIFS($F$6:F149,"?*",$B$6:B149,"&lt;&gt;Excluded")))</f>
        <v/>
      </c>
      <c r="X149" s="34" t="str">
        <f aca="false">IF(F149="","",N(G149)*N(I149)/(1-IF(K149="",'Job Info'!$B$39,K149))*IF('Job Info'!$B$38="Yes",'Job Info'!$B$37,0))</f>
        <v/>
      </c>
    </row>
    <row r="150" customFormat="false" ht="15" hidden="false" customHeight="false" outlineLevel="0" collapsed="false">
      <c r="A150" s="13" t="str">
        <f aca="false">IF(F150="","",ROW()-5)</f>
        <v/>
      </c>
      <c r="B150" s="14"/>
      <c r="C150" s="14"/>
      <c r="D150" s="14"/>
      <c r="E150" s="14"/>
      <c r="F150" s="36"/>
      <c r="G150" s="37"/>
      <c r="H150" s="14"/>
      <c r="I150" s="38"/>
      <c r="J150" s="38"/>
      <c r="K150" s="33"/>
      <c r="L150" s="33"/>
      <c r="M150" s="34" t="str">
        <f aca="false">IF(F150="","",N(I150)/(1-IF(K150="",'Job Info'!$B$39,K150))*(1+IF('Job Info'!$B$38="Yes",'Job Info'!$B$37,0)))</f>
        <v/>
      </c>
      <c r="N150" s="34" t="str">
        <f aca="false">IF(F150="","",N(J150)/(1-IF(L150="",'Job Info'!$B$40,L150)))</f>
        <v/>
      </c>
      <c r="O150" s="34" t="str">
        <f aca="false">IF(F150="","",M150+N150)</f>
        <v/>
      </c>
      <c r="P150" s="34" t="str">
        <f aca="false">IF(F150="","",N(G150)*M150)</f>
        <v/>
      </c>
      <c r="Q150" s="34" t="str">
        <f aca="false">IF(F150="","",N(G150)*N150)</f>
        <v/>
      </c>
      <c r="R150" s="35" t="str">
        <f aca="false">IF(F150="","",P150+Q150)</f>
        <v/>
      </c>
      <c r="S150" s="36"/>
      <c r="T150" s="36"/>
      <c r="U150" s="34" t="str">
        <f aca="false">IF(F150="","",N(G150)*N(I150))</f>
        <v/>
      </c>
      <c r="V150" s="34" t="str">
        <f aca="false">IF(F150="","",N(G150)*N(J150))</f>
        <v/>
      </c>
      <c r="W150" s="13" t="str">
        <f aca="false">IF(F150="","",IF(B150="Excluded","",COUNTIFS($F$6:F150,"?*",$B$6:B150,"&lt;&gt;Excluded")))</f>
        <v/>
      </c>
      <c r="X150" s="34" t="str">
        <f aca="false">IF(F150="","",N(G150)*N(I150)/(1-IF(K150="",'Job Info'!$B$39,K150))*IF('Job Info'!$B$38="Yes",'Job Info'!$B$37,0))</f>
        <v/>
      </c>
    </row>
    <row r="151" customFormat="false" ht="15" hidden="false" customHeight="false" outlineLevel="0" collapsed="false">
      <c r="A151" s="13" t="str">
        <f aca="false">IF(F151="","",ROW()-5)</f>
        <v/>
      </c>
      <c r="B151" s="14"/>
      <c r="C151" s="14"/>
      <c r="D151" s="14"/>
      <c r="E151" s="14"/>
      <c r="F151" s="36"/>
      <c r="G151" s="37"/>
      <c r="H151" s="14"/>
      <c r="I151" s="38"/>
      <c r="J151" s="38"/>
      <c r="K151" s="33"/>
      <c r="L151" s="33"/>
      <c r="M151" s="34" t="str">
        <f aca="false">IF(F151="","",N(I151)/(1-IF(K151="",'Job Info'!$B$39,K151))*(1+IF('Job Info'!$B$38="Yes",'Job Info'!$B$37,0)))</f>
        <v/>
      </c>
      <c r="N151" s="34" t="str">
        <f aca="false">IF(F151="","",N(J151)/(1-IF(L151="",'Job Info'!$B$40,L151)))</f>
        <v/>
      </c>
      <c r="O151" s="34" t="str">
        <f aca="false">IF(F151="","",M151+N151)</f>
        <v/>
      </c>
      <c r="P151" s="34" t="str">
        <f aca="false">IF(F151="","",N(G151)*M151)</f>
        <v/>
      </c>
      <c r="Q151" s="34" t="str">
        <f aca="false">IF(F151="","",N(G151)*N151)</f>
        <v/>
      </c>
      <c r="R151" s="35" t="str">
        <f aca="false">IF(F151="","",P151+Q151)</f>
        <v/>
      </c>
      <c r="S151" s="36"/>
      <c r="T151" s="36"/>
      <c r="U151" s="34" t="str">
        <f aca="false">IF(F151="","",N(G151)*N(I151))</f>
        <v/>
      </c>
      <c r="V151" s="34" t="str">
        <f aca="false">IF(F151="","",N(G151)*N(J151))</f>
        <v/>
      </c>
      <c r="W151" s="13" t="str">
        <f aca="false">IF(F151="","",IF(B151="Excluded","",COUNTIFS($F$6:F151,"?*",$B$6:B151,"&lt;&gt;Excluded")))</f>
        <v/>
      </c>
      <c r="X151" s="34" t="str">
        <f aca="false">IF(F151="","",N(G151)*N(I151)/(1-IF(K151="",'Job Info'!$B$39,K151))*IF('Job Info'!$B$38="Yes",'Job Info'!$B$37,0))</f>
        <v/>
      </c>
    </row>
    <row r="152" customFormat="false" ht="15" hidden="false" customHeight="false" outlineLevel="0" collapsed="false">
      <c r="A152" s="13" t="str">
        <f aca="false">IF(F152="","",ROW()-5)</f>
        <v/>
      </c>
      <c r="B152" s="14"/>
      <c r="C152" s="14"/>
      <c r="D152" s="14"/>
      <c r="E152" s="14"/>
      <c r="F152" s="36"/>
      <c r="G152" s="37"/>
      <c r="H152" s="14"/>
      <c r="I152" s="38"/>
      <c r="J152" s="38"/>
      <c r="K152" s="33"/>
      <c r="L152" s="33"/>
      <c r="M152" s="34" t="str">
        <f aca="false">IF(F152="","",N(I152)/(1-IF(K152="",'Job Info'!$B$39,K152))*(1+IF('Job Info'!$B$38="Yes",'Job Info'!$B$37,0)))</f>
        <v/>
      </c>
      <c r="N152" s="34" t="str">
        <f aca="false">IF(F152="","",N(J152)/(1-IF(L152="",'Job Info'!$B$40,L152)))</f>
        <v/>
      </c>
      <c r="O152" s="34" t="str">
        <f aca="false">IF(F152="","",M152+N152)</f>
        <v/>
      </c>
      <c r="P152" s="34" t="str">
        <f aca="false">IF(F152="","",N(G152)*M152)</f>
        <v/>
      </c>
      <c r="Q152" s="34" t="str">
        <f aca="false">IF(F152="","",N(G152)*N152)</f>
        <v/>
      </c>
      <c r="R152" s="35" t="str">
        <f aca="false">IF(F152="","",P152+Q152)</f>
        <v/>
      </c>
      <c r="S152" s="36"/>
      <c r="T152" s="36"/>
      <c r="U152" s="34" t="str">
        <f aca="false">IF(F152="","",N(G152)*N(I152))</f>
        <v/>
      </c>
      <c r="V152" s="34" t="str">
        <f aca="false">IF(F152="","",N(G152)*N(J152))</f>
        <v/>
      </c>
      <c r="W152" s="13" t="str">
        <f aca="false">IF(F152="","",IF(B152="Excluded","",COUNTIFS($F$6:F152,"?*",$B$6:B152,"&lt;&gt;Excluded")))</f>
        <v/>
      </c>
      <c r="X152" s="34" t="str">
        <f aca="false">IF(F152="","",N(G152)*N(I152)/(1-IF(K152="",'Job Info'!$B$39,K152))*IF('Job Info'!$B$38="Yes",'Job Info'!$B$37,0))</f>
        <v/>
      </c>
    </row>
    <row r="153" customFormat="false" ht="15" hidden="false" customHeight="false" outlineLevel="0" collapsed="false">
      <c r="A153" s="13" t="str">
        <f aca="false">IF(F153="","",ROW()-5)</f>
        <v/>
      </c>
      <c r="B153" s="14"/>
      <c r="C153" s="14"/>
      <c r="D153" s="14"/>
      <c r="E153" s="14"/>
      <c r="F153" s="36"/>
      <c r="G153" s="37"/>
      <c r="H153" s="14"/>
      <c r="I153" s="38"/>
      <c r="J153" s="38"/>
      <c r="K153" s="33"/>
      <c r="L153" s="33"/>
      <c r="M153" s="34" t="str">
        <f aca="false">IF(F153="","",N(I153)/(1-IF(K153="",'Job Info'!$B$39,K153))*(1+IF('Job Info'!$B$38="Yes",'Job Info'!$B$37,0)))</f>
        <v/>
      </c>
      <c r="N153" s="34" t="str">
        <f aca="false">IF(F153="","",N(J153)/(1-IF(L153="",'Job Info'!$B$40,L153)))</f>
        <v/>
      </c>
      <c r="O153" s="34" t="str">
        <f aca="false">IF(F153="","",M153+N153)</f>
        <v/>
      </c>
      <c r="P153" s="34" t="str">
        <f aca="false">IF(F153="","",N(G153)*M153)</f>
        <v/>
      </c>
      <c r="Q153" s="34" t="str">
        <f aca="false">IF(F153="","",N(G153)*N153)</f>
        <v/>
      </c>
      <c r="R153" s="35" t="str">
        <f aca="false">IF(F153="","",P153+Q153)</f>
        <v/>
      </c>
      <c r="S153" s="36"/>
      <c r="T153" s="36"/>
      <c r="U153" s="34" t="str">
        <f aca="false">IF(F153="","",N(G153)*N(I153))</f>
        <v/>
      </c>
      <c r="V153" s="34" t="str">
        <f aca="false">IF(F153="","",N(G153)*N(J153))</f>
        <v/>
      </c>
      <c r="W153" s="13" t="str">
        <f aca="false">IF(F153="","",IF(B153="Excluded","",COUNTIFS($F$6:F153,"?*",$B$6:B153,"&lt;&gt;Excluded")))</f>
        <v/>
      </c>
      <c r="X153" s="34" t="str">
        <f aca="false">IF(F153="","",N(G153)*N(I153)/(1-IF(K153="",'Job Info'!$B$39,K153))*IF('Job Info'!$B$38="Yes",'Job Info'!$B$37,0))</f>
        <v/>
      </c>
    </row>
    <row r="154" customFormat="false" ht="15" hidden="false" customHeight="false" outlineLevel="0" collapsed="false">
      <c r="A154" s="13" t="str">
        <f aca="false">IF(F154="","",ROW()-5)</f>
        <v/>
      </c>
      <c r="B154" s="14"/>
      <c r="C154" s="14"/>
      <c r="D154" s="14"/>
      <c r="E154" s="14"/>
      <c r="F154" s="36"/>
      <c r="G154" s="37"/>
      <c r="H154" s="14"/>
      <c r="I154" s="38"/>
      <c r="J154" s="38"/>
      <c r="K154" s="33"/>
      <c r="L154" s="33"/>
      <c r="M154" s="34" t="str">
        <f aca="false">IF(F154="","",N(I154)/(1-IF(K154="",'Job Info'!$B$39,K154))*(1+IF('Job Info'!$B$38="Yes",'Job Info'!$B$37,0)))</f>
        <v/>
      </c>
      <c r="N154" s="34" t="str">
        <f aca="false">IF(F154="","",N(J154)/(1-IF(L154="",'Job Info'!$B$40,L154)))</f>
        <v/>
      </c>
      <c r="O154" s="34" t="str">
        <f aca="false">IF(F154="","",M154+N154)</f>
        <v/>
      </c>
      <c r="P154" s="34" t="str">
        <f aca="false">IF(F154="","",N(G154)*M154)</f>
        <v/>
      </c>
      <c r="Q154" s="34" t="str">
        <f aca="false">IF(F154="","",N(G154)*N154)</f>
        <v/>
      </c>
      <c r="R154" s="35" t="str">
        <f aca="false">IF(F154="","",P154+Q154)</f>
        <v/>
      </c>
      <c r="S154" s="36"/>
      <c r="T154" s="36"/>
      <c r="U154" s="34" t="str">
        <f aca="false">IF(F154="","",N(G154)*N(I154))</f>
        <v/>
      </c>
      <c r="V154" s="34" t="str">
        <f aca="false">IF(F154="","",N(G154)*N(J154))</f>
        <v/>
      </c>
      <c r="W154" s="13" t="str">
        <f aca="false">IF(F154="","",IF(B154="Excluded","",COUNTIFS($F$6:F154,"?*",$B$6:B154,"&lt;&gt;Excluded")))</f>
        <v/>
      </c>
      <c r="X154" s="34" t="str">
        <f aca="false">IF(F154="","",N(G154)*N(I154)/(1-IF(K154="",'Job Info'!$B$39,K154))*IF('Job Info'!$B$38="Yes",'Job Info'!$B$37,0))</f>
        <v/>
      </c>
    </row>
    <row r="155" customFormat="false" ht="15" hidden="false" customHeight="false" outlineLevel="0" collapsed="false">
      <c r="A155" s="13" t="str">
        <f aca="false">IF(F155="","",ROW()-5)</f>
        <v/>
      </c>
      <c r="B155" s="14"/>
      <c r="C155" s="14"/>
      <c r="D155" s="14"/>
      <c r="E155" s="14"/>
      <c r="F155" s="36"/>
      <c r="G155" s="37"/>
      <c r="H155" s="14"/>
      <c r="I155" s="38"/>
      <c r="J155" s="38"/>
      <c r="K155" s="33"/>
      <c r="L155" s="33"/>
      <c r="M155" s="34" t="str">
        <f aca="false">IF(F155="","",N(I155)/(1-IF(K155="",'Job Info'!$B$39,K155))*(1+IF('Job Info'!$B$38="Yes",'Job Info'!$B$37,0)))</f>
        <v/>
      </c>
      <c r="N155" s="34" t="str">
        <f aca="false">IF(F155="","",N(J155)/(1-IF(L155="",'Job Info'!$B$40,L155)))</f>
        <v/>
      </c>
      <c r="O155" s="34" t="str">
        <f aca="false">IF(F155="","",M155+N155)</f>
        <v/>
      </c>
      <c r="P155" s="34" t="str">
        <f aca="false">IF(F155="","",N(G155)*M155)</f>
        <v/>
      </c>
      <c r="Q155" s="34" t="str">
        <f aca="false">IF(F155="","",N(G155)*N155)</f>
        <v/>
      </c>
      <c r="R155" s="35" t="str">
        <f aca="false">IF(F155="","",P155+Q155)</f>
        <v/>
      </c>
      <c r="S155" s="36"/>
      <c r="T155" s="36"/>
      <c r="U155" s="34" t="str">
        <f aca="false">IF(F155="","",N(G155)*N(I155))</f>
        <v/>
      </c>
      <c r="V155" s="34" t="str">
        <f aca="false">IF(F155="","",N(G155)*N(J155))</f>
        <v/>
      </c>
      <c r="W155" s="13" t="str">
        <f aca="false">IF(F155="","",IF(B155="Excluded","",COUNTIFS($F$6:F155,"?*",$B$6:B155,"&lt;&gt;Excluded")))</f>
        <v/>
      </c>
      <c r="X155" s="34" t="str">
        <f aca="false">IF(F155="","",N(G155)*N(I155)/(1-IF(K155="",'Job Info'!$B$39,K155))*IF('Job Info'!$B$38="Yes",'Job Info'!$B$37,0))</f>
        <v/>
      </c>
    </row>
    <row r="156" customFormat="false" ht="15" hidden="false" customHeight="false" outlineLevel="0" collapsed="false">
      <c r="A156" s="13" t="str">
        <f aca="false">IF(F156="","",ROW()-5)</f>
        <v/>
      </c>
      <c r="B156" s="14"/>
      <c r="C156" s="14"/>
      <c r="D156" s="14"/>
      <c r="E156" s="14"/>
      <c r="F156" s="36"/>
      <c r="G156" s="37"/>
      <c r="H156" s="14"/>
      <c r="I156" s="38"/>
      <c r="J156" s="38"/>
      <c r="K156" s="33"/>
      <c r="L156" s="33"/>
      <c r="M156" s="34" t="str">
        <f aca="false">IF(F156="","",N(I156)/(1-IF(K156="",'Job Info'!$B$39,K156))*(1+IF('Job Info'!$B$38="Yes",'Job Info'!$B$37,0)))</f>
        <v/>
      </c>
      <c r="N156" s="34" t="str">
        <f aca="false">IF(F156="","",N(J156)/(1-IF(L156="",'Job Info'!$B$40,L156)))</f>
        <v/>
      </c>
      <c r="O156" s="34" t="str">
        <f aca="false">IF(F156="","",M156+N156)</f>
        <v/>
      </c>
      <c r="P156" s="34" t="str">
        <f aca="false">IF(F156="","",N(G156)*M156)</f>
        <v/>
      </c>
      <c r="Q156" s="34" t="str">
        <f aca="false">IF(F156="","",N(G156)*N156)</f>
        <v/>
      </c>
      <c r="R156" s="35" t="str">
        <f aca="false">IF(F156="","",P156+Q156)</f>
        <v/>
      </c>
      <c r="S156" s="36"/>
      <c r="T156" s="36"/>
      <c r="U156" s="34" t="str">
        <f aca="false">IF(F156="","",N(G156)*N(I156))</f>
        <v/>
      </c>
      <c r="V156" s="34" t="str">
        <f aca="false">IF(F156="","",N(G156)*N(J156))</f>
        <v/>
      </c>
      <c r="W156" s="13" t="str">
        <f aca="false">IF(F156="","",IF(B156="Excluded","",COUNTIFS($F$6:F156,"?*",$B$6:B156,"&lt;&gt;Excluded")))</f>
        <v/>
      </c>
      <c r="X156" s="34" t="str">
        <f aca="false">IF(F156="","",N(G156)*N(I156)/(1-IF(K156="",'Job Info'!$B$39,K156))*IF('Job Info'!$B$38="Yes",'Job Info'!$B$37,0))</f>
        <v/>
      </c>
    </row>
    <row r="157" customFormat="false" ht="15" hidden="false" customHeight="false" outlineLevel="0" collapsed="false">
      <c r="A157" s="13" t="str">
        <f aca="false">IF(F157="","",ROW()-5)</f>
        <v/>
      </c>
      <c r="B157" s="14"/>
      <c r="C157" s="14"/>
      <c r="D157" s="14"/>
      <c r="E157" s="14"/>
      <c r="F157" s="36"/>
      <c r="G157" s="37"/>
      <c r="H157" s="14"/>
      <c r="I157" s="38"/>
      <c r="J157" s="38"/>
      <c r="K157" s="33"/>
      <c r="L157" s="33"/>
      <c r="M157" s="34" t="str">
        <f aca="false">IF(F157="","",N(I157)/(1-IF(K157="",'Job Info'!$B$39,K157))*(1+IF('Job Info'!$B$38="Yes",'Job Info'!$B$37,0)))</f>
        <v/>
      </c>
      <c r="N157" s="34" t="str">
        <f aca="false">IF(F157="","",N(J157)/(1-IF(L157="",'Job Info'!$B$40,L157)))</f>
        <v/>
      </c>
      <c r="O157" s="34" t="str">
        <f aca="false">IF(F157="","",M157+N157)</f>
        <v/>
      </c>
      <c r="P157" s="34" t="str">
        <f aca="false">IF(F157="","",N(G157)*M157)</f>
        <v/>
      </c>
      <c r="Q157" s="34" t="str">
        <f aca="false">IF(F157="","",N(G157)*N157)</f>
        <v/>
      </c>
      <c r="R157" s="35" t="str">
        <f aca="false">IF(F157="","",P157+Q157)</f>
        <v/>
      </c>
      <c r="S157" s="36"/>
      <c r="T157" s="36"/>
      <c r="U157" s="34" t="str">
        <f aca="false">IF(F157="","",N(G157)*N(I157))</f>
        <v/>
      </c>
      <c r="V157" s="34" t="str">
        <f aca="false">IF(F157="","",N(G157)*N(J157))</f>
        <v/>
      </c>
      <c r="W157" s="13" t="str">
        <f aca="false">IF(F157="","",IF(B157="Excluded","",COUNTIFS($F$6:F157,"?*",$B$6:B157,"&lt;&gt;Excluded")))</f>
        <v/>
      </c>
      <c r="X157" s="34" t="str">
        <f aca="false">IF(F157="","",N(G157)*N(I157)/(1-IF(K157="",'Job Info'!$B$39,K157))*IF('Job Info'!$B$38="Yes",'Job Info'!$B$37,0))</f>
        <v/>
      </c>
    </row>
    <row r="158" customFormat="false" ht="15" hidden="false" customHeight="false" outlineLevel="0" collapsed="false">
      <c r="A158" s="13" t="str">
        <f aca="false">IF(F158="","",ROW()-5)</f>
        <v/>
      </c>
      <c r="B158" s="14"/>
      <c r="C158" s="14"/>
      <c r="D158" s="14"/>
      <c r="E158" s="14"/>
      <c r="F158" s="36"/>
      <c r="G158" s="37"/>
      <c r="H158" s="14"/>
      <c r="I158" s="38"/>
      <c r="J158" s="38"/>
      <c r="K158" s="33"/>
      <c r="L158" s="33"/>
      <c r="M158" s="34" t="str">
        <f aca="false">IF(F158="","",N(I158)/(1-IF(K158="",'Job Info'!$B$39,K158))*(1+IF('Job Info'!$B$38="Yes",'Job Info'!$B$37,0)))</f>
        <v/>
      </c>
      <c r="N158" s="34" t="str">
        <f aca="false">IF(F158="","",N(J158)/(1-IF(L158="",'Job Info'!$B$40,L158)))</f>
        <v/>
      </c>
      <c r="O158" s="34" t="str">
        <f aca="false">IF(F158="","",M158+N158)</f>
        <v/>
      </c>
      <c r="P158" s="34" t="str">
        <f aca="false">IF(F158="","",N(G158)*M158)</f>
        <v/>
      </c>
      <c r="Q158" s="34" t="str">
        <f aca="false">IF(F158="","",N(G158)*N158)</f>
        <v/>
      </c>
      <c r="R158" s="35" t="str">
        <f aca="false">IF(F158="","",P158+Q158)</f>
        <v/>
      </c>
      <c r="S158" s="36"/>
      <c r="T158" s="36"/>
      <c r="U158" s="34" t="str">
        <f aca="false">IF(F158="","",N(G158)*N(I158))</f>
        <v/>
      </c>
      <c r="V158" s="34" t="str">
        <f aca="false">IF(F158="","",N(G158)*N(J158))</f>
        <v/>
      </c>
      <c r="W158" s="13" t="str">
        <f aca="false">IF(F158="","",IF(B158="Excluded","",COUNTIFS($F$6:F158,"?*",$B$6:B158,"&lt;&gt;Excluded")))</f>
        <v/>
      </c>
      <c r="X158" s="34" t="str">
        <f aca="false">IF(F158="","",N(G158)*N(I158)/(1-IF(K158="",'Job Info'!$B$39,K158))*IF('Job Info'!$B$38="Yes",'Job Info'!$B$37,0))</f>
        <v/>
      </c>
    </row>
    <row r="159" customFormat="false" ht="15" hidden="false" customHeight="false" outlineLevel="0" collapsed="false">
      <c r="A159" s="13" t="str">
        <f aca="false">IF(F159="","",ROW()-5)</f>
        <v/>
      </c>
      <c r="B159" s="14"/>
      <c r="C159" s="14"/>
      <c r="D159" s="14"/>
      <c r="E159" s="14"/>
      <c r="F159" s="36"/>
      <c r="G159" s="37"/>
      <c r="H159" s="14"/>
      <c r="I159" s="38"/>
      <c r="J159" s="38"/>
      <c r="K159" s="33"/>
      <c r="L159" s="33"/>
      <c r="M159" s="34" t="str">
        <f aca="false">IF(F159="","",N(I159)/(1-IF(K159="",'Job Info'!$B$39,K159))*(1+IF('Job Info'!$B$38="Yes",'Job Info'!$B$37,0)))</f>
        <v/>
      </c>
      <c r="N159" s="34" t="str">
        <f aca="false">IF(F159="","",N(J159)/(1-IF(L159="",'Job Info'!$B$40,L159)))</f>
        <v/>
      </c>
      <c r="O159" s="34" t="str">
        <f aca="false">IF(F159="","",M159+N159)</f>
        <v/>
      </c>
      <c r="P159" s="34" t="str">
        <f aca="false">IF(F159="","",N(G159)*M159)</f>
        <v/>
      </c>
      <c r="Q159" s="34" t="str">
        <f aca="false">IF(F159="","",N(G159)*N159)</f>
        <v/>
      </c>
      <c r="R159" s="35" t="str">
        <f aca="false">IF(F159="","",P159+Q159)</f>
        <v/>
      </c>
      <c r="S159" s="36"/>
      <c r="T159" s="36"/>
      <c r="U159" s="34" t="str">
        <f aca="false">IF(F159="","",N(G159)*N(I159))</f>
        <v/>
      </c>
      <c r="V159" s="34" t="str">
        <f aca="false">IF(F159="","",N(G159)*N(J159))</f>
        <v/>
      </c>
      <c r="W159" s="13" t="str">
        <f aca="false">IF(F159="","",IF(B159="Excluded","",COUNTIFS($F$6:F159,"?*",$B$6:B159,"&lt;&gt;Excluded")))</f>
        <v/>
      </c>
      <c r="X159" s="34" t="str">
        <f aca="false">IF(F159="","",N(G159)*N(I159)/(1-IF(K159="",'Job Info'!$B$39,K159))*IF('Job Info'!$B$38="Yes",'Job Info'!$B$37,0))</f>
        <v/>
      </c>
    </row>
    <row r="160" customFormat="false" ht="15" hidden="false" customHeight="false" outlineLevel="0" collapsed="false">
      <c r="A160" s="13" t="str">
        <f aca="false">IF(F160="","",ROW()-5)</f>
        <v/>
      </c>
      <c r="B160" s="14"/>
      <c r="C160" s="14"/>
      <c r="D160" s="14"/>
      <c r="E160" s="14"/>
      <c r="F160" s="36"/>
      <c r="G160" s="37"/>
      <c r="H160" s="14"/>
      <c r="I160" s="38"/>
      <c r="J160" s="38"/>
      <c r="K160" s="33"/>
      <c r="L160" s="33"/>
      <c r="M160" s="34" t="str">
        <f aca="false">IF(F160="","",N(I160)/(1-IF(K160="",'Job Info'!$B$39,K160))*(1+IF('Job Info'!$B$38="Yes",'Job Info'!$B$37,0)))</f>
        <v/>
      </c>
      <c r="N160" s="34" t="str">
        <f aca="false">IF(F160="","",N(J160)/(1-IF(L160="",'Job Info'!$B$40,L160)))</f>
        <v/>
      </c>
      <c r="O160" s="34" t="str">
        <f aca="false">IF(F160="","",M160+N160)</f>
        <v/>
      </c>
      <c r="P160" s="34" t="str">
        <f aca="false">IF(F160="","",N(G160)*M160)</f>
        <v/>
      </c>
      <c r="Q160" s="34" t="str">
        <f aca="false">IF(F160="","",N(G160)*N160)</f>
        <v/>
      </c>
      <c r="R160" s="35" t="str">
        <f aca="false">IF(F160="","",P160+Q160)</f>
        <v/>
      </c>
      <c r="S160" s="36"/>
      <c r="T160" s="36"/>
      <c r="U160" s="34" t="str">
        <f aca="false">IF(F160="","",N(G160)*N(I160))</f>
        <v/>
      </c>
      <c r="V160" s="34" t="str">
        <f aca="false">IF(F160="","",N(G160)*N(J160))</f>
        <v/>
      </c>
      <c r="W160" s="13" t="str">
        <f aca="false">IF(F160="","",IF(B160="Excluded","",COUNTIFS($F$6:F160,"?*",$B$6:B160,"&lt;&gt;Excluded")))</f>
        <v/>
      </c>
      <c r="X160" s="34" t="str">
        <f aca="false">IF(F160="","",N(G160)*N(I160)/(1-IF(K160="",'Job Info'!$B$39,K160))*IF('Job Info'!$B$38="Yes",'Job Info'!$B$37,0))</f>
        <v/>
      </c>
    </row>
    <row r="161" customFormat="false" ht="15" hidden="false" customHeight="false" outlineLevel="0" collapsed="false">
      <c r="A161" s="13" t="str">
        <f aca="false">IF(F161="","",ROW()-5)</f>
        <v/>
      </c>
      <c r="B161" s="14"/>
      <c r="C161" s="14"/>
      <c r="D161" s="14"/>
      <c r="E161" s="14"/>
      <c r="F161" s="36"/>
      <c r="G161" s="37"/>
      <c r="H161" s="14"/>
      <c r="I161" s="38"/>
      <c r="J161" s="38"/>
      <c r="K161" s="33"/>
      <c r="L161" s="33"/>
      <c r="M161" s="34" t="str">
        <f aca="false">IF(F161="","",N(I161)/(1-IF(K161="",'Job Info'!$B$39,K161))*(1+IF('Job Info'!$B$38="Yes",'Job Info'!$B$37,0)))</f>
        <v/>
      </c>
      <c r="N161" s="34" t="str">
        <f aca="false">IF(F161="","",N(J161)/(1-IF(L161="",'Job Info'!$B$40,L161)))</f>
        <v/>
      </c>
      <c r="O161" s="34" t="str">
        <f aca="false">IF(F161="","",M161+N161)</f>
        <v/>
      </c>
      <c r="P161" s="34" t="str">
        <f aca="false">IF(F161="","",N(G161)*M161)</f>
        <v/>
      </c>
      <c r="Q161" s="34" t="str">
        <f aca="false">IF(F161="","",N(G161)*N161)</f>
        <v/>
      </c>
      <c r="R161" s="35" t="str">
        <f aca="false">IF(F161="","",P161+Q161)</f>
        <v/>
      </c>
      <c r="S161" s="36"/>
      <c r="T161" s="36"/>
      <c r="U161" s="34" t="str">
        <f aca="false">IF(F161="","",N(G161)*N(I161))</f>
        <v/>
      </c>
      <c r="V161" s="34" t="str">
        <f aca="false">IF(F161="","",N(G161)*N(J161))</f>
        <v/>
      </c>
      <c r="W161" s="13" t="str">
        <f aca="false">IF(F161="","",IF(B161="Excluded","",COUNTIFS($F$6:F161,"?*",$B$6:B161,"&lt;&gt;Excluded")))</f>
        <v/>
      </c>
      <c r="X161" s="34" t="str">
        <f aca="false">IF(F161="","",N(G161)*N(I161)/(1-IF(K161="",'Job Info'!$B$39,K161))*IF('Job Info'!$B$38="Yes",'Job Info'!$B$37,0))</f>
        <v/>
      </c>
    </row>
    <row r="162" customFormat="false" ht="15" hidden="false" customHeight="false" outlineLevel="0" collapsed="false">
      <c r="A162" s="13" t="str">
        <f aca="false">IF(F162="","",ROW()-5)</f>
        <v/>
      </c>
      <c r="B162" s="14"/>
      <c r="C162" s="14"/>
      <c r="D162" s="14"/>
      <c r="E162" s="14"/>
      <c r="F162" s="36"/>
      <c r="G162" s="37"/>
      <c r="H162" s="14"/>
      <c r="I162" s="38"/>
      <c r="J162" s="38"/>
      <c r="K162" s="33"/>
      <c r="L162" s="33"/>
      <c r="M162" s="34" t="str">
        <f aca="false">IF(F162="","",N(I162)/(1-IF(K162="",'Job Info'!$B$39,K162))*(1+IF('Job Info'!$B$38="Yes",'Job Info'!$B$37,0)))</f>
        <v/>
      </c>
      <c r="N162" s="34" t="str">
        <f aca="false">IF(F162="","",N(J162)/(1-IF(L162="",'Job Info'!$B$40,L162)))</f>
        <v/>
      </c>
      <c r="O162" s="34" t="str">
        <f aca="false">IF(F162="","",M162+N162)</f>
        <v/>
      </c>
      <c r="P162" s="34" t="str">
        <f aca="false">IF(F162="","",N(G162)*M162)</f>
        <v/>
      </c>
      <c r="Q162" s="34" t="str">
        <f aca="false">IF(F162="","",N(G162)*N162)</f>
        <v/>
      </c>
      <c r="R162" s="35" t="str">
        <f aca="false">IF(F162="","",P162+Q162)</f>
        <v/>
      </c>
      <c r="S162" s="36"/>
      <c r="T162" s="36"/>
      <c r="U162" s="34" t="str">
        <f aca="false">IF(F162="","",N(G162)*N(I162))</f>
        <v/>
      </c>
      <c r="V162" s="34" t="str">
        <f aca="false">IF(F162="","",N(G162)*N(J162))</f>
        <v/>
      </c>
      <c r="W162" s="13" t="str">
        <f aca="false">IF(F162="","",IF(B162="Excluded","",COUNTIFS($F$6:F162,"?*",$B$6:B162,"&lt;&gt;Excluded")))</f>
        <v/>
      </c>
      <c r="X162" s="34" t="str">
        <f aca="false">IF(F162="","",N(G162)*N(I162)/(1-IF(K162="",'Job Info'!$B$39,K162))*IF('Job Info'!$B$38="Yes",'Job Info'!$B$37,0))</f>
        <v/>
      </c>
    </row>
    <row r="163" customFormat="false" ht="15" hidden="false" customHeight="false" outlineLevel="0" collapsed="false">
      <c r="A163" s="13" t="str">
        <f aca="false">IF(F163="","",ROW()-5)</f>
        <v/>
      </c>
      <c r="B163" s="14"/>
      <c r="C163" s="14"/>
      <c r="D163" s="14"/>
      <c r="E163" s="14"/>
      <c r="F163" s="36"/>
      <c r="G163" s="37"/>
      <c r="H163" s="14"/>
      <c r="I163" s="38"/>
      <c r="J163" s="38"/>
      <c r="K163" s="33"/>
      <c r="L163" s="33"/>
      <c r="M163" s="34" t="str">
        <f aca="false">IF(F163="","",N(I163)/(1-IF(K163="",'Job Info'!$B$39,K163))*(1+IF('Job Info'!$B$38="Yes",'Job Info'!$B$37,0)))</f>
        <v/>
      </c>
      <c r="N163" s="34" t="str">
        <f aca="false">IF(F163="","",N(J163)/(1-IF(L163="",'Job Info'!$B$40,L163)))</f>
        <v/>
      </c>
      <c r="O163" s="34" t="str">
        <f aca="false">IF(F163="","",M163+N163)</f>
        <v/>
      </c>
      <c r="P163" s="34" t="str">
        <f aca="false">IF(F163="","",N(G163)*M163)</f>
        <v/>
      </c>
      <c r="Q163" s="34" t="str">
        <f aca="false">IF(F163="","",N(G163)*N163)</f>
        <v/>
      </c>
      <c r="R163" s="35" t="str">
        <f aca="false">IF(F163="","",P163+Q163)</f>
        <v/>
      </c>
      <c r="S163" s="36"/>
      <c r="T163" s="36"/>
      <c r="U163" s="34" t="str">
        <f aca="false">IF(F163="","",N(G163)*N(I163))</f>
        <v/>
      </c>
      <c r="V163" s="34" t="str">
        <f aca="false">IF(F163="","",N(G163)*N(J163))</f>
        <v/>
      </c>
      <c r="W163" s="13" t="str">
        <f aca="false">IF(F163="","",IF(B163="Excluded","",COUNTIFS($F$6:F163,"?*",$B$6:B163,"&lt;&gt;Excluded")))</f>
        <v/>
      </c>
      <c r="X163" s="34" t="str">
        <f aca="false">IF(F163="","",N(G163)*N(I163)/(1-IF(K163="",'Job Info'!$B$39,K163))*IF('Job Info'!$B$38="Yes",'Job Info'!$B$37,0))</f>
        <v/>
      </c>
    </row>
    <row r="164" customFormat="false" ht="15" hidden="false" customHeight="false" outlineLevel="0" collapsed="false">
      <c r="A164" s="13" t="str">
        <f aca="false">IF(F164="","",ROW()-5)</f>
        <v/>
      </c>
      <c r="B164" s="14"/>
      <c r="C164" s="14"/>
      <c r="D164" s="14"/>
      <c r="E164" s="14"/>
      <c r="F164" s="36"/>
      <c r="G164" s="37"/>
      <c r="H164" s="14"/>
      <c r="I164" s="38"/>
      <c r="J164" s="38"/>
      <c r="K164" s="33"/>
      <c r="L164" s="33"/>
      <c r="M164" s="34" t="str">
        <f aca="false">IF(F164="","",N(I164)/(1-IF(K164="",'Job Info'!$B$39,K164))*(1+IF('Job Info'!$B$38="Yes",'Job Info'!$B$37,0)))</f>
        <v/>
      </c>
      <c r="N164" s="34" t="str">
        <f aca="false">IF(F164="","",N(J164)/(1-IF(L164="",'Job Info'!$B$40,L164)))</f>
        <v/>
      </c>
      <c r="O164" s="34" t="str">
        <f aca="false">IF(F164="","",M164+N164)</f>
        <v/>
      </c>
      <c r="P164" s="34" t="str">
        <f aca="false">IF(F164="","",N(G164)*M164)</f>
        <v/>
      </c>
      <c r="Q164" s="34" t="str">
        <f aca="false">IF(F164="","",N(G164)*N164)</f>
        <v/>
      </c>
      <c r="R164" s="35" t="str">
        <f aca="false">IF(F164="","",P164+Q164)</f>
        <v/>
      </c>
      <c r="S164" s="36"/>
      <c r="T164" s="36"/>
      <c r="U164" s="34" t="str">
        <f aca="false">IF(F164="","",N(G164)*N(I164))</f>
        <v/>
      </c>
      <c r="V164" s="34" t="str">
        <f aca="false">IF(F164="","",N(G164)*N(J164))</f>
        <v/>
      </c>
      <c r="W164" s="13" t="str">
        <f aca="false">IF(F164="","",IF(B164="Excluded","",COUNTIFS($F$6:F164,"?*",$B$6:B164,"&lt;&gt;Excluded")))</f>
        <v/>
      </c>
      <c r="X164" s="34" t="str">
        <f aca="false">IF(F164="","",N(G164)*N(I164)/(1-IF(K164="",'Job Info'!$B$39,K164))*IF('Job Info'!$B$38="Yes",'Job Info'!$B$37,0))</f>
        <v/>
      </c>
    </row>
    <row r="165" customFormat="false" ht="15" hidden="false" customHeight="false" outlineLevel="0" collapsed="false">
      <c r="A165" s="13" t="str">
        <f aca="false">IF(F165="","",ROW()-5)</f>
        <v/>
      </c>
      <c r="B165" s="14"/>
      <c r="C165" s="14"/>
      <c r="D165" s="14"/>
      <c r="E165" s="14"/>
      <c r="F165" s="36"/>
      <c r="G165" s="37"/>
      <c r="H165" s="14"/>
      <c r="I165" s="38"/>
      <c r="J165" s="38"/>
      <c r="K165" s="33"/>
      <c r="L165" s="33"/>
      <c r="M165" s="34" t="str">
        <f aca="false">IF(F165="","",N(I165)/(1-IF(K165="",'Job Info'!$B$39,K165))*(1+IF('Job Info'!$B$38="Yes",'Job Info'!$B$37,0)))</f>
        <v/>
      </c>
      <c r="N165" s="34" t="str">
        <f aca="false">IF(F165="","",N(J165)/(1-IF(L165="",'Job Info'!$B$40,L165)))</f>
        <v/>
      </c>
      <c r="O165" s="34" t="str">
        <f aca="false">IF(F165="","",M165+N165)</f>
        <v/>
      </c>
      <c r="P165" s="34" t="str">
        <f aca="false">IF(F165="","",N(G165)*M165)</f>
        <v/>
      </c>
      <c r="Q165" s="34" t="str">
        <f aca="false">IF(F165="","",N(G165)*N165)</f>
        <v/>
      </c>
      <c r="R165" s="35" t="str">
        <f aca="false">IF(F165="","",P165+Q165)</f>
        <v/>
      </c>
      <c r="S165" s="36"/>
      <c r="T165" s="36"/>
      <c r="U165" s="34" t="str">
        <f aca="false">IF(F165="","",N(G165)*N(I165))</f>
        <v/>
      </c>
      <c r="V165" s="34" t="str">
        <f aca="false">IF(F165="","",N(G165)*N(J165))</f>
        <v/>
      </c>
      <c r="W165" s="13" t="str">
        <f aca="false">IF(F165="","",IF(B165="Excluded","",COUNTIFS($F$6:F165,"?*",$B$6:B165,"&lt;&gt;Excluded")))</f>
        <v/>
      </c>
      <c r="X165" s="34" t="str">
        <f aca="false">IF(F165="","",N(G165)*N(I165)/(1-IF(K165="",'Job Info'!$B$39,K165))*IF('Job Info'!$B$38="Yes",'Job Info'!$B$37,0))</f>
        <v/>
      </c>
    </row>
    <row r="166" customFormat="false" ht="15" hidden="false" customHeight="false" outlineLevel="0" collapsed="false">
      <c r="A166" s="13" t="str">
        <f aca="false">IF(F166="","",ROW()-5)</f>
        <v/>
      </c>
      <c r="B166" s="14"/>
      <c r="C166" s="14"/>
      <c r="D166" s="14"/>
      <c r="E166" s="14"/>
      <c r="F166" s="36"/>
      <c r="G166" s="37"/>
      <c r="H166" s="14"/>
      <c r="I166" s="38"/>
      <c r="J166" s="38"/>
      <c r="K166" s="33"/>
      <c r="L166" s="33"/>
      <c r="M166" s="34" t="str">
        <f aca="false">IF(F166="","",N(I166)/(1-IF(K166="",'Job Info'!$B$39,K166))*(1+IF('Job Info'!$B$38="Yes",'Job Info'!$B$37,0)))</f>
        <v/>
      </c>
      <c r="N166" s="34" t="str">
        <f aca="false">IF(F166="","",N(J166)/(1-IF(L166="",'Job Info'!$B$40,L166)))</f>
        <v/>
      </c>
      <c r="O166" s="34" t="str">
        <f aca="false">IF(F166="","",M166+N166)</f>
        <v/>
      </c>
      <c r="P166" s="34" t="str">
        <f aca="false">IF(F166="","",N(G166)*M166)</f>
        <v/>
      </c>
      <c r="Q166" s="34" t="str">
        <f aca="false">IF(F166="","",N(G166)*N166)</f>
        <v/>
      </c>
      <c r="R166" s="35" t="str">
        <f aca="false">IF(F166="","",P166+Q166)</f>
        <v/>
      </c>
      <c r="S166" s="36"/>
      <c r="T166" s="36"/>
      <c r="U166" s="34" t="str">
        <f aca="false">IF(F166="","",N(G166)*N(I166))</f>
        <v/>
      </c>
      <c r="V166" s="34" t="str">
        <f aca="false">IF(F166="","",N(G166)*N(J166))</f>
        <v/>
      </c>
      <c r="W166" s="13" t="str">
        <f aca="false">IF(F166="","",IF(B166="Excluded","",COUNTIFS($F$6:F166,"?*",$B$6:B166,"&lt;&gt;Excluded")))</f>
        <v/>
      </c>
      <c r="X166" s="34" t="str">
        <f aca="false">IF(F166="","",N(G166)*N(I166)/(1-IF(K166="",'Job Info'!$B$39,K166))*IF('Job Info'!$B$38="Yes",'Job Info'!$B$37,0))</f>
        <v/>
      </c>
    </row>
    <row r="167" customFormat="false" ht="15" hidden="false" customHeight="false" outlineLevel="0" collapsed="false">
      <c r="A167" s="13" t="str">
        <f aca="false">IF(F167="","",ROW()-5)</f>
        <v/>
      </c>
      <c r="B167" s="14"/>
      <c r="C167" s="14"/>
      <c r="D167" s="14"/>
      <c r="E167" s="14"/>
      <c r="F167" s="36"/>
      <c r="G167" s="37"/>
      <c r="H167" s="14"/>
      <c r="I167" s="38"/>
      <c r="J167" s="38"/>
      <c r="K167" s="33"/>
      <c r="L167" s="33"/>
      <c r="M167" s="34" t="str">
        <f aca="false">IF(F167="","",N(I167)/(1-IF(K167="",'Job Info'!$B$39,K167))*(1+IF('Job Info'!$B$38="Yes",'Job Info'!$B$37,0)))</f>
        <v/>
      </c>
      <c r="N167" s="34" t="str">
        <f aca="false">IF(F167="","",N(J167)/(1-IF(L167="",'Job Info'!$B$40,L167)))</f>
        <v/>
      </c>
      <c r="O167" s="34" t="str">
        <f aca="false">IF(F167="","",M167+N167)</f>
        <v/>
      </c>
      <c r="P167" s="34" t="str">
        <f aca="false">IF(F167="","",N(G167)*M167)</f>
        <v/>
      </c>
      <c r="Q167" s="34" t="str">
        <f aca="false">IF(F167="","",N(G167)*N167)</f>
        <v/>
      </c>
      <c r="R167" s="35" t="str">
        <f aca="false">IF(F167="","",P167+Q167)</f>
        <v/>
      </c>
      <c r="S167" s="36"/>
      <c r="T167" s="36"/>
      <c r="U167" s="34" t="str">
        <f aca="false">IF(F167="","",N(G167)*N(I167))</f>
        <v/>
      </c>
      <c r="V167" s="34" t="str">
        <f aca="false">IF(F167="","",N(G167)*N(J167))</f>
        <v/>
      </c>
      <c r="W167" s="13" t="str">
        <f aca="false">IF(F167="","",IF(B167="Excluded","",COUNTIFS($F$6:F167,"?*",$B$6:B167,"&lt;&gt;Excluded")))</f>
        <v/>
      </c>
      <c r="X167" s="34" t="str">
        <f aca="false">IF(F167="","",N(G167)*N(I167)/(1-IF(K167="",'Job Info'!$B$39,K167))*IF('Job Info'!$B$38="Yes",'Job Info'!$B$37,0))</f>
        <v/>
      </c>
    </row>
    <row r="168" customFormat="false" ht="15" hidden="false" customHeight="false" outlineLevel="0" collapsed="false">
      <c r="A168" s="13" t="str">
        <f aca="false">IF(F168="","",ROW()-5)</f>
        <v/>
      </c>
      <c r="B168" s="14"/>
      <c r="C168" s="14"/>
      <c r="D168" s="14"/>
      <c r="E168" s="14"/>
      <c r="F168" s="36"/>
      <c r="G168" s="37"/>
      <c r="H168" s="14"/>
      <c r="I168" s="38"/>
      <c r="J168" s="38"/>
      <c r="K168" s="33"/>
      <c r="L168" s="33"/>
      <c r="M168" s="34" t="str">
        <f aca="false">IF(F168="","",N(I168)/(1-IF(K168="",'Job Info'!$B$39,K168))*(1+IF('Job Info'!$B$38="Yes",'Job Info'!$B$37,0)))</f>
        <v/>
      </c>
      <c r="N168" s="34" t="str">
        <f aca="false">IF(F168="","",N(J168)/(1-IF(L168="",'Job Info'!$B$40,L168)))</f>
        <v/>
      </c>
      <c r="O168" s="34" t="str">
        <f aca="false">IF(F168="","",M168+N168)</f>
        <v/>
      </c>
      <c r="P168" s="34" t="str">
        <f aca="false">IF(F168="","",N(G168)*M168)</f>
        <v/>
      </c>
      <c r="Q168" s="34" t="str">
        <f aca="false">IF(F168="","",N(G168)*N168)</f>
        <v/>
      </c>
      <c r="R168" s="35" t="str">
        <f aca="false">IF(F168="","",P168+Q168)</f>
        <v/>
      </c>
      <c r="S168" s="36"/>
      <c r="T168" s="36"/>
      <c r="U168" s="34" t="str">
        <f aca="false">IF(F168="","",N(G168)*N(I168))</f>
        <v/>
      </c>
      <c r="V168" s="34" t="str">
        <f aca="false">IF(F168="","",N(G168)*N(J168))</f>
        <v/>
      </c>
      <c r="W168" s="13" t="str">
        <f aca="false">IF(F168="","",IF(B168="Excluded","",COUNTIFS($F$6:F168,"?*",$B$6:B168,"&lt;&gt;Excluded")))</f>
        <v/>
      </c>
      <c r="X168" s="34" t="str">
        <f aca="false">IF(F168="","",N(G168)*N(I168)/(1-IF(K168="",'Job Info'!$B$39,K168))*IF('Job Info'!$B$38="Yes",'Job Info'!$B$37,0))</f>
        <v/>
      </c>
    </row>
    <row r="169" customFormat="false" ht="15" hidden="false" customHeight="false" outlineLevel="0" collapsed="false">
      <c r="A169" s="13" t="str">
        <f aca="false">IF(F169="","",ROW()-5)</f>
        <v/>
      </c>
      <c r="B169" s="14"/>
      <c r="C169" s="14"/>
      <c r="D169" s="14"/>
      <c r="E169" s="14"/>
      <c r="F169" s="36"/>
      <c r="G169" s="37"/>
      <c r="H169" s="14"/>
      <c r="I169" s="38"/>
      <c r="J169" s="38"/>
      <c r="K169" s="33"/>
      <c r="L169" s="33"/>
      <c r="M169" s="34" t="str">
        <f aca="false">IF(F169="","",N(I169)/(1-IF(K169="",'Job Info'!$B$39,K169))*(1+IF('Job Info'!$B$38="Yes",'Job Info'!$B$37,0)))</f>
        <v/>
      </c>
      <c r="N169" s="34" t="str">
        <f aca="false">IF(F169="","",N(J169)/(1-IF(L169="",'Job Info'!$B$40,L169)))</f>
        <v/>
      </c>
      <c r="O169" s="34" t="str">
        <f aca="false">IF(F169="","",M169+N169)</f>
        <v/>
      </c>
      <c r="P169" s="34" t="str">
        <f aca="false">IF(F169="","",N(G169)*M169)</f>
        <v/>
      </c>
      <c r="Q169" s="34" t="str">
        <f aca="false">IF(F169="","",N(G169)*N169)</f>
        <v/>
      </c>
      <c r="R169" s="35" t="str">
        <f aca="false">IF(F169="","",P169+Q169)</f>
        <v/>
      </c>
      <c r="S169" s="36"/>
      <c r="T169" s="36"/>
      <c r="U169" s="34" t="str">
        <f aca="false">IF(F169="","",N(G169)*N(I169))</f>
        <v/>
      </c>
      <c r="V169" s="34" t="str">
        <f aca="false">IF(F169="","",N(G169)*N(J169))</f>
        <v/>
      </c>
      <c r="W169" s="13" t="str">
        <f aca="false">IF(F169="","",IF(B169="Excluded","",COUNTIFS($F$6:F169,"?*",$B$6:B169,"&lt;&gt;Excluded")))</f>
        <v/>
      </c>
      <c r="X169" s="34" t="str">
        <f aca="false">IF(F169="","",N(G169)*N(I169)/(1-IF(K169="",'Job Info'!$B$39,K169))*IF('Job Info'!$B$38="Yes",'Job Info'!$B$37,0))</f>
        <v/>
      </c>
    </row>
    <row r="170" customFormat="false" ht="15" hidden="false" customHeight="false" outlineLevel="0" collapsed="false">
      <c r="A170" s="13" t="str">
        <f aca="false">IF(F170="","",ROW()-5)</f>
        <v/>
      </c>
      <c r="B170" s="14"/>
      <c r="C170" s="14"/>
      <c r="D170" s="14"/>
      <c r="E170" s="14"/>
      <c r="F170" s="36"/>
      <c r="G170" s="37"/>
      <c r="H170" s="14"/>
      <c r="I170" s="38"/>
      <c r="J170" s="38"/>
      <c r="K170" s="33"/>
      <c r="L170" s="33"/>
      <c r="M170" s="34" t="str">
        <f aca="false">IF(F170="","",N(I170)/(1-IF(K170="",'Job Info'!$B$39,K170))*(1+IF('Job Info'!$B$38="Yes",'Job Info'!$B$37,0)))</f>
        <v/>
      </c>
      <c r="N170" s="34" t="str">
        <f aca="false">IF(F170="","",N(J170)/(1-IF(L170="",'Job Info'!$B$40,L170)))</f>
        <v/>
      </c>
      <c r="O170" s="34" t="str">
        <f aca="false">IF(F170="","",M170+N170)</f>
        <v/>
      </c>
      <c r="P170" s="34" t="str">
        <f aca="false">IF(F170="","",N(G170)*M170)</f>
        <v/>
      </c>
      <c r="Q170" s="34" t="str">
        <f aca="false">IF(F170="","",N(G170)*N170)</f>
        <v/>
      </c>
      <c r="R170" s="35" t="str">
        <f aca="false">IF(F170="","",P170+Q170)</f>
        <v/>
      </c>
      <c r="S170" s="36"/>
      <c r="T170" s="36"/>
      <c r="U170" s="34" t="str">
        <f aca="false">IF(F170="","",N(G170)*N(I170))</f>
        <v/>
      </c>
      <c r="V170" s="34" t="str">
        <f aca="false">IF(F170="","",N(G170)*N(J170))</f>
        <v/>
      </c>
      <c r="W170" s="13" t="str">
        <f aca="false">IF(F170="","",IF(B170="Excluded","",COUNTIFS($F$6:F170,"?*",$B$6:B170,"&lt;&gt;Excluded")))</f>
        <v/>
      </c>
      <c r="X170" s="34" t="str">
        <f aca="false">IF(F170="","",N(G170)*N(I170)/(1-IF(K170="",'Job Info'!$B$39,K170))*IF('Job Info'!$B$38="Yes",'Job Info'!$B$37,0))</f>
        <v/>
      </c>
    </row>
    <row r="171" customFormat="false" ht="15" hidden="false" customHeight="false" outlineLevel="0" collapsed="false">
      <c r="A171" s="13" t="str">
        <f aca="false">IF(F171="","",ROW()-5)</f>
        <v/>
      </c>
      <c r="B171" s="14"/>
      <c r="C171" s="14"/>
      <c r="D171" s="14"/>
      <c r="E171" s="14"/>
      <c r="F171" s="36"/>
      <c r="G171" s="37"/>
      <c r="H171" s="14"/>
      <c r="I171" s="38"/>
      <c r="J171" s="38"/>
      <c r="K171" s="33"/>
      <c r="L171" s="33"/>
      <c r="M171" s="34" t="str">
        <f aca="false">IF(F171="","",N(I171)/(1-IF(K171="",'Job Info'!$B$39,K171))*(1+IF('Job Info'!$B$38="Yes",'Job Info'!$B$37,0)))</f>
        <v/>
      </c>
      <c r="N171" s="34" t="str">
        <f aca="false">IF(F171="","",N(J171)/(1-IF(L171="",'Job Info'!$B$40,L171)))</f>
        <v/>
      </c>
      <c r="O171" s="34" t="str">
        <f aca="false">IF(F171="","",M171+N171)</f>
        <v/>
      </c>
      <c r="P171" s="34" t="str">
        <f aca="false">IF(F171="","",N(G171)*M171)</f>
        <v/>
      </c>
      <c r="Q171" s="34" t="str">
        <f aca="false">IF(F171="","",N(G171)*N171)</f>
        <v/>
      </c>
      <c r="R171" s="35" t="str">
        <f aca="false">IF(F171="","",P171+Q171)</f>
        <v/>
      </c>
      <c r="S171" s="36"/>
      <c r="T171" s="36"/>
      <c r="U171" s="34" t="str">
        <f aca="false">IF(F171="","",N(G171)*N(I171))</f>
        <v/>
      </c>
      <c r="V171" s="34" t="str">
        <f aca="false">IF(F171="","",N(G171)*N(J171))</f>
        <v/>
      </c>
      <c r="W171" s="13" t="str">
        <f aca="false">IF(F171="","",IF(B171="Excluded","",COUNTIFS($F$6:F171,"?*",$B$6:B171,"&lt;&gt;Excluded")))</f>
        <v/>
      </c>
      <c r="X171" s="34" t="str">
        <f aca="false">IF(F171="","",N(G171)*N(I171)/(1-IF(K171="",'Job Info'!$B$39,K171))*IF('Job Info'!$B$38="Yes",'Job Info'!$B$37,0))</f>
        <v/>
      </c>
    </row>
    <row r="172" customFormat="false" ht="15" hidden="false" customHeight="false" outlineLevel="0" collapsed="false">
      <c r="A172" s="13" t="str">
        <f aca="false">IF(F172="","",ROW()-5)</f>
        <v/>
      </c>
      <c r="B172" s="14"/>
      <c r="C172" s="14"/>
      <c r="D172" s="14"/>
      <c r="E172" s="14"/>
      <c r="F172" s="36"/>
      <c r="G172" s="37"/>
      <c r="H172" s="14"/>
      <c r="I172" s="38"/>
      <c r="J172" s="38"/>
      <c r="K172" s="33"/>
      <c r="L172" s="33"/>
      <c r="M172" s="34" t="str">
        <f aca="false">IF(F172="","",N(I172)/(1-IF(K172="",'Job Info'!$B$39,K172))*(1+IF('Job Info'!$B$38="Yes",'Job Info'!$B$37,0)))</f>
        <v/>
      </c>
      <c r="N172" s="34" t="str">
        <f aca="false">IF(F172="","",N(J172)/(1-IF(L172="",'Job Info'!$B$40,L172)))</f>
        <v/>
      </c>
      <c r="O172" s="34" t="str">
        <f aca="false">IF(F172="","",M172+N172)</f>
        <v/>
      </c>
      <c r="P172" s="34" t="str">
        <f aca="false">IF(F172="","",N(G172)*M172)</f>
        <v/>
      </c>
      <c r="Q172" s="34" t="str">
        <f aca="false">IF(F172="","",N(G172)*N172)</f>
        <v/>
      </c>
      <c r="R172" s="35" t="str">
        <f aca="false">IF(F172="","",P172+Q172)</f>
        <v/>
      </c>
      <c r="S172" s="36"/>
      <c r="T172" s="36"/>
      <c r="U172" s="34" t="str">
        <f aca="false">IF(F172="","",N(G172)*N(I172))</f>
        <v/>
      </c>
      <c r="V172" s="34" t="str">
        <f aca="false">IF(F172="","",N(G172)*N(J172))</f>
        <v/>
      </c>
      <c r="W172" s="13" t="str">
        <f aca="false">IF(F172="","",IF(B172="Excluded","",COUNTIFS($F$6:F172,"?*",$B$6:B172,"&lt;&gt;Excluded")))</f>
        <v/>
      </c>
      <c r="X172" s="34" t="str">
        <f aca="false">IF(F172="","",N(G172)*N(I172)/(1-IF(K172="",'Job Info'!$B$39,K172))*IF('Job Info'!$B$38="Yes",'Job Info'!$B$37,0))</f>
        <v/>
      </c>
    </row>
    <row r="173" customFormat="false" ht="15" hidden="false" customHeight="false" outlineLevel="0" collapsed="false">
      <c r="A173" s="13" t="str">
        <f aca="false">IF(F173="","",ROW()-5)</f>
        <v/>
      </c>
      <c r="B173" s="14"/>
      <c r="C173" s="14"/>
      <c r="D173" s="14"/>
      <c r="E173" s="14"/>
      <c r="F173" s="36"/>
      <c r="G173" s="37"/>
      <c r="H173" s="14"/>
      <c r="I173" s="38"/>
      <c r="J173" s="38"/>
      <c r="K173" s="33"/>
      <c r="L173" s="33"/>
      <c r="M173" s="34" t="str">
        <f aca="false">IF(F173="","",N(I173)/(1-IF(K173="",'Job Info'!$B$39,K173))*(1+IF('Job Info'!$B$38="Yes",'Job Info'!$B$37,0)))</f>
        <v/>
      </c>
      <c r="N173" s="34" t="str">
        <f aca="false">IF(F173="","",N(J173)/(1-IF(L173="",'Job Info'!$B$40,L173)))</f>
        <v/>
      </c>
      <c r="O173" s="34" t="str">
        <f aca="false">IF(F173="","",M173+N173)</f>
        <v/>
      </c>
      <c r="P173" s="34" t="str">
        <f aca="false">IF(F173="","",N(G173)*M173)</f>
        <v/>
      </c>
      <c r="Q173" s="34" t="str">
        <f aca="false">IF(F173="","",N(G173)*N173)</f>
        <v/>
      </c>
      <c r="R173" s="35" t="str">
        <f aca="false">IF(F173="","",P173+Q173)</f>
        <v/>
      </c>
      <c r="S173" s="36"/>
      <c r="T173" s="36"/>
      <c r="U173" s="34" t="str">
        <f aca="false">IF(F173="","",N(G173)*N(I173))</f>
        <v/>
      </c>
      <c r="V173" s="34" t="str">
        <f aca="false">IF(F173="","",N(G173)*N(J173))</f>
        <v/>
      </c>
      <c r="W173" s="13" t="str">
        <f aca="false">IF(F173="","",IF(B173="Excluded","",COUNTIFS($F$6:F173,"?*",$B$6:B173,"&lt;&gt;Excluded")))</f>
        <v/>
      </c>
      <c r="X173" s="34" t="str">
        <f aca="false">IF(F173="","",N(G173)*N(I173)/(1-IF(K173="",'Job Info'!$B$39,K173))*IF('Job Info'!$B$38="Yes",'Job Info'!$B$37,0))</f>
        <v/>
      </c>
    </row>
    <row r="174" customFormat="false" ht="15" hidden="false" customHeight="false" outlineLevel="0" collapsed="false">
      <c r="A174" s="13" t="str">
        <f aca="false">IF(F174="","",ROW()-5)</f>
        <v/>
      </c>
      <c r="B174" s="14"/>
      <c r="C174" s="14"/>
      <c r="D174" s="14"/>
      <c r="E174" s="14"/>
      <c r="F174" s="36"/>
      <c r="G174" s="37"/>
      <c r="H174" s="14"/>
      <c r="I174" s="38"/>
      <c r="J174" s="38"/>
      <c r="K174" s="33"/>
      <c r="L174" s="33"/>
      <c r="M174" s="34" t="str">
        <f aca="false">IF(F174="","",N(I174)/(1-IF(K174="",'Job Info'!$B$39,K174))*(1+IF('Job Info'!$B$38="Yes",'Job Info'!$B$37,0)))</f>
        <v/>
      </c>
      <c r="N174" s="34" t="str">
        <f aca="false">IF(F174="","",N(J174)/(1-IF(L174="",'Job Info'!$B$40,L174)))</f>
        <v/>
      </c>
      <c r="O174" s="34" t="str">
        <f aca="false">IF(F174="","",M174+N174)</f>
        <v/>
      </c>
      <c r="P174" s="34" t="str">
        <f aca="false">IF(F174="","",N(G174)*M174)</f>
        <v/>
      </c>
      <c r="Q174" s="34" t="str">
        <f aca="false">IF(F174="","",N(G174)*N174)</f>
        <v/>
      </c>
      <c r="R174" s="35" t="str">
        <f aca="false">IF(F174="","",P174+Q174)</f>
        <v/>
      </c>
      <c r="S174" s="36"/>
      <c r="T174" s="36"/>
      <c r="U174" s="34" t="str">
        <f aca="false">IF(F174="","",N(G174)*N(I174))</f>
        <v/>
      </c>
      <c r="V174" s="34" t="str">
        <f aca="false">IF(F174="","",N(G174)*N(J174))</f>
        <v/>
      </c>
      <c r="W174" s="13" t="str">
        <f aca="false">IF(F174="","",IF(B174="Excluded","",COUNTIFS($F$6:F174,"?*",$B$6:B174,"&lt;&gt;Excluded")))</f>
        <v/>
      </c>
      <c r="X174" s="34" t="str">
        <f aca="false">IF(F174="","",N(G174)*N(I174)/(1-IF(K174="",'Job Info'!$B$39,K174))*IF('Job Info'!$B$38="Yes",'Job Info'!$B$37,0))</f>
        <v/>
      </c>
    </row>
    <row r="175" customFormat="false" ht="15" hidden="false" customHeight="false" outlineLevel="0" collapsed="false">
      <c r="A175" s="13" t="str">
        <f aca="false">IF(F175="","",ROW()-5)</f>
        <v/>
      </c>
      <c r="B175" s="14"/>
      <c r="C175" s="14"/>
      <c r="D175" s="14"/>
      <c r="E175" s="14"/>
      <c r="F175" s="36"/>
      <c r="G175" s="37"/>
      <c r="H175" s="14"/>
      <c r="I175" s="38"/>
      <c r="J175" s="38"/>
      <c r="K175" s="33"/>
      <c r="L175" s="33"/>
      <c r="M175" s="34" t="str">
        <f aca="false">IF(F175="","",N(I175)/(1-IF(K175="",'Job Info'!$B$39,K175))*(1+IF('Job Info'!$B$38="Yes",'Job Info'!$B$37,0)))</f>
        <v/>
      </c>
      <c r="N175" s="34" t="str">
        <f aca="false">IF(F175="","",N(J175)/(1-IF(L175="",'Job Info'!$B$40,L175)))</f>
        <v/>
      </c>
      <c r="O175" s="34" t="str">
        <f aca="false">IF(F175="","",M175+N175)</f>
        <v/>
      </c>
      <c r="P175" s="34" t="str">
        <f aca="false">IF(F175="","",N(G175)*M175)</f>
        <v/>
      </c>
      <c r="Q175" s="34" t="str">
        <f aca="false">IF(F175="","",N(G175)*N175)</f>
        <v/>
      </c>
      <c r="R175" s="35" t="str">
        <f aca="false">IF(F175="","",P175+Q175)</f>
        <v/>
      </c>
      <c r="S175" s="36"/>
      <c r="T175" s="36"/>
      <c r="U175" s="34" t="str">
        <f aca="false">IF(F175="","",N(G175)*N(I175))</f>
        <v/>
      </c>
      <c r="V175" s="34" t="str">
        <f aca="false">IF(F175="","",N(G175)*N(J175))</f>
        <v/>
      </c>
      <c r="W175" s="13" t="str">
        <f aca="false">IF(F175="","",IF(B175="Excluded","",COUNTIFS($F$6:F175,"?*",$B$6:B175,"&lt;&gt;Excluded")))</f>
        <v/>
      </c>
      <c r="X175" s="34" t="str">
        <f aca="false">IF(F175="","",N(G175)*N(I175)/(1-IF(K175="",'Job Info'!$B$39,K175))*IF('Job Info'!$B$38="Yes",'Job Info'!$B$37,0))</f>
        <v/>
      </c>
    </row>
    <row r="176" customFormat="false" ht="15" hidden="false" customHeight="false" outlineLevel="0" collapsed="false">
      <c r="A176" s="13" t="str">
        <f aca="false">IF(F176="","",ROW()-5)</f>
        <v/>
      </c>
      <c r="B176" s="14"/>
      <c r="C176" s="14"/>
      <c r="D176" s="14"/>
      <c r="E176" s="14"/>
      <c r="F176" s="36"/>
      <c r="G176" s="37"/>
      <c r="H176" s="14"/>
      <c r="I176" s="38"/>
      <c r="J176" s="38"/>
      <c r="K176" s="33"/>
      <c r="L176" s="33"/>
      <c r="M176" s="34" t="str">
        <f aca="false">IF(F176="","",N(I176)/(1-IF(K176="",'Job Info'!$B$39,K176))*(1+IF('Job Info'!$B$38="Yes",'Job Info'!$B$37,0)))</f>
        <v/>
      </c>
      <c r="N176" s="34" t="str">
        <f aca="false">IF(F176="","",N(J176)/(1-IF(L176="",'Job Info'!$B$40,L176)))</f>
        <v/>
      </c>
      <c r="O176" s="34" t="str">
        <f aca="false">IF(F176="","",M176+N176)</f>
        <v/>
      </c>
      <c r="P176" s="34" t="str">
        <f aca="false">IF(F176="","",N(G176)*M176)</f>
        <v/>
      </c>
      <c r="Q176" s="34" t="str">
        <f aca="false">IF(F176="","",N(G176)*N176)</f>
        <v/>
      </c>
      <c r="R176" s="35" t="str">
        <f aca="false">IF(F176="","",P176+Q176)</f>
        <v/>
      </c>
      <c r="S176" s="36"/>
      <c r="T176" s="36"/>
      <c r="U176" s="34" t="str">
        <f aca="false">IF(F176="","",N(G176)*N(I176))</f>
        <v/>
      </c>
      <c r="V176" s="34" t="str">
        <f aca="false">IF(F176="","",N(G176)*N(J176))</f>
        <v/>
      </c>
      <c r="W176" s="13" t="str">
        <f aca="false">IF(F176="","",IF(B176="Excluded","",COUNTIFS($F$6:F176,"?*",$B$6:B176,"&lt;&gt;Excluded")))</f>
        <v/>
      </c>
      <c r="X176" s="34" t="str">
        <f aca="false">IF(F176="","",N(G176)*N(I176)/(1-IF(K176="",'Job Info'!$B$39,K176))*IF('Job Info'!$B$38="Yes",'Job Info'!$B$37,0))</f>
        <v/>
      </c>
    </row>
    <row r="177" customFormat="false" ht="15" hidden="false" customHeight="false" outlineLevel="0" collapsed="false">
      <c r="A177" s="13" t="str">
        <f aca="false">IF(F177="","",ROW()-5)</f>
        <v/>
      </c>
      <c r="B177" s="14"/>
      <c r="C177" s="14"/>
      <c r="D177" s="14"/>
      <c r="E177" s="14"/>
      <c r="F177" s="36"/>
      <c r="G177" s="37"/>
      <c r="H177" s="14"/>
      <c r="I177" s="38"/>
      <c r="J177" s="38"/>
      <c r="K177" s="33"/>
      <c r="L177" s="33"/>
      <c r="M177" s="34" t="str">
        <f aca="false">IF(F177="","",N(I177)/(1-IF(K177="",'Job Info'!$B$39,K177))*(1+IF('Job Info'!$B$38="Yes",'Job Info'!$B$37,0)))</f>
        <v/>
      </c>
      <c r="N177" s="34" t="str">
        <f aca="false">IF(F177="","",N(J177)/(1-IF(L177="",'Job Info'!$B$40,L177)))</f>
        <v/>
      </c>
      <c r="O177" s="34" t="str">
        <f aca="false">IF(F177="","",M177+N177)</f>
        <v/>
      </c>
      <c r="P177" s="34" t="str">
        <f aca="false">IF(F177="","",N(G177)*M177)</f>
        <v/>
      </c>
      <c r="Q177" s="34" t="str">
        <f aca="false">IF(F177="","",N(G177)*N177)</f>
        <v/>
      </c>
      <c r="R177" s="35" t="str">
        <f aca="false">IF(F177="","",P177+Q177)</f>
        <v/>
      </c>
      <c r="S177" s="36"/>
      <c r="T177" s="36"/>
      <c r="U177" s="34" t="str">
        <f aca="false">IF(F177="","",N(G177)*N(I177))</f>
        <v/>
      </c>
      <c r="V177" s="34" t="str">
        <f aca="false">IF(F177="","",N(G177)*N(J177))</f>
        <v/>
      </c>
      <c r="W177" s="13" t="str">
        <f aca="false">IF(F177="","",IF(B177="Excluded","",COUNTIFS($F$6:F177,"?*",$B$6:B177,"&lt;&gt;Excluded")))</f>
        <v/>
      </c>
      <c r="X177" s="34" t="str">
        <f aca="false">IF(F177="","",N(G177)*N(I177)/(1-IF(K177="",'Job Info'!$B$39,K177))*IF('Job Info'!$B$38="Yes",'Job Info'!$B$37,0))</f>
        <v/>
      </c>
    </row>
    <row r="178" customFormat="false" ht="15" hidden="false" customHeight="false" outlineLevel="0" collapsed="false">
      <c r="A178" s="13" t="str">
        <f aca="false">IF(F178="","",ROW()-5)</f>
        <v/>
      </c>
      <c r="B178" s="14"/>
      <c r="C178" s="14"/>
      <c r="D178" s="14"/>
      <c r="E178" s="14"/>
      <c r="F178" s="36"/>
      <c r="G178" s="37"/>
      <c r="H178" s="14"/>
      <c r="I178" s="38"/>
      <c r="J178" s="38"/>
      <c r="K178" s="33"/>
      <c r="L178" s="33"/>
      <c r="M178" s="34" t="str">
        <f aca="false">IF(F178="","",N(I178)/(1-IF(K178="",'Job Info'!$B$39,K178))*(1+IF('Job Info'!$B$38="Yes",'Job Info'!$B$37,0)))</f>
        <v/>
      </c>
      <c r="N178" s="34" t="str">
        <f aca="false">IF(F178="","",N(J178)/(1-IF(L178="",'Job Info'!$B$40,L178)))</f>
        <v/>
      </c>
      <c r="O178" s="34" t="str">
        <f aca="false">IF(F178="","",M178+N178)</f>
        <v/>
      </c>
      <c r="P178" s="34" t="str">
        <f aca="false">IF(F178="","",N(G178)*M178)</f>
        <v/>
      </c>
      <c r="Q178" s="34" t="str">
        <f aca="false">IF(F178="","",N(G178)*N178)</f>
        <v/>
      </c>
      <c r="R178" s="35" t="str">
        <f aca="false">IF(F178="","",P178+Q178)</f>
        <v/>
      </c>
      <c r="S178" s="36"/>
      <c r="T178" s="36"/>
      <c r="U178" s="34" t="str">
        <f aca="false">IF(F178="","",N(G178)*N(I178))</f>
        <v/>
      </c>
      <c r="V178" s="34" t="str">
        <f aca="false">IF(F178="","",N(G178)*N(J178))</f>
        <v/>
      </c>
      <c r="W178" s="13" t="str">
        <f aca="false">IF(F178="","",IF(B178="Excluded","",COUNTIFS($F$6:F178,"?*",$B$6:B178,"&lt;&gt;Excluded")))</f>
        <v/>
      </c>
      <c r="X178" s="34" t="str">
        <f aca="false">IF(F178="","",N(G178)*N(I178)/(1-IF(K178="",'Job Info'!$B$39,K178))*IF('Job Info'!$B$38="Yes",'Job Info'!$B$37,0))</f>
        <v/>
      </c>
    </row>
    <row r="179" customFormat="false" ht="15" hidden="false" customHeight="false" outlineLevel="0" collapsed="false">
      <c r="A179" s="13" t="str">
        <f aca="false">IF(F179="","",ROW()-5)</f>
        <v/>
      </c>
      <c r="B179" s="14"/>
      <c r="C179" s="14"/>
      <c r="D179" s="14"/>
      <c r="E179" s="14"/>
      <c r="F179" s="36"/>
      <c r="G179" s="37"/>
      <c r="H179" s="14"/>
      <c r="I179" s="38"/>
      <c r="J179" s="38"/>
      <c r="K179" s="33"/>
      <c r="L179" s="33"/>
      <c r="M179" s="34" t="str">
        <f aca="false">IF(F179="","",N(I179)/(1-IF(K179="",'Job Info'!$B$39,K179))*(1+IF('Job Info'!$B$38="Yes",'Job Info'!$B$37,0)))</f>
        <v/>
      </c>
      <c r="N179" s="34" t="str">
        <f aca="false">IF(F179="","",N(J179)/(1-IF(L179="",'Job Info'!$B$40,L179)))</f>
        <v/>
      </c>
      <c r="O179" s="34" t="str">
        <f aca="false">IF(F179="","",M179+N179)</f>
        <v/>
      </c>
      <c r="P179" s="34" t="str">
        <f aca="false">IF(F179="","",N(G179)*M179)</f>
        <v/>
      </c>
      <c r="Q179" s="34" t="str">
        <f aca="false">IF(F179="","",N(G179)*N179)</f>
        <v/>
      </c>
      <c r="R179" s="35" t="str">
        <f aca="false">IF(F179="","",P179+Q179)</f>
        <v/>
      </c>
      <c r="S179" s="36"/>
      <c r="T179" s="36"/>
      <c r="U179" s="34" t="str">
        <f aca="false">IF(F179="","",N(G179)*N(I179))</f>
        <v/>
      </c>
      <c r="V179" s="34" t="str">
        <f aca="false">IF(F179="","",N(G179)*N(J179))</f>
        <v/>
      </c>
      <c r="W179" s="13" t="str">
        <f aca="false">IF(F179="","",IF(B179="Excluded","",COUNTIFS($F$6:F179,"?*",$B$6:B179,"&lt;&gt;Excluded")))</f>
        <v/>
      </c>
      <c r="X179" s="34" t="str">
        <f aca="false">IF(F179="","",N(G179)*N(I179)/(1-IF(K179="",'Job Info'!$B$39,K179))*IF('Job Info'!$B$38="Yes",'Job Info'!$B$37,0))</f>
        <v/>
      </c>
    </row>
    <row r="180" customFormat="false" ht="15" hidden="false" customHeight="false" outlineLevel="0" collapsed="false">
      <c r="A180" s="13" t="str">
        <f aca="false">IF(F180="","",ROW()-5)</f>
        <v/>
      </c>
      <c r="B180" s="14"/>
      <c r="C180" s="14"/>
      <c r="D180" s="14"/>
      <c r="E180" s="14"/>
      <c r="F180" s="36"/>
      <c r="G180" s="37"/>
      <c r="H180" s="14"/>
      <c r="I180" s="38"/>
      <c r="J180" s="38"/>
      <c r="K180" s="33"/>
      <c r="L180" s="33"/>
      <c r="M180" s="34" t="str">
        <f aca="false">IF(F180="","",N(I180)/(1-IF(K180="",'Job Info'!$B$39,K180))*(1+IF('Job Info'!$B$38="Yes",'Job Info'!$B$37,0)))</f>
        <v/>
      </c>
      <c r="N180" s="34" t="str">
        <f aca="false">IF(F180="","",N(J180)/(1-IF(L180="",'Job Info'!$B$40,L180)))</f>
        <v/>
      </c>
      <c r="O180" s="34" t="str">
        <f aca="false">IF(F180="","",M180+N180)</f>
        <v/>
      </c>
      <c r="P180" s="34" t="str">
        <f aca="false">IF(F180="","",N(G180)*M180)</f>
        <v/>
      </c>
      <c r="Q180" s="34" t="str">
        <f aca="false">IF(F180="","",N(G180)*N180)</f>
        <v/>
      </c>
      <c r="R180" s="35" t="str">
        <f aca="false">IF(F180="","",P180+Q180)</f>
        <v/>
      </c>
      <c r="S180" s="36"/>
      <c r="T180" s="36"/>
      <c r="U180" s="34" t="str">
        <f aca="false">IF(F180="","",N(G180)*N(I180))</f>
        <v/>
      </c>
      <c r="V180" s="34" t="str">
        <f aca="false">IF(F180="","",N(G180)*N(J180))</f>
        <v/>
      </c>
      <c r="W180" s="13" t="str">
        <f aca="false">IF(F180="","",IF(B180="Excluded","",COUNTIFS($F$6:F180,"?*",$B$6:B180,"&lt;&gt;Excluded")))</f>
        <v/>
      </c>
      <c r="X180" s="34" t="str">
        <f aca="false">IF(F180="","",N(G180)*N(I180)/(1-IF(K180="",'Job Info'!$B$39,K180))*IF('Job Info'!$B$38="Yes",'Job Info'!$B$37,0))</f>
        <v/>
      </c>
    </row>
    <row r="181" customFormat="false" ht="15" hidden="false" customHeight="false" outlineLevel="0" collapsed="false">
      <c r="A181" s="13" t="str">
        <f aca="false">IF(F181="","",ROW()-5)</f>
        <v/>
      </c>
      <c r="B181" s="14"/>
      <c r="C181" s="14"/>
      <c r="D181" s="14"/>
      <c r="E181" s="14"/>
      <c r="F181" s="36"/>
      <c r="G181" s="37"/>
      <c r="H181" s="14"/>
      <c r="I181" s="38"/>
      <c r="J181" s="38"/>
      <c r="K181" s="33"/>
      <c r="L181" s="33"/>
      <c r="M181" s="34" t="str">
        <f aca="false">IF(F181="","",N(I181)/(1-IF(K181="",'Job Info'!$B$39,K181))*(1+IF('Job Info'!$B$38="Yes",'Job Info'!$B$37,0)))</f>
        <v/>
      </c>
      <c r="N181" s="34" t="str">
        <f aca="false">IF(F181="","",N(J181)/(1-IF(L181="",'Job Info'!$B$40,L181)))</f>
        <v/>
      </c>
      <c r="O181" s="34" t="str">
        <f aca="false">IF(F181="","",M181+N181)</f>
        <v/>
      </c>
      <c r="P181" s="34" t="str">
        <f aca="false">IF(F181="","",N(G181)*M181)</f>
        <v/>
      </c>
      <c r="Q181" s="34" t="str">
        <f aca="false">IF(F181="","",N(G181)*N181)</f>
        <v/>
      </c>
      <c r="R181" s="35" t="str">
        <f aca="false">IF(F181="","",P181+Q181)</f>
        <v/>
      </c>
      <c r="S181" s="36"/>
      <c r="T181" s="36"/>
      <c r="U181" s="34" t="str">
        <f aca="false">IF(F181="","",N(G181)*N(I181))</f>
        <v/>
      </c>
      <c r="V181" s="34" t="str">
        <f aca="false">IF(F181="","",N(G181)*N(J181))</f>
        <v/>
      </c>
      <c r="W181" s="13" t="str">
        <f aca="false">IF(F181="","",IF(B181="Excluded","",COUNTIFS($F$6:F181,"?*",$B$6:B181,"&lt;&gt;Excluded")))</f>
        <v/>
      </c>
      <c r="X181" s="34" t="str">
        <f aca="false">IF(F181="","",N(G181)*N(I181)/(1-IF(K181="",'Job Info'!$B$39,K181))*IF('Job Info'!$B$38="Yes",'Job Info'!$B$37,0))</f>
        <v/>
      </c>
    </row>
    <row r="182" customFormat="false" ht="15" hidden="false" customHeight="false" outlineLevel="0" collapsed="false">
      <c r="A182" s="13" t="str">
        <f aca="false">IF(F182="","",ROW()-5)</f>
        <v/>
      </c>
      <c r="B182" s="14"/>
      <c r="C182" s="14"/>
      <c r="D182" s="14"/>
      <c r="E182" s="14"/>
      <c r="F182" s="36"/>
      <c r="G182" s="37"/>
      <c r="H182" s="14"/>
      <c r="I182" s="38"/>
      <c r="J182" s="38"/>
      <c r="K182" s="33"/>
      <c r="L182" s="33"/>
      <c r="M182" s="34" t="str">
        <f aca="false">IF(F182="","",N(I182)/(1-IF(K182="",'Job Info'!$B$39,K182))*(1+IF('Job Info'!$B$38="Yes",'Job Info'!$B$37,0)))</f>
        <v/>
      </c>
      <c r="N182" s="34" t="str">
        <f aca="false">IF(F182="","",N(J182)/(1-IF(L182="",'Job Info'!$B$40,L182)))</f>
        <v/>
      </c>
      <c r="O182" s="34" t="str">
        <f aca="false">IF(F182="","",M182+N182)</f>
        <v/>
      </c>
      <c r="P182" s="34" t="str">
        <f aca="false">IF(F182="","",N(G182)*M182)</f>
        <v/>
      </c>
      <c r="Q182" s="34" t="str">
        <f aca="false">IF(F182="","",N(G182)*N182)</f>
        <v/>
      </c>
      <c r="R182" s="35" t="str">
        <f aca="false">IF(F182="","",P182+Q182)</f>
        <v/>
      </c>
      <c r="S182" s="36"/>
      <c r="T182" s="36"/>
      <c r="U182" s="34" t="str">
        <f aca="false">IF(F182="","",N(G182)*N(I182))</f>
        <v/>
      </c>
      <c r="V182" s="34" t="str">
        <f aca="false">IF(F182="","",N(G182)*N(J182))</f>
        <v/>
      </c>
      <c r="W182" s="13" t="str">
        <f aca="false">IF(F182="","",IF(B182="Excluded","",COUNTIFS($F$6:F182,"?*",$B$6:B182,"&lt;&gt;Excluded")))</f>
        <v/>
      </c>
      <c r="X182" s="34" t="str">
        <f aca="false">IF(F182="","",N(G182)*N(I182)/(1-IF(K182="",'Job Info'!$B$39,K182))*IF('Job Info'!$B$38="Yes",'Job Info'!$B$37,0))</f>
        <v/>
      </c>
    </row>
    <row r="183" customFormat="false" ht="15" hidden="false" customHeight="false" outlineLevel="0" collapsed="false">
      <c r="A183" s="13" t="str">
        <f aca="false">IF(F183="","",ROW()-5)</f>
        <v/>
      </c>
      <c r="B183" s="14"/>
      <c r="C183" s="14"/>
      <c r="D183" s="14"/>
      <c r="E183" s="14"/>
      <c r="F183" s="36"/>
      <c r="G183" s="37"/>
      <c r="H183" s="14"/>
      <c r="I183" s="38"/>
      <c r="J183" s="38"/>
      <c r="K183" s="33"/>
      <c r="L183" s="33"/>
      <c r="M183" s="34" t="str">
        <f aca="false">IF(F183="","",N(I183)/(1-IF(K183="",'Job Info'!$B$39,K183))*(1+IF('Job Info'!$B$38="Yes",'Job Info'!$B$37,0)))</f>
        <v/>
      </c>
      <c r="N183" s="34" t="str">
        <f aca="false">IF(F183="","",N(J183)/(1-IF(L183="",'Job Info'!$B$40,L183)))</f>
        <v/>
      </c>
      <c r="O183" s="34" t="str">
        <f aca="false">IF(F183="","",M183+N183)</f>
        <v/>
      </c>
      <c r="P183" s="34" t="str">
        <f aca="false">IF(F183="","",N(G183)*M183)</f>
        <v/>
      </c>
      <c r="Q183" s="34" t="str">
        <f aca="false">IF(F183="","",N(G183)*N183)</f>
        <v/>
      </c>
      <c r="R183" s="35" t="str">
        <f aca="false">IF(F183="","",P183+Q183)</f>
        <v/>
      </c>
      <c r="S183" s="36"/>
      <c r="T183" s="36"/>
      <c r="U183" s="34" t="str">
        <f aca="false">IF(F183="","",N(G183)*N(I183))</f>
        <v/>
      </c>
      <c r="V183" s="34" t="str">
        <f aca="false">IF(F183="","",N(G183)*N(J183))</f>
        <v/>
      </c>
      <c r="W183" s="13" t="str">
        <f aca="false">IF(F183="","",IF(B183="Excluded","",COUNTIFS($F$6:F183,"?*",$B$6:B183,"&lt;&gt;Excluded")))</f>
        <v/>
      </c>
      <c r="X183" s="34" t="str">
        <f aca="false">IF(F183="","",N(G183)*N(I183)/(1-IF(K183="",'Job Info'!$B$39,K183))*IF('Job Info'!$B$38="Yes",'Job Info'!$B$37,0))</f>
        <v/>
      </c>
    </row>
    <row r="184" customFormat="false" ht="15" hidden="false" customHeight="false" outlineLevel="0" collapsed="false">
      <c r="A184" s="13" t="str">
        <f aca="false">IF(F184="","",ROW()-5)</f>
        <v/>
      </c>
      <c r="B184" s="14"/>
      <c r="C184" s="14"/>
      <c r="D184" s="14"/>
      <c r="E184" s="14"/>
      <c r="F184" s="36"/>
      <c r="G184" s="37"/>
      <c r="H184" s="14"/>
      <c r="I184" s="38"/>
      <c r="J184" s="38"/>
      <c r="K184" s="33"/>
      <c r="L184" s="33"/>
      <c r="M184" s="34" t="str">
        <f aca="false">IF(F184="","",N(I184)/(1-IF(K184="",'Job Info'!$B$39,K184))*(1+IF('Job Info'!$B$38="Yes",'Job Info'!$B$37,0)))</f>
        <v/>
      </c>
      <c r="N184" s="34" t="str">
        <f aca="false">IF(F184="","",N(J184)/(1-IF(L184="",'Job Info'!$B$40,L184)))</f>
        <v/>
      </c>
      <c r="O184" s="34" t="str">
        <f aca="false">IF(F184="","",M184+N184)</f>
        <v/>
      </c>
      <c r="P184" s="34" t="str">
        <f aca="false">IF(F184="","",N(G184)*M184)</f>
        <v/>
      </c>
      <c r="Q184" s="34" t="str">
        <f aca="false">IF(F184="","",N(G184)*N184)</f>
        <v/>
      </c>
      <c r="R184" s="35" t="str">
        <f aca="false">IF(F184="","",P184+Q184)</f>
        <v/>
      </c>
      <c r="S184" s="36"/>
      <c r="T184" s="36"/>
      <c r="U184" s="34" t="str">
        <f aca="false">IF(F184="","",N(G184)*N(I184))</f>
        <v/>
      </c>
      <c r="V184" s="34" t="str">
        <f aca="false">IF(F184="","",N(G184)*N(J184))</f>
        <v/>
      </c>
      <c r="W184" s="13" t="str">
        <f aca="false">IF(F184="","",IF(B184="Excluded","",COUNTIFS($F$6:F184,"?*",$B$6:B184,"&lt;&gt;Excluded")))</f>
        <v/>
      </c>
      <c r="X184" s="34" t="str">
        <f aca="false">IF(F184="","",N(G184)*N(I184)/(1-IF(K184="",'Job Info'!$B$39,K184))*IF('Job Info'!$B$38="Yes",'Job Info'!$B$37,0))</f>
        <v/>
      </c>
    </row>
    <row r="185" customFormat="false" ht="15" hidden="false" customHeight="false" outlineLevel="0" collapsed="false">
      <c r="A185" s="13" t="str">
        <f aca="false">IF(F185="","",ROW()-5)</f>
        <v/>
      </c>
      <c r="B185" s="14"/>
      <c r="C185" s="14"/>
      <c r="D185" s="14"/>
      <c r="E185" s="14"/>
      <c r="F185" s="36"/>
      <c r="G185" s="37"/>
      <c r="H185" s="14"/>
      <c r="I185" s="38"/>
      <c r="J185" s="38"/>
      <c r="K185" s="33"/>
      <c r="L185" s="33"/>
      <c r="M185" s="34" t="str">
        <f aca="false">IF(F185="","",N(I185)/(1-IF(K185="",'Job Info'!$B$39,K185))*(1+IF('Job Info'!$B$38="Yes",'Job Info'!$B$37,0)))</f>
        <v/>
      </c>
      <c r="N185" s="34" t="str">
        <f aca="false">IF(F185="","",N(J185)/(1-IF(L185="",'Job Info'!$B$40,L185)))</f>
        <v/>
      </c>
      <c r="O185" s="34" t="str">
        <f aca="false">IF(F185="","",M185+N185)</f>
        <v/>
      </c>
      <c r="P185" s="34" t="str">
        <f aca="false">IF(F185="","",N(G185)*M185)</f>
        <v/>
      </c>
      <c r="Q185" s="34" t="str">
        <f aca="false">IF(F185="","",N(G185)*N185)</f>
        <v/>
      </c>
      <c r="R185" s="35" t="str">
        <f aca="false">IF(F185="","",P185+Q185)</f>
        <v/>
      </c>
      <c r="S185" s="36"/>
      <c r="T185" s="36"/>
      <c r="U185" s="34" t="str">
        <f aca="false">IF(F185="","",N(G185)*N(I185))</f>
        <v/>
      </c>
      <c r="V185" s="34" t="str">
        <f aca="false">IF(F185="","",N(G185)*N(J185))</f>
        <v/>
      </c>
      <c r="W185" s="13" t="str">
        <f aca="false">IF(F185="","",IF(B185="Excluded","",COUNTIFS($F$6:F185,"?*",$B$6:B185,"&lt;&gt;Excluded")))</f>
        <v/>
      </c>
      <c r="X185" s="34" t="str">
        <f aca="false">IF(F185="","",N(G185)*N(I185)/(1-IF(K185="",'Job Info'!$B$39,K185))*IF('Job Info'!$B$38="Yes",'Job Info'!$B$37,0))</f>
        <v/>
      </c>
    </row>
    <row r="186" customFormat="false" ht="15" hidden="false" customHeight="false" outlineLevel="0" collapsed="false">
      <c r="A186" s="13" t="str">
        <f aca="false">IF(F186="","",ROW()-5)</f>
        <v/>
      </c>
      <c r="B186" s="14"/>
      <c r="C186" s="14"/>
      <c r="D186" s="14"/>
      <c r="E186" s="14"/>
      <c r="F186" s="36"/>
      <c r="G186" s="37"/>
      <c r="H186" s="14"/>
      <c r="I186" s="38"/>
      <c r="J186" s="38"/>
      <c r="K186" s="33"/>
      <c r="L186" s="33"/>
      <c r="M186" s="34" t="str">
        <f aca="false">IF(F186="","",N(I186)/(1-IF(K186="",'Job Info'!$B$39,K186))*(1+IF('Job Info'!$B$38="Yes",'Job Info'!$B$37,0)))</f>
        <v/>
      </c>
      <c r="N186" s="34" t="str">
        <f aca="false">IF(F186="","",N(J186)/(1-IF(L186="",'Job Info'!$B$40,L186)))</f>
        <v/>
      </c>
      <c r="O186" s="34" t="str">
        <f aca="false">IF(F186="","",M186+N186)</f>
        <v/>
      </c>
      <c r="P186" s="34" t="str">
        <f aca="false">IF(F186="","",N(G186)*M186)</f>
        <v/>
      </c>
      <c r="Q186" s="34" t="str">
        <f aca="false">IF(F186="","",N(G186)*N186)</f>
        <v/>
      </c>
      <c r="R186" s="35" t="str">
        <f aca="false">IF(F186="","",P186+Q186)</f>
        <v/>
      </c>
      <c r="S186" s="36"/>
      <c r="T186" s="36"/>
      <c r="U186" s="34" t="str">
        <f aca="false">IF(F186="","",N(G186)*N(I186))</f>
        <v/>
      </c>
      <c r="V186" s="34" t="str">
        <f aca="false">IF(F186="","",N(G186)*N(J186))</f>
        <v/>
      </c>
      <c r="W186" s="13" t="str">
        <f aca="false">IF(F186="","",IF(B186="Excluded","",COUNTIFS($F$6:F186,"?*",$B$6:B186,"&lt;&gt;Excluded")))</f>
        <v/>
      </c>
      <c r="X186" s="34" t="str">
        <f aca="false">IF(F186="","",N(G186)*N(I186)/(1-IF(K186="",'Job Info'!$B$39,K186))*IF('Job Info'!$B$38="Yes",'Job Info'!$B$37,0))</f>
        <v/>
      </c>
    </row>
    <row r="187" customFormat="false" ht="15" hidden="false" customHeight="false" outlineLevel="0" collapsed="false">
      <c r="A187" s="13" t="str">
        <f aca="false">IF(F187="","",ROW()-5)</f>
        <v/>
      </c>
      <c r="B187" s="14"/>
      <c r="C187" s="14"/>
      <c r="D187" s="14"/>
      <c r="E187" s="14"/>
      <c r="F187" s="36"/>
      <c r="G187" s="37"/>
      <c r="H187" s="14"/>
      <c r="I187" s="38"/>
      <c r="J187" s="38"/>
      <c r="K187" s="33"/>
      <c r="L187" s="33"/>
      <c r="M187" s="34" t="str">
        <f aca="false">IF(F187="","",N(I187)/(1-IF(K187="",'Job Info'!$B$39,K187))*(1+IF('Job Info'!$B$38="Yes",'Job Info'!$B$37,0)))</f>
        <v/>
      </c>
      <c r="N187" s="34" t="str">
        <f aca="false">IF(F187="","",N(J187)/(1-IF(L187="",'Job Info'!$B$40,L187)))</f>
        <v/>
      </c>
      <c r="O187" s="34" t="str">
        <f aca="false">IF(F187="","",M187+N187)</f>
        <v/>
      </c>
      <c r="P187" s="34" t="str">
        <f aca="false">IF(F187="","",N(G187)*M187)</f>
        <v/>
      </c>
      <c r="Q187" s="34" t="str">
        <f aca="false">IF(F187="","",N(G187)*N187)</f>
        <v/>
      </c>
      <c r="R187" s="35" t="str">
        <f aca="false">IF(F187="","",P187+Q187)</f>
        <v/>
      </c>
      <c r="S187" s="36"/>
      <c r="T187" s="36"/>
      <c r="U187" s="34" t="str">
        <f aca="false">IF(F187="","",N(G187)*N(I187))</f>
        <v/>
      </c>
      <c r="V187" s="34" t="str">
        <f aca="false">IF(F187="","",N(G187)*N(J187))</f>
        <v/>
      </c>
      <c r="W187" s="13" t="str">
        <f aca="false">IF(F187="","",IF(B187="Excluded","",COUNTIFS($F$6:F187,"?*",$B$6:B187,"&lt;&gt;Excluded")))</f>
        <v/>
      </c>
      <c r="X187" s="34" t="str">
        <f aca="false">IF(F187="","",N(G187)*N(I187)/(1-IF(K187="",'Job Info'!$B$39,K187))*IF('Job Info'!$B$38="Yes",'Job Info'!$B$37,0))</f>
        <v/>
      </c>
    </row>
    <row r="188" customFormat="false" ht="15" hidden="false" customHeight="false" outlineLevel="0" collapsed="false">
      <c r="A188" s="13" t="str">
        <f aca="false">IF(F188="","",ROW()-5)</f>
        <v/>
      </c>
      <c r="B188" s="14"/>
      <c r="C188" s="14"/>
      <c r="D188" s="14"/>
      <c r="E188" s="14"/>
      <c r="F188" s="36"/>
      <c r="G188" s="37"/>
      <c r="H188" s="14"/>
      <c r="I188" s="38"/>
      <c r="J188" s="38"/>
      <c r="K188" s="33"/>
      <c r="L188" s="33"/>
      <c r="M188" s="34" t="str">
        <f aca="false">IF(F188="","",N(I188)/(1-IF(K188="",'Job Info'!$B$39,K188))*(1+IF('Job Info'!$B$38="Yes",'Job Info'!$B$37,0)))</f>
        <v/>
      </c>
      <c r="N188" s="34" t="str">
        <f aca="false">IF(F188="","",N(J188)/(1-IF(L188="",'Job Info'!$B$40,L188)))</f>
        <v/>
      </c>
      <c r="O188" s="34" t="str">
        <f aca="false">IF(F188="","",M188+N188)</f>
        <v/>
      </c>
      <c r="P188" s="34" t="str">
        <f aca="false">IF(F188="","",N(G188)*M188)</f>
        <v/>
      </c>
      <c r="Q188" s="34" t="str">
        <f aca="false">IF(F188="","",N(G188)*N188)</f>
        <v/>
      </c>
      <c r="R188" s="35" t="str">
        <f aca="false">IF(F188="","",P188+Q188)</f>
        <v/>
      </c>
      <c r="S188" s="36"/>
      <c r="T188" s="36"/>
      <c r="U188" s="34" t="str">
        <f aca="false">IF(F188="","",N(G188)*N(I188))</f>
        <v/>
      </c>
      <c r="V188" s="34" t="str">
        <f aca="false">IF(F188="","",N(G188)*N(J188))</f>
        <v/>
      </c>
      <c r="W188" s="13" t="str">
        <f aca="false">IF(F188="","",IF(B188="Excluded","",COUNTIFS($F$6:F188,"?*",$B$6:B188,"&lt;&gt;Excluded")))</f>
        <v/>
      </c>
      <c r="X188" s="34" t="str">
        <f aca="false">IF(F188="","",N(G188)*N(I188)/(1-IF(K188="",'Job Info'!$B$39,K188))*IF('Job Info'!$B$38="Yes",'Job Info'!$B$37,0))</f>
        <v/>
      </c>
    </row>
    <row r="189" customFormat="false" ht="15" hidden="false" customHeight="false" outlineLevel="0" collapsed="false">
      <c r="A189" s="13" t="str">
        <f aca="false">IF(F189="","",ROW()-5)</f>
        <v/>
      </c>
      <c r="B189" s="14"/>
      <c r="C189" s="14"/>
      <c r="D189" s="14"/>
      <c r="E189" s="14"/>
      <c r="F189" s="36"/>
      <c r="G189" s="37"/>
      <c r="H189" s="14"/>
      <c r="I189" s="38"/>
      <c r="J189" s="38"/>
      <c r="K189" s="33"/>
      <c r="L189" s="33"/>
      <c r="M189" s="34" t="str">
        <f aca="false">IF(F189="","",N(I189)/(1-IF(K189="",'Job Info'!$B$39,K189))*(1+IF('Job Info'!$B$38="Yes",'Job Info'!$B$37,0)))</f>
        <v/>
      </c>
      <c r="N189" s="34" t="str">
        <f aca="false">IF(F189="","",N(J189)/(1-IF(L189="",'Job Info'!$B$40,L189)))</f>
        <v/>
      </c>
      <c r="O189" s="34" t="str">
        <f aca="false">IF(F189="","",M189+N189)</f>
        <v/>
      </c>
      <c r="P189" s="34" t="str">
        <f aca="false">IF(F189="","",N(G189)*M189)</f>
        <v/>
      </c>
      <c r="Q189" s="34" t="str">
        <f aca="false">IF(F189="","",N(G189)*N189)</f>
        <v/>
      </c>
      <c r="R189" s="35" t="str">
        <f aca="false">IF(F189="","",P189+Q189)</f>
        <v/>
      </c>
      <c r="S189" s="36"/>
      <c r="T189" s="36"/>
      <c r="U189" s="34" t="str">
        <f aca="false">IF(F189="","",N(G189)*N(I189))</f>
        <v/>
      </c>
      <c r="V189" s="34" t="str">
        <f aca="false">IF(F189="","",N(G189)*N(J189))</f>
        <v/>
      </c>
      <c r="W189" s="13" t="str">
        <f aca="false">IF(F189="","",IF(B189="Excluded","",COUNTIFS($F$6:F189,"?*",$B$6:B189,"&lt;&gt;Excluded")))</f>
        <v/>
      </c>
      <c r="X189" s="34" t="str">
        <f aca="false">IF(F189="","",N(G189)*N(I189)/(1-IF(K189="",'Job Info'!$B$39,K189))*IF('Job Info'!$B$38="Yes",'Job Info'!$B$37,0))</f>
        <v/>
      </c>
    </row>
    <row r="190" customFormat="false" ht="15" hidden="false" customHeight="false" outlineLevel="0" collapsed="false">
      <c r="A190" s="13" t="str">
        <f aca="false">IF(F190="","",ROW()-5)</f>
        <v/>
      </c>
      <c r="B190" s="14"/>
      <c r="C190" s="14"/>
      <c r="D190" s="14"/>
      <c r="E190" s="14"/>
      <c r="F190" s="36"/>
      <c r="G190" s="37"/>
      <c r="H190" s="14"/>
      <c r="I190" s="38"/>
      <c r="J190" s="38"/>
      <c r="K190" s="33"/>
      <c r="L190" s="33"/>
      <c r="M190" s="34" t="str">
        <f aca="false">IF(F190="","",N(I190)/(1-IF(K190="",'Job Info'!$B$39,K190))*(1+IF('Job Info'!$B$38="Yes",'Job Info'!$B$37,0)))</f>
        <v/>
      </c>
      <c r="N190" s="34" t="str">
        <f aca="false">IF(F190="","",N(J190)/(1-IF(L190="",'Job Info'!$B$40,L190)))</f>
        <v/>
      </c>
      <c r="O190" s="34" t="str">
        <f aca="false">IF(F190="","",M190+N190)</f>
        <v/>
      </c>
      <c r="P190" s="34" t="str">
        <f aca="false">IF(F190="","",N(G190)*M190)</f>
        <v/>
      </c>
      <c r="Q190" s="34" t="str">
        <f aca="false">IF(F190="","",N(G190)*N190)</f>
        <v/>
      </c>
      <c r="R190" s="35" t="str">
        <f aca="false">IF(F190="","",P190+Q190)</f>
        <v/>
      </c>
      <c r="S190" s="36"/>
      <c r="T190" s="36"/>
      <c r="U190" s="34" t="str">
        <f aca="false">IF(F190="","",N(G190)*N(I190))</f>
        <v/>
      </c>
      <c r="V190" s="34" t="str">
        <f aca="false">IF(F190="","",N(G190)*N(J190))</f>
        <v/>
      </c>
      <c r="W190" s="13" t="str">
        <f aca="false">IF(F190="","",IF(B190="Excluded","",COUNTIFS($F$6:F190,"?*",$B$6:B190,"&lt;&gt;Excluded")))</f>
        <v/>
      </c>
      <c r="X190" s="34" t="str">
        <f aca="false">IF(F190="","",N(G190)*N(I190)/(1-IF(K190="",'Job Info'!$B$39,K190))*IF('Job Info'!$B$38="Yes",'Job Info'!$B$37,0))</f>
        <v/>
      </c>
    </row>
    <row r="191" customFormat="false" ht="15" hidden="false" customHeight="false" outlineLevel="0" collapsed="false">
      <c r="A191" s="13" t="str">
        <f aca="false">IF(F191="","",ROW()-5)</f>
        <v/>
      </c>
      <c r="B191" s="14"/>
      <c r="C191" s="14"/>
      <c r="D191" s="14"/>
      <c r="E191" s="14"/>
      <c r="F191" s="36"/>
      <c r="G191" s="37"/>
      <c r="H191" s="14"/>
      <c r="I191" s="38"/>
      <c r="J191" s="38"/>
      <c r="K191" s="33"/>
      <c r="L191" s="33"/>
      <c r="M191" s="34" t="str">
        <f aca="false">IF(F191="","",N(I191)/(1-IF(K191="",'Job Info'!$B$39,K191))*(1+IF('Job Info'!$B$38="Yes",'Job Info'!$B$37,0)))</f>
        <v/>
      </c>
      <c r="N191" s="34" t="str">
        <f aca="false">IF(F191="","",N(J191)/(1-IF(L191="",'Job Info'!$B$40,L191)))</f>
        <v/>
      </c>
      <c r="O191" s="34" t="str">
        <f aca="false">IF(F191="","",M191+N191)</f>
        <v/>
      </c>
      <c r="P191" s="34" t="str">
        <f aca="false">IF(F191="","",N(G191)*M191)</f>
        <v/>
      </c>
      <c r="Q191" s="34" t="str">
        <f aca="false">IF(F191="","",N(G191)*N191)</f>
        <v/>
      </c>
      <c r="R191" s="35" t="str">
        <f aca="false">IF(F191="","",P191+Q191)</f>
        <v/>
      </c>
      <c r="S191" s="36"/>
      <c r="T191" s="36"/>
      <c r="U191" s="34" t="str">
        <f aca="false">IF(F191="","",N(G191)*N(I191))</f>
        <v/>
      </c>
      <c r="V191" s="34" t="str">
        <f aca="false">IF(F191="","",N(G191)*N(J191))</f>
        <v/>
      </c>
      <c r="W191" s="13" t="str">
        <f aca="false">IF(F191="","",IF(B191="Excluded","",COUNTIFS($F$6:F191,"?*",$B$6:B191,"&lt;&gt;Excluded")))</f>
        <v/>
      </c>
      <c r="X191" s="34" t="str">
        <f aca="false">IF(F191="","",N(G191)*N(I191)/(1-IF(K191="",'Job Info'!$B$39,K191))*IF('Job Info'!$B$38="Yes",'Job Info'!$B$37,0))</f>
        <v/>
      </c>
    </row>
    <row r="192" customFormat="false" ht="15" hidden="false" customHeight="false" outlineLevel="0" collapsed="false">
      <c r="A192" s="13" t="str">
        <f aca="false">IF(F192="","",ROW()-5)</f>
        <v/>
      </c>
      <c r="B192" s="14"/>
      <c r="C192" s="14"/>
      <c r="D192" s="14"/>
      <c r="E192" s="14"/>
      <c r="F192" s="36"/>
      <c r="G192" s="37"/>
      <c r="H192" s="14"/>
      <c r="I192" s="38"/>
      <c r="J192" s="38"/>
      <c r="K192" s="33"/>
      <c r="L192" s="33"/>
      <c r="M192" s="34" t="str">
        <f aca="false">IF(F192="","",N(I192)/(1-IF(K192="",'Job Info'!$B$39,K192))*(1+IF('Job Info'!$B$38="Yes",'Job Info'!$B$37,0)))</f>
        <v/>
      </c>
      <c r="N192" s="34" t="str">
        <f aca="false">IF(F192="","",N(J192)/(1-IF(L192="",'Job Info'!$B$40,L192)))</f>
        <v/>
      </c>
      <c r="O192" s="34" t="str">
        <f aca="false">IF(F192="","",M192+N192)</f>
        <v/>
      </c>
      <c r="P192" s="34" t="str">
        <f aca="false">IF(F192="","",N(G192)*M192)</f>
        <v/>
      </c>
      <c r="Q192" s="34" t="str">
        <f aca="false">IF(F192="","",N(G192)*N192)</f>
        <v/>
      </c>
      <c r="R192" s="35" t="str">
        <f aca="false">IF(F192="","",P192+Q192)</f>
        <v/>
      </c>
      <c r="S192" s="36"/>
      <c r="T192" s="36"/>
      <c r="U192" s="34" t="str">
        <f aca="false">IF(F192="","",N(G192)*N(I192))</f>
        <v/>
      </c>
      <c r="V192" s="34" t="str">
        <f aca="false">IF(F192="","",N(G192)*N(J192))</f>
        <v/>
      </c>
      <c r="W192" s="13" t="str">
        <f aca="false">IF(F192="","",IF(B192="Excluded","",COUNTIFS($F$6:F192,"?*",$B$6:B192,"&lt;&gt;Excluded")))</f>
        <v/>
      </c>
      <c r="X192" s="34" t="str">
        <f aca="false">IF(F192="","",N(G192)*N(I192)/(1-IF(K192="",'Job Info'!$B$39,K192))*IF('Job Info'!$B$38="Yes",'Job Info'!$B$37,0))</f>
        <v/>
      </c>
    </row>
    <row r="193" customFormat="false" ht="15" hidden="false" customHeight="false" outlineLevel="0" collapsed="false">
      <c r="A193" s="13" t="str">
        <f aca="false">IF(F193="","",ROW()-5)</f>
        <v/>
      </c>
      <c r="B193" s="14"/>
      <c r="C193" s="14"/>
      <c r="D193" s="14"/>
      <c r="E193" s="14"/>
      <c r="F193" s="36"/>
      <c r="G193" s="37"/>
      <c r="H193" s="14"/>
      <c r="I193" s="38"/>
      <c r="J193" s="38"/>
      <c r="K193" s="33"/>
      <c r="L193" s="33"/>
      <c r="M193" s="34" t="str">
        <f aca="false">IF(F193="","",N(I193)/(1-IF(K193="",'Job Info'!$B$39,K193))*(1+IF('Job Info'!$B$38="Yes",'Job Info'!$B$37,0)))</f>
        <v/>
      </c>
      <c r="N193" s="34" t="str">
        <f aca="false">IF(F193="","",N(J193)/(1-IF(L193="",'Job Info'!$B$40,L193)))</f>
        <v/>
      </c>
      <c r="O193" s="34" t="str">
        <f aca="false">IF(F193="","",M193+N193)</f>
        <v/>
      </c>
      <c r="P193" s="34" t="str">
        <f aca="false">IF(F193="","",N(G193)*M193)</f>
        <v/>
      </c>
      <c r="Q193" s="34" t="str">
        <f aca="false">IF(F193="","",N(G193)*N193)</f>
        <v/>
      </c>
      <c r="R193" s="35" t="str">
        <f aca="false">IF(F193="","",P193+Q193)</f>
        <v/>
      </c>
      <c r="S193" s="36"/>
      <c r="T193" s="36"/>
      <c r="U193" s="34" t="str">
        <f aca="false">IF(F193="","",N(G193)*N(I193))</f>
        <v/>
      </c>
      <c r="V193" s="34" t="str">
        <f aca="false">IF(F193="","",N(G193)*N(J193))</f>
        <v/>
      </c>
      <c r="W193" s="13" t="str">
        <f aca="false">IF(F193="","",IF(B193="Excluded","",COUNTIFS($F$6:F193,"?*",$B$6:B193,"&lt;&gt;Excluded")))</f>
        <v/>
      </c>
      <c r="X193" s="34" t="str">
        <f aca="false">IF(F193="","",N(G193)*N(I193)/(1-IF(K193="",'Job Info'!$B$39,K193))*IF('Job Info'!$B$38="Yes",'Job Info'!$B$37,0))</f>
        <v/>
      </c>
    </row>
    <row r="194" customFormat="false" ht="15" hidden="false" customHeight="false" outlineLevel="0" collapsed="false">
      <c r="A194" s="13" t="str">
        <f aca="false">IF(F194="","",ROW()-5)</f>
        <v/>
      </c>
      <c r="B194" s="14"/>
      <c r="C194" s="14"/>
      <c r="D194" s="14"/>
      <c r="E194" s="14"/>
      <c r="F194" s="36"/>
      <c r="G194" s="37"/>
      <c r="H194" s="14"/>
      <c r="I194" s="38"/>
      <c r="J194" s="38"/>
      <c r="K194" s="33"/>
      <c r="L194" s="33"/>
      <c r="M194" s="34" t="str">
        <f aca="false">IF(F194="","",N(I194)/(1-IF(K194="",'Job Info'!$B$39,K194))*(1+IF('Job Info'!$B$38="Yes",'Job Info'!$B$37,0)))</f>
        <v/>
      </c>
      <c r="N194" s="34" t="str">
        <f aca="false">IF(F194="","",N(J194)/(1-IF(L194="",'Job Info'!$B$40,L194)))</f>
        <v/>
      </c>
      <c r="O194" s="34" t="str">
        <f aca="false">IF(F194="","",M194+N194)</f>
        <v/>
      </c>
      <c r="P194" s="34" t="str">
        <f aca="false">IF(F194="","",N(G194)*M194)</f>
        <v/>
      </c>
      <c r="Q194" s="34" t="str">
        <f aca="false">IF(F194="","",N(G194)*N194)</f>
        <v/>
      </c>
      <c r="R194" s="35" t="str">
        <f aca="false">IF(F194="","",P194+Q194)</f>
        <v/>
      </c>
      <c r="S194" s="36"/>
      <c r="T194" s="36"/>
      <c r="U194" s="34" t="str">
        <f aca="false">IF(F194="","",N(G194)*N(I194))</f>
        <v/>
      </c>
      <c r="V194" s="34" t="str">
        <f aca="false">IF(F194="","",N(G194)*N(J194))</f>
        <v/>
      </c>
      <c r="W194" s="13" t="str">
        <f aca="false">IF(F194="","",IF(B194="Excluded","",COUNTIFS($F$6:F194,"?*",$B$6:B194,"&lt;&gt;Excluded")))</f>
        <v/>
      </c>
      <c r="X194" s="34" t="str">
        <f aca="false">IF(F194="","",N(G194)*N(I194)/(1-IF(K194="",'Job Info'!$B$39,K194))*IF('Job Info'!$B$38="Yes",'Job Info'!$B$37,0))</f>
        <v/>
      </c>
    </row>
    <row r="195" customFormat="false" ht="15" hidden="false" customHeight="false" outlineLevel="0" collapsed="false">
      <c r="A195" s="13" t="str">
        <f aca="false">IF(F195="","",ROW()-5)</f>
        <v/>
      </c>
      <c r="B195" s="14"/>
      <c r="C195" s="14"/>
      <c r="D195" s="14"/>
      <c r="E195" s="14"/>
      <c r="F195" s="36"/>
      <c r="G195" s="37"/>
      <c r="H195" s="14"/>
      <c r="I195" s="38"/>
      <c r="J195" s="38"/>
      <c r="K195" s="33"/>
      <c r="L195" s="33"/>
      <c r="M195" s="34" t="str">
        <f aca="false">IF(F195="","",N(I195)/(1-IF(K195="",'Job Info'!$B$39,K195))*(1+IF('Job Info'!$B$38="Yes",'Job Info'!$B$37,0)))</f>
        <v/>
      </c>
      <c r="N195" s="34" t="str">
        <f aca="false">IF(F195="","",N(J195)/(1-IF(L195="",'Job Info'!$B$40,L195)))</f>
        <v/>
      </c>
      <c r="O195" s="34" t="str">
        <f aca="false">IF(F195="","",M195+N195)</f>
        <v/>
      </c>
      <c r="P195" s="34" t="str">
        <f aca="false">IF(F195="","",N(G195)*M195)</f>
        <v/>
      </c>
      <c r="Q195" s="34" t="str">
        <f aca="false">IF(F195="","",N(G195)*N195)</f>
        <v/>
      </c>
      <c r="R195" s="35" t="str">
        <f aca="false">IF(F195="","",P195+Q195)</f>
        <v/>
      </c>
      <c r="S195" s="36"/>
      <c r="T195" s="36"/>
      <c r="U195" s="34" t="str">
        <f aca="false">IF(F195="","",N(G195)*N(I195))</f>
        <v/>
      </c>
      <c r="V195" s="34" t="str">
        <f aca="false">IF(F195="","",N(G195)*N(J195))</f>
        <v/>
      </c>
      <c r="W195" s="13" t="str">
        <f aca="false">IF(F195="","",IF(B195="Excluded","",COUNTIFS($F$6:F195,"?*",$B$6:B195,"&lt;&gt;Excluded")))</f>
        <v/>
      </c>
      <c r="X195" s="34" t="str">
        <f aca="false">IF(F195="","",N(G195)*N(I195)/(1-IF(K195="",'Job Info'!$B$39,K195))*IF('Job Info'!$B$38="Yes",'Job Info'!$B$37,0))</f>
        <v/>
      </c>
    </row>
    <row r="196" customFormat="false" ht="15" hidden="false" customHeight="false" outlineLevel="0" collapsed="false">
      <c r="A196" s="13" t="str">
        <f aca="false">IF(F196="","",ROW()-5)</f>
        <v/>
      </c>
      <c r="B196" s="14"/>
      <c r="C196" s="14"/>
      <c r="D196" s="14"/>
      <c r="E196" s="14"/>
      <c r="F196" s="36"/>
      <c r="G196" s="37"/>
      <c r="H196" s="14"/>
      <c r="I196" s="38"/>
      <c r="J196" s="38"/>
      <c r="K196" s="33"/>
      <c r="L196" s="33"/>
      <c r="M196" s="34" t="str">
        <f aca="false">IF(F196="","",N(I196)/(1-IF(K196="",'Job Info'!$B$39,K196))*(1+IF('Job Info'!$B$38="Yes",'Job Info'!$B$37,0)))</f>
        <v/>
      </c>
      <c r="N196" s="34" t="str">
        <f aca="false">IF(F196="","",N(J196)/(1-IF(L196="",'Job Info'!$B$40,L196)))</f>
        <v/>
      </c>
      <c r="O196" s="34" t="str">
        <f aca="false">IF(F196="","",M196+N196)</f>
        <v/>
      </c>
      <c r="P196" s="34" t="str">
        <f aca="false">IF(F196="","",N(G196)*M196)</f>
        <v/>
      </c>
      <c r="Q196" s="34" t="str">
        <f aca="false">IF(F196="","",N(G196)*N196)</f>
        <v/>
      </c>
      <c r="R196" s="35" t="str">
        <f aca="false">IF(F196="","",P196+Q196)</f>
        <v/>
      </c>
      <c r="S196" s="36"/>
      <c r="T196" s="36"/>
      <c r="U196" s="34" t="str">
        <f aca="false">IF(F196="","",N(G196)*N(I196))</f>
        <v/>
      </c>
      <c r="V196" s="34" t="str">
        <f aca="false">IF(F196="","",N(G196)*N(J196))</f>
        <v/>
      </c>
      <c r="W196" s="13" t="str">
        <f aca="false">IF(F196="","",IF(B196="Excluded","",COUNTIFS($F$6:F196,"?*",$B$6:B196,"&lt;&gt;Excluded")))</f>
        <v/>
      </c>
      <c r="X196" s="34" t="str">
        <f aca="false">IF(F196="","",N(G196)*N(I196)/(1-IF(K196="",'Job Info'!$B$39,K196))*IF('Job Info'!$B$38="Yes",'Job Info'!$B$37,0))</f>
        <v/>
      </c>
    </row>
    <row r="197" customFormat="false" ht="15" hidden="false" customHeight="false" outlineLevel="0" collapsed="false">
      <c r="A197" s="13" t="str">
        <f aca="false">IF(F197="","",ROW()-5)</f>
        <v/>
      </c>
      <c r="B197" s="14"/>
      <c r="C197" s="14"/>
      <c r="D197" s="14"/>
      <c r="E197" s="14"/>
      <c r="F197" s="36"/>
      <c r="G197" s="37"/>
      <c r="H197" s="14"/>
      <c r="I197" s="38"/>
      <c r="J197" s="38"/>
      <c r="K197" s="33"/>
      <c r="L197" s="33"/>
      <c r="M197" s="34" t="str">
        <f aca="false">IF(F197="","",N(I197)/(1-IF(K197="",'Job Info'!$B$39,K197))*(1+IF('Job Info'!$B$38="Yes",'Job Info'!$B$37,0)))</f>
        <v/>
      </c>
      <c r="N197" s="34" t="str">
        <f aca="false">IF(F197="","",N(J197)/(1-IF(L197="",'Job Info'!$B$40,L197)))</f>
        <v/>
      </c>
      <c r="O197" s="34" t="str">
        <f aca="false">IF(F197="","",M197+N197)</f>
        <v/>
      </c>
      <c r="P197" s="34" t="str">
        <f aca="false">IF(F197="","",N(G197)*M197)</f>
        <v/>
      </c>
      <c r="Q197" s="34" t="str">
        <f aca="false">IF(F197="","",N(G197)*N197)</f>
        <v/>
      </c>
      <c r="R197" s="35" t="str">
        <f aca="false">IF(F197="","",P197+Q197)</f>
        <v/>
      </c>
      <c r="S197" s="36"/>
      <c r="T197" s="36"/>
      <c r="U197" s="34" t="str">
        <f aca="false">IF(F197="","",N(G197)*N(I197))</f>
        <v/>
      </c>
      <c r="V197" s="34" t="str">
        <f aca="false">IF(F197="","",N(G197)*N(J197))</f>
        <v/>
      </c>
      <c r="W197" s="13" t="str">
        <f aca="false">IF(F197="","",IF(B197="Excluded","",COUNTIFS($F$6:F197,"?*",$B$6:B197,"&lt;&gt;Excluded")))</f>
        <v/>
      </c>
      <c r="X197" s="34" t="str">
        <f aca="false">IF(F197="","",N(G197)*N(I197)/(1-IF(K197="",'Job Info'!$B$39,K197))*IF('Job Info'!$B$38="Yes",'Job Info'!$B$37,0))</f>
        <v/>
      </c>
    </row>
    <row r="198" customFormat="false" ht="15" hidden="false" customHeight="false" outlineLevel="0" collapsed="false">
      <c r="A198" s="13" t="str">
        <f aca="false">IF(F198="","",ROW()-5)</f>
        <v/>
      </c>
      <c r="B198" s="14"/>
      <c r="C198" s="14"/>
      <c r="D198" s="14"/>
      <c r="E198" s="14"/>
      <c r="F198" s="36"/>
      <c r="G198" s="37"/>
      <c r="H198" s="14"/>
      <c r="I198" s="38"/>
      <c r="J198" s="38"/>
      <c r="K198" s="33"/>
      <c r="L198" s="33"/>
      <c r="M198" s="34" t="str">
        <f aca="false">IF(F198="","",N(I198)/(1-IF(K198="",'Job Info'!$B$39,K198))*(1+IF('Job Info'!$B$38="Yes",'Job Info'!$B$37,0)))</f>
        <v/>
      </c>
      <c r="N198" s="34" t="str">
        <f aca="false">IF(F198="","",N(J198)/(1-IF(L198="",'Job Info'!$B$40,L198)))</f>
        <v/>
      </c>
      <c r="O198" s="34" t="str">
        <f aca="false">IF(F198="","",M198+N198)</f>
        <v/>
      </c>
      <c r="P198" s="34" t="str">
        <f aca="false">IF(F198="","",N(G198)*M198)</f>
        <v/>
      </c>
      <c r="Q198" s="34" t="str">
        <f aca="false">IF(F198="","",N(G198)*N198)</f>
        <v/>
      </c>
      <c r="R198" s="35" t="str">
        <f aca="false">IF(F198="","",P198+Q198)</f>
        <v/>
      </c>
      <c r="S198" s="36"/>
      <c r="T198" s="36"/>
      <c r="U198" s="34" t="str">
        <f aca="false">IF(F198="","",N(G198)*N(I198))</f>
        <v/>
      </c>
      <c r="V198" s="34" t="str">
        <f aca="false">IF(F198="","",N(G198)*N(J198))</f>
        <v/>
      </c>
      <c r="W198" s="13" t="str">
        <f aca="false">IF(F198="","",IF(B198="Excluded","",COUNTIFS($F$6:F198,"?*",$B$6:B198,"&lt;&gt;Excluded")))</f>
        <v/>
      </c>
      <c r="X198" s="34" t="str">
        <f aca="false">IF(F198="","",N(G198)*N(I198)/(1-IF(K198="",'Job Info'!$B$39,K198))*IF('Job Info'!$B$38="Yes",'Job Info'!$B$37,0))</f>
        <v/>
      </c>
    </row>
    <row r="199" customFormat="false" ht="15" hidden="false" customHeight="false" outlineLevel="0" collapsed="false">
      <c r="A199" s="13" t="str">
        <f aca="false">IF(F199="","",ROW()-5)</f>
        <v/>
      </c>
      <c r="B199" s="14"/>
      <c r="C199" s="14"/>
      <c r="D199" s="14"/>
      <c r="E199" s="14"/>
      <c r="F199" s="36"/>
      <c r="G199" s="37"/>
      <c r="H199" s="14"/>
      <c r="I199" s="38"/>
      <c r="J199" s="38"/>
      <c r="K199" s="33"/>
      <c r="L199" s="33"/>
      <c r="M199" s="34" t="str">
        <f aca="false">IF(F199="","",N(I199)/(1-IF(K199="",'Job Info'!$B$39,K199))*(1+IF('Job Info'!$B$38="Yes",'Job Info'!$B$37,0)))</f>
        <v/>
      </c>
      <c r="N199" s="34" t="str">
        <f aca="false">IF(F199="","",N(J199)/(1-IF(L199="",'Job Info'!$B$40,L199)))</f>
        <v/>
      </c>
      <c r="O199" s="34" t="str">
        <f aca="false">IF(F199="","",M199+N199)</f>
        <v/>
      </c>
      <c r="P199" s="34" t="str">
        <f aca="false">IF(F199="","",N(G199)*M199)</f>
        <v/>
      </c>
      <c r="Q199" s="34" t="str">
        <f aca="false">IF(F199="","",N(G199)*N199)</f>
        <v/>
      </c>
      <c r="R199" s="35" t="str">
        <f aca="false">IF(F199="","",P199+Q199)</f>
        <v/>
      </c>
      <c r="S199" s="36"/>
      <c r="T199" s="36"/>
      <c r="U199" s="34" t="str">
        <f aca="false">IF(F199="","",N(G199)*N(I199))</f>
        <v/>
      </c>
      <c r="V199" s="34" t="str">
        <f aca="false">IF(F199="","",N(G199)*N(J199))</f>
        <v/>
      </c>
      <c r="W199" s="13" t="str">
        <f aca="false">IF(F199="","",IF(B199="Excluded","",COUNTIFS($F$6:F199,"?*",$B$6:B199,"&lt;&gt;Excluded")))</f>
        <v/>
      </c>
      <c r="X199" s="34" t="str">
        <f aca="false">IF(F199="","",N(G199)*N(I199)/(1-IF(K199="",'Job Info'!$B$39,K199))*IF('Job Info'!$B$38="Yes",'Job Info'!$B$37,0))</f>
        <v/>
      </c>
    </row>
    <row r="200" customFormat="false" ht="15" hidden="false" customHeight="false" outlineLevel="0" collapsed="false">
      <c r="A200" s="13" t="str">
        <f aca="false">IF(F200="","",ROW()-5)</f>
        <v/>
      </c>
      <c r="B200" s="14"/>
      <c r="C200" s="14"/>
      <c r="D200" s="14"/>
      <c r="E200" s="14"/>
      <c r="F200" s="36"/>
      <c r="G200" s="37"/>
      <c r="H200" s="14"/>
      <c r="I200" s="38"/>
      <c r="J200" s="38"/>
      <c r="K200" s="33"/>
      <c r="L200" s="33"/>
      <c r="M200" s="34" t="str">
        <f aca="false">IF(F200="","",N(I200)/(1-IF(K200="",'Job Info'!$B$39,K200))*(1+IF('Job Info'!$B$38="Yes",'Job Info'!$B$37,0)))</f>
        <v/>
      </c>
      <c r="N200" s="34" t="str">
        <f aca="false">IF(F200="","",N(J200)/(1-IF(L200="",'Job Info'!$B$40,L200)))</f>
        <v/>
      </c>
      <c r="O200" s="34" t="str">
        <f aca="false">IF(F200="","",M200+N200)</f>
        <v/>
      </c>
      <c r="P200" s="34" t="str">
        <f aca="false">IF(F200="","",N(G200)*M200)</f>
        <v/>
      </c>
      <c r="Q200" s="34" t="str">
        <f aca="false">IF(F200="","",N(G200)*N200)</f>
        <v/>
      </c>
      <c r="R200" s="35" t="str">
        <f aca="false">IF(F200="","",P200+Q200)</f>
        <v/>
      </c>
      <c r="S200" s="36"/>
      <c r="T200" s="36"/>
      <c r="U200" s="34" t="str">
        <f aca="false">IF(F200="","",N(G200)*N(I200))</f>
        <v/>
      </c>
      <c r="V200" s="34" t="str">
        <f aca="false">IF(F200="","",N(G200)*N(J200))</f>
        <v/>
      </c>
      <c r="W200" s="13" t="str">
        <f aca="false">IF(F200="","",IF(B200="Excluded","",COUNTIFS($F$6:F200,"?*",$B$6:B200,"&lt;&gt;Excluded")))</f>
        <v/>
      </c>
      <c r="X200" s="34" t="str">
        <f aca="false">IF(F200="","",N(G200)*N(I200)/(1-IF(K200="",'Job Info'!$B$39,K200))*IF('Job Info'!$B$38="Yes",'Job Info'!$B$37,0))</f>
        <v/>
      </c>
    </row>
    <row r="201" customFormat="false" ht="15" hidden="false" customHeight="false" outlineLevel="0" collapsed="false">
      <c r="A201" s="13" t="str">
        <f aca="false">IF(F201="","",ROW()-5)</f>
        <v/>
      </c>
      <c r="B201" s="14"/>
      <c r="C201" s="14"/>
      <c r="D201" s="14"/>
      <c r="E201" s="14"/>
      <c r="F201" s="36"/>
      <c r="G201" s="37"/>
      <c r="H201" s="14"/>
      <c r="I201" s="38"/>
      <c r="J201" s="38"/>
      <c r="K201" s="33"/>
      <c r="L201" s="33"/>
      <c r="M201" s="34" t="str">
        <f aca="false">IF(F201="","",N(I201)/(1-IF(K201="",'Job Info'!$B$39,K201))*(1+IF('Job Info'!$B$38="Yes",'Job Info'!$B$37,0)))</f>
        <v/>
      </c>
      <c r="N201" s="34" t="str">
        <f aca="false">IF(F201="","",N(J201)/(1-IF(L201="",'Job Info'!$B$40,L201)))</f>
        <v/>
      </c>
      <c r="O201" s="34" t="str">
        <f aca="false">IF(F201="","",M201+N201)</f>
        <v/>
      </c>
      <c r="P201" s="34" t="str">
        <f aca="false">IF(F201="","",N(G201)*M201)</f>
        <v/>
      </c>
      <c r="Q201" s="34" t="str">
        <f aca="false">IF(F201="","",N(G201)*N201)</f>
        <v/>
      </c>
      <c r="R201" s="35" t="str">
        <f aca="false">IF(F201="","",P201+Q201)</f>
        <v/>
      </c>
      <c r="S201" s="36"/>
      <c r="T201" s="36"/>
      <c r="U201" s="34" t="str">
        <f aca="false">IF(F201="","",N(G201)*N(I201))</f>
        <v/>
      </c>
      <c r="V201" s="34" t="str">
        <f aca="false">IF(F201="","",N(G201)*N(J201))</f>
        <v/>
      </c>
      <c r="W201" s="13" t="str">
        <f aca="false">IF(F201="","",IF(B201="Excluded","",COUNTIFS($F$6:F201,"?*",$B$6:B201,"&lt;&gt;Excluded")))</f>
        <v/>
      </c>
      <c r="X201" s="34" t="str">
        <f aca="false">IF(F201="","",N(G201)*N(I201)/(1-IF(K201="",'Job Info'!$B$39,K201))*IF('Job Info'!$B$38="Yes",'Job Info'!$B$37,0))</f>
        <v/>
      </c>
    </row>
    <row r="202" customFormat="false" ht="15" hidden="false" customHeight="false" outlineLevel="0" collapsed="false">
      <c r="A202" s="13" t="str">
        <f aca="false">IF(F202="","",ROW()-5)</f>
        <v/>
      </c>
      <c r="B202" s="14"/>
      <c r="C202" s="14"/>
      <c r="D202" s="14"/>
      <c r="E202" s="14"/>
      <c r="F202" s="36"/>
      <c r="G202" s="37"/>
      <c r="H202" s="14"/>
      <c r="I202" s="38"/>
      <c r="J202" s="38"/>
      <c r="K202" s="33"/>
      <c r="L202" s="33"/>
      <c r="M202" s="34" t="str">
        <f aca="false">IF(F202="","",N(I202)/(1-IF(K202="",'Job Info'!$B$39,K202))*(1+IF('Job Info'!$B$38="Yes",'Job Info'!$B$37,0)))</f>
        <v/>
      </c>
      <c r="N202" s="34" t="str">
        <f aca="false">IF(F202="","",N(J202)/(1-IF(L202="",'Job Info'!$B$40,L202)))</f>
        <v/>
      </c>
      <c r="O202" s="34" t="str">
        <f aca="false">IF(F202="","",M202+N202)</f>
        <v/>
      </c>
      <c r="P202" s="34" t="str">
        <f aca="false">IF(F202="","",N(G202)*M202)</f>
        <v/>
      </c>
      <c r="Q202" s="34" t="str">
        <f aca="false">IF(F202="","",N(G202)*N202)</f>
        <v/>
      </c>
      <c r="R202" s="35" t="str">
        <f aca="false">IF(F202="","",P202+Q202)</f>
        <v/>
      </c>
      <c r="S202" s="36"/>
      <c r="T202" s="36"/>
      <c r="U202" s="34" t="str">
        <f aca="false">IF(F202="","",N(G202)*N(I202))</f>
        <v/>
      </c>
      <c r="V202" s="34" t="str">
        <f aca="false">IF(F202="","",N(G202)*N(J202))</f>
        <v/>
      </c>
      <c r="W202" s="13" t="str">
        <f aca="false">IF(F202="","",IF(B202="Excluded","",COUNTIFS($F$6:F202,"?*",$B$6:B202,"&lt;&gt;Excluded")))</f>
        <v/>
      </c>
      <c r="X202" s="34" t="str">
        <f aca="false">IF(F202="","",N(G202)*N(I202)/(1-IF(K202="",'Job Info'!$B$39,K202))*IF('Job Info'!$B$38="Yes",'Job Info'!$B$37,0))</f>
        <v/>
      </c>
    </row>
    <row r="203" customFormat="false" ht="15" hidden="false" customHeight="false" outlineLevel="0" collapsed="false">
      <c r="A203" s="13" t="str">
        <f aca="false">IF(F203="","",ROW()-5)</f>
        <v/>
      </c>
      <c r="B203" s="14"/>
      <c r="C203" s="14"/>
      <c r="D203" s="14"/>
      <c r="E203" s="14"/>
      <c r="F203" s="36"/>
      <c r="G203" s="37"/>
      <c r="H203" s="14"/>
      <c r="I203" s="38"/>
      <c r="J203" s="38"/>
      <c r="K203" s="33"/>
      <c r="L203" s="33"/>
      <c r="M203" s="34" t="str">
        <f aca="false">IF(F203="","",N(I203)/(1-IF(K203="",'Job Info'!$B$39,K203))*(1+IF('Job Info'!$B$38="Yes",'Job Info'!$B$37,0)))</f>
        <v/>
      </c>
      <c r="N203" s="34" t="str">
        <f aca="false">IF(F203="","",N(J203)/(1-IF(L203="",'Job Info'!$B$40,L203)))</f>
        <v/>
      </c>
      <c r="O203" s="34" t="str">
        <f aca="false">IF(F203="","",M203+N203)</f>
        <v/>
      </c>
      <c r="P203" s="34" t="str">
        <f aca="false">IF(F203="","",N(G203)*M203)</f>
        <v/>
      </c>
      <c r="Q203" s="34" t="str">
        <f aca="false">IF(F203="","",N(G203)*N203)</f>
        <v/>
      </c>
      <c r="R203" s="35" t="str">
        <f aca="false">IF(F203="","",P203+Q203)</f>
        <v/>
      </c>
      <c r="S203" s="36"/>
      <c r="T203" s="36"/>
      <c r="U203" s="34" t="str">
        <f aca="false">IF(F203="","",N(G203)*N(I203))</f>
        <v/>
      </c>
      <c r="V203" s="34" t="str">
        <f aca="false">IF(F203="","",N(G203)*N(J203))</f>
        <v/>
      </c>
      <c r="W203" s="13" t="str">
        <f aca="false">IF(F203="","",IF(B203="Excluded","",COUNTIFS($F$6:F203,"?*",$B$6:B203,"&lt;&gt;Excluded")))</f>
        <v/>
      </c>
      <c r="X203" s="34" t="str">
        <f aca="false">IF(F203="","",N(G203)*N(I203)/(1-IF(K203="",'Job Info'!$B$39,K203))*IF('Job Info'!$B$38="Yes",'Job Info'!$B$37,0))</f>
        <v/>
      </c>
    </row>
    <row r="204" customFormat="false" ht="15" hidden="false" customHeight="false" outlineLevel="0" collapsed="false">
      <c r="A204" s="13" t="str">
        <f aca="false">IF(F204="","",ROW()-5)</f>
        <v/>
      </c>
      <c r="B204" s="14"/>
      <c r="C204" s="14"/>
      <c r="D204" s="14"/>
      <c r="E204" s="14"/>
      <c r="F204" s="36"/>
      <c r="G204" s="37"/>
      <c r="H204" s="14"/>
      <c r="I204" s="38"/>
      <c r="J204" s="38"/>
      <c r="K204" s="33"/>
      <c r="L204" s="33"/>
      <c r="M204" s="34" t="str">
        <f aca="false">IF(F204="","",N(I204)/(1-IF(K204="",'Job Info'!$B$39,K204))*(1+IF('Job Info'!$B$38="Yes",'Job Info'!$B$37,0)))</f>
        <v/>
      </c>
      <c r="N204" s="34" t="str">
        <f aca="false">IF(F204="","",N(J204)/(1-IF(L204="",'Job Info'!$B$40,L204)))</f>
        <v/>
      </c>
      <c r="O204" s="34" t="str">
        <f aca="false">IF(F204="","",M204+N204)</f>
        <v/>
      </c>
      <c r="P204" s="34" t="str">
        <f aca="false">IF(F204="","",N(G204)*M204)</f>
        <v/>
      </c>
      <c r="Q204" s="34" t="str">
        <f aca="false">IF(F204="","",N(G204)*N204)</f>
        <v/>
      </c>
      <c r="R204" s="35" t="str">
        <f aca="false">IF(F204="","",P204+Q204)</f>
        <v/>
      </c>
      <c r="S204" s="36"/>
      <c r="T204" s="36"/>
      <c r="U204" s="34" t="str">
        <f aca="false">IF(F204="","",N(G204)*N(I204))</f>
        <v/>
      </c>
      <c r="V204" s="34" t="str">
        <f aca="false">IF(F204="","",N(G204)*N(J204))</f>
        <v/>
      </c>
      <c r="W204" s="13" t="str">
        <f aca="false">IF(F204="","",IF(B204="Excluded","",COUNTIFS($F$6:F204,"?*",$B$6:B204,"&lt;&gt;Excluded")))</f>
        <v/>
      </c>
      <c r="X204" s="34" t="str">
        <f aca="false">IF(F204="","",N(G204)*N(I204)/(1-IF(K204="",'Job Info'!$B$39,K204))*IF('Job Info'!$B$38="Yes",'Job Info'!$B$37,0))</f>
        <v/>
      </c>
    </row>
    <row r="205" customFormat="false" ht="15" hidden="false" customHeight="false" outlineLevel="0" collapsed="false">
      <c r="A205" s="13" t="str">
        <f aca="false">IF(F205="","",ROW()-5)</f>
        <v/>
      </c>
      <c r="B205" s="14"/>
      <c r="C205" s="14"/>
      <c r="D205" s="14"/>
      <c r="E205" s="14"/>
      <c r="F205" s="36"/>
      <c r="G205" s="37"/>
      <c r="H205" s="14"/>
      <c r="I205" s="38"/>
      <c r="J205" s="38"/>
      <c r="K205" s="33"/>
      <c r="L205" s="33"/>
      <c r="M205" s="34" t="str">
        <f aca="false">IF(F205="","",N(I205)/(1-IF(K205="",'Job Info'!$B$39,K205))*(1+IF('Job Info'!$B$38="Yes",'Job Info'!$B$37,0)))</f>
        <v/>
      </c>
      <c r="N205" s="34" t="str">
        <f aca="false">IF(F205="","",N(J205)/(1-IF(L205="",'Job Info'!$B$40,L205)))</f>
        <v/>
      </c>
      <c r="O205" s="34" t="str">
        <f aca="false">IF(F205="","",M205+N205)</f>
        <v/>
      </c>
      <c r="P205" s="34" t="str">
        <f aca="false">IF(F205="","",N(G205)*M205)</f>
        <v/>
      </c>
      <c r="Q205" s="34" t="str">
        <f aca="false">IF(F205="","",N(G205)*N205)</f>
        <v/>
      </c>
      <c r="R205" s="35" t="str">
        <f aca="false">IF(F205="","",P205+Q205)</f>
        <v/>
      </c>
      <c r="S205" s="36"/>
      <c r="T205" s="36"/>
      <c r="U205" s="34" t="str">
        <f aca="false">IF(F205="","",N(G205)*N(I205))</f>
        <v/>
      </c>
      <c r="V205" s="34" t="str">
        <f aca="false">IF(F205="","",N(G205)*N(J205))</f>
        <v/>
      </c>
      <c r="W205" s="13" t="str">
        <f aca="false">IF(F205="","",IF(B205="Excluded","",COUNTIFS($F$6:F205,"?*",$B$6:B205,"&lt;&gt;Excluded")))</f>
        <v/>
      </c>
      <c r="X205" s="34" t="str">
        <f aca="false">IF(F205="","",N(G205)*N(I205)/(1-IF(K205="",'Job Info'!$B$39,K205))*IF('Job Info'!$B$38="Yes",'Job Info'!$B$37,0))</f>
        <v/>
      </c>
    </row>
    <row r="206" customFormat="false" ht="15" hidden="false" customHeight="false" outlineLevel="0" collapsed="false">
      <c r="A206" s="13" t="str">
        <f aca="false">IF(F206="","",ROW()-5)</f>
        <v/>
      </c>
      <c r="B206" s="14"/>
      <c r="C206" s="14"/>
      <c r="D206" s="14"/>
      <c r="E206" s="14"/>
      <c r="F206" s="36"/>
      <c r="G206" s="37"/>
      <c r="H206" s="14"/>
      <c r="I206" s="38"/>
      <c r="J206" s="38"/>
      <c r="K206" s="33"/>
      <c r="L206" s="33"/>
      <c r="M206" s="34" t="str">
        <f aca="false">IF(F206="","",N(I206)/(1-IF(K206="",'Job Info'!$B$39,K206))*(1+IF('Job Info'!$B$38="Yes",'Job Info'!$B$37,0)))</f>
        <v/>
      </c>
      <c r="N206" s="34" t="str">
        <f aca="false">IF(F206="","",N(J206)/(1-IF(L206="",'Job Info'!$B$40,L206)))</f>
        <v/>
      </c>
      <c r="O206" s="34" t="str">
        <f aca="false">IF(F206="","",M206+N206)</f>
        <v/>
      </c>
      <c r="P206" s="34" t="str">
        <f aca="false">IF(F206="","",N(G206)*M206)</f>
        <v/>
      </c>
      <c r="Q206" s="34" t="str">
        <f aca="false">IF(F206="","",N(G206)*N206)</f>
        <v/>
      </c>
      <c r="R206" s="35" t="str">
        <f aca="false">IF(F206="","",P206+Q206)</f>
        <v/>
      </c>
      <c r="S206" s="36"/>
      <c r="T206" s="36"/>
      <c r="U206" s="34" t="str">
        <f aca="false">IF(F206="","",N(G206)*N(I206))</f>
        <v/>
      </c>
      <c r="V206" s="34" t="str">
        <f aca="false">IF(F206="","",N(G206)*N(J206))</f>
        <v/>
      </c>
      <c r="W206" s="13" t="str">
        <f aca="false">IF(F206="","",IF(B206="Excluded","",COUNTIFS($F$6:F206,"?*",$B$6:B206,"&lt;&gt;Excluded")))</f>
        <v/>
      </c>
      <c r="X206" s="34" t="str">
        <f aca="false">IF(F206="","",N(G206)*N(I206)/(1-IF(K206="",'Job Info'!$B$39,K206))*IF('Job Info'!$B$38="Yes",'Job Info'!$B$37,0))</f>
        <v/>
      </c>
    </row>
    <row r="207" customFormat="false" ht="15" hidden="false" customHeight="false" outlineLevel="0" collapsed="false">
      <c r="A207" s="13" t="str">
        <f aca="false">IF(F207="","",ROW()-5)</f>
        <v/>
      </c>
      <c r="B207" s="14"/>
      <c r="C207" s="14"/>
      <c r="D207" s="14"/>
      <c r="E207" s="14"/>
      <c r="F207" s="36"/>
      <c r="G207" s="37"/>
      <c r="H207" s="14"/>
      <c r="I207" s="38"/>
      <c r="J207" s="38"/>
      <c r="K207" s="33"/>
      <c r="L207" s="33"/>
      <c r="M207" s="34" t="str">
        <f aca="false">IF(F207="","",N(I207)/(1-IF(K207="",'Job Info'!$B$39,K207))*(1+IF('Job Info'!$B$38="Yes",'Job Info'!$B$37,0)))</f>
        <v/>
      </c>
      <c r="N207" s="34" t="str">
        <f aca="false">IF(F207="","",N(J207)/(1-IF(L207="",'Job Info'!$B$40,L207)))</f>
        <v/>
      </c>
      <c r="O207" s="34" t="str">
        <f aca="false">IF(F207="","",M207+N207)</f>
        <v/>
      </c>
      <c r="P207" s="34" t="str">
        <f aca="false">IF(F207="","",N(G207)*M207)</f>
        <v/>
      </c>
      <c r="Q207" s="34" t="str">
        <f aca="false">IF(F207="","",N(G207)*N207)</f>
        <v/>
      </c>
      <c r="R207" s="35" t="str">
        <f aca="false">IF(F207="","",P207+Q207)</f>
        <v/>
      </c>
      <c r="S207" s="36"/>
      <c r="T207" s="36"/>
      <c r="U207" s="34" t="str">
        <f aca="false">IF(F207="","",N(G207)*N(I207))</f>
        <v/>
      </c>
      <c r="V207" s="34" t="str">
        <f aca="false">IF(F207="","",N(G207)*N(J207))</f>
        <v/>
      </c>
      <c r="W207" s="13" t="str">
        <f aca="false">IF(F207="","",IF(B207="Excluded","",COUNTIFS($F$6:F207,"?*",$B$6:B207,"&lt;&gt;Excluded")))</f>
        <v/>
      </c>
      <c r="X207" s="34" t="str">
        <f aca="false">IF(F207="","",N(G207)*N(I207)/(1-IF(K207="",'Job Info'!$B$39,K207))*IF('Job Info'!$B$38="Yes",'Job Info'!$B$37,0))</f>
        <v/>
      </c>
    </row>
    <row r="208" customFormat="false" ht="15" hidden="false" customHeight="false" outlineLevel="0" collapsed="false">
      <c r="A208" s="13" t="str">
        <f aca="false">IF(F208="","",ROW()-5)</f>
        <v/>
      </c>
      <c r="B208" s="14"/>
      <c r="C208" s="14"/>
      <c r="D208" s="14"/>
      <c r="E208" s="14"/>
      <c r="F208" s="36"/>
      <c r="G208" s="37"/>
      <c r="H208" s="14"/>
      <c r="I208" s="38"/>
      <c r="J208" s="38"/>
      <c r="K208" s="33"/>
      <c r="L208" s="33"/>
      <c r="M208" s="34" t="str">
        <f aca="false">IF(F208="","",N(I208)/(1-IF(K208="",'Job Info'!$B$39,K208))*(1+IF('Job Info'!$B$38="Yes",'Job Info'!$B$37,0)))</f>
        <v/>
      </c>
      <c r="N208" s="34" t="str">
        <f aca="false">IF(F208="","",N(J208)/(1-IF(L208="",'Job Info'!$B$40,L208)))</f>
        <v/>
      </c>
      <c r="O208" s="34" t="str">
        <f aca="false">IF(F208="","",M208+N208)</f>
        <v/>
      </c>
      <c r="P208" s="34" t="str">
        <f aca="false">IF(F208="","",N(G208)*M208)</f>
        <v/>
      </c>
      <c r="Q208" s="34" t="str">
        <f aca="false">IF(F208="","",N(G208)*N208)</f>
        <v/>
      </c>
      <c r="R208" s="35" t="str">
        <f aca="false">IF(F208="","",P208+Q208)</f>
        <v/>
      </c>
      <c r="S208" s="36"/>
      <c r="T208" s="36"/>
      <c r="U208" s="34" t="str">
        <f aca="false">IF(F208="","",N(G208)*N(I208))</f>
        <v/>
      </c>
      <c r="V208" s="34" t="str">
        <f aca="false">IF(F208="","",N(G208)*N(J208))</f>
        <v/>
      </c>
      <c r="W208" s="13" t="str">
        <f aca="false">IF(F208="","",IF(B208="Excluded","",COUNTIFS($F$6:F208,"?*",$B$6:B208,"&lt;&gt;Excluded")))</f>
        <v/>
      </c>
      <c r="X208" s="34" t="str">
        <f aca="false">IF(F208="","",N(G208)*N(I208)/(1-IF(K208="",'Job Info'!$B$39,K208))*IF('Job Info'!$B$38="Yes",'Job Info'!$B$37,0))</f>
        <v/>
      </c>
    </row>
    <row r="209" customFormat="false" ht="15" hidden="false" customHeight="false" outlineLevel="0" collapsed="false">
      <c r="A209" s="13" t="str">
        <f aca="false">IF(F209="","",ROW()-5)</f>
        <v/>
      </c>
      <c r="B209" s="14"/>
      <c r="C209" s="14"/>
      <c r="D209" s="14"/>
      <c r="E209" s="14"/>
      <c r="F209" s="36"/>
      <c r="G209" s="37"/>
      <c r="H209" s="14"/>
      <c r="I209" s="38"/>
      <c r="J209" s="38"/>
      <c r="K209" s="33"/>
      <c r="L209" s="33"/>
      <c r="M209" s="34" t="str">
        <f aca="false">IF(F209="","",N(I209)/(1-IF(K209="",'Job Info'!$B$39,K209))*(1+IF('Job Info'!$B$38="Yes",'Job Info'!$B$37,0)))</f>
        <v/>
      </c>
      <c r="N209" s="34" t="str">
        <f aca="false">IF(F209="","",N(J209)/(1-IF(L209="",'Job Info'!$B$40,L209)))</f>
        <v/>
      </c>
      <c r="O209" s="34" t="str">
        <f aca="false">IF(F209="","",M209+N209)</f>
        <v/>
      </c>
      <c r="P209" s="34" t="str">
        <f aca="false">IF(F209="","",N(G209)*M209)</f>
        <v/>
      </c>
      <c r="Q209" s="34" t="str">
        <f aca="false">IF(F209="","",N(G209)*N209)</f>
        <v/>
      </c>
      <c r="R209" s="35" t="str">
        <f aca="false">IF(F209="","",P209+Q209)</f>
        <v/>
      </c>
      <c r="S209" s="36"/>
      <c r="T209" s="36"/>
      <c r="U209" s="34" t="str">
        <f aca="false">IF(F209="","",N(G209)*N(I209))</f>
        <v/>
      </c>
      <c r="V209" s="34" t="str">
        <f aca="false">IF(F209="","",N(G209)*N(J209))</f>
        <v/>
      </c>
      <c r="W209" s="13" t="str">
        <f aca="false">IF(F209="","",IF(B209="Excluded","",COUNTIFS($F$6:F209,"?*",$B$6:B209,"&lt;&gt;Excluded")))</f>
        <v/>
      </c>
      <c r="X209" s="34" t="str">
        <f aca="false">IF(F209="","",N(G209)*N(I209)/(1-IF(K209="",'Job Info'!$B$39,K209))*IF('Job Info'!$B$38="Yes",'Job Info'!$B$37,0))</f>
        <v/>
      </c>
    </row>
    <row r="210" customFormat="false" ht="15" hidden="false" customHeight="false" outlineLevel="0" collapsed="false">
      <c r="A210" s="13" t="str">
        <f aca="false">IF(F210="","",ROW()-5)</f>
        <v/>
      </c>
      <c r="B210" s="14"/>
      <c r="C210" s="14"/>
      <c r="D210" s="14"/>
      <c r="E210" s="14"/>
      <c r="F210" s="36"/>
      <c r="G210" s="37"/>
      <c r="H210" s="14"/>
      <c r="I210" s="38"/>
      <c r="J210" s="38"/>
      <c r="K210" s="33"/>
      <c r="L210" s="33"/>
      <c r="M210" s="34" t="str">
        <f aca="false">IF(F210="","",N(I210)/(1-IF(K210="",'Job Info'!$B$39,K210))*(1+IF('Job Info'!$B$38="Yes",'Job Info'!$B$37,0)))</f>
        <v/>
      </c>
      <c r="N210" s="34" t="str">
        <f aca="false">IF(F210="","",N(J210)/(1-IF(L210="",'Job Info'!$B$40,L210)))</f>
        <v/>
      </c>
      <c r="O210" s="34" t="str">
        <f aca="false">IF(F210="","",M210+N210)</f>
        <v/>
      </c>
      <c r="P210" s="34" t="str">
        <f aca="false">IF(F210="","",N(G210)*M210)</f>
        <v/>
      </c>
      <c r="Q210" s="34" t="str">
        <f aca="false">IF(F210="","",N(G210)*N210)</f>
        <v/>
      </c>
      <c r="R210" s="35" t="str">
        <f aca="false">IF(F210="","",P210+Q210)</f>
        <v/>
      </c>
      <c r="S210" s="36"/>
      <c r="T210" s="36"/>
      <c r="U210" s="34" t="str">
        <f aca="false">IF(F210="","",N(G210)*N(I210))</f>
        <v/>
      </c>
      <c r="V210" s="34" t="str">
        <f aca="false">IF(F210="","",N(G210)*N(J210))</f>
        <v/>
      </c>
      <c r="W210" s="13" t="str">
        <f aca="false">IF(F210="","",IF(B210="Excluded","",COUNTIFS($F$6:F210,"?*",$B$6:B210,"&lt;&gt;Excluded")))</f>
        <v/>
      </c>
      <c r="X210" s="34" t="str">
        <f aca="false">IF(F210="","",N(G210)*N(I210)/(1-IF(K210="",'Job Info'!$B$39,K210))*IF('Job Info'!$B$38="Yes",'Job Info'!$B$37,0))</f>
        <v/>
      </c>
    </row>
    <row r="211" customFormat="false" ht="15" hidden="false" customHeight="false" outlineLevel="0" collapsed="false">
      <c r="A211" s="13" t="str">
        <f aca="false">IF(F211="","",ROW()-5)</f>
        <v/>
      </c>
      <c r="B211" s="14"/>
      <c r="C211" s="14"/>
      <c r="D211" s="14"/>
      <c r="E211" s="14"/>
      <c r="F211" s="36"/>
      <c r="G211" s="37"/>
      <c r="H211" s="14"/>
      <c r="I211" s="38"/>
      <c r="J211" s="38"/>
      <c r="K211" s="33"/>
      <c r="L211" s="33"/>
      <c r="M211" s="34" t="str">
        <f aca="false">IF(F211="","",N(I211)/(1-IF(K211="",'Job Info'!$B$39,K211))*(1+IF('Job Info'!$B$38="Yes",'Job Info'!$B$37,0)))</f>
        <v/>
      </c>
      <c r="N211" s="34" t="str">
        <f aca="false">IF(F211="","",N(J211)/(1-IF(L211="",'Job Info'!$B$40,L211)))</f>
        <v/>
      </c>
      <c r="O211" s="34" t="str">
        <f aca="false">IF(F211="","",M211+N211)</f>
        <v/>
      </c>
      <c r="P211" s="34" t="str">
        <f aca="false">IF(F211="","",N(G211)*M211)</f>
        <v/>
      </c>
      <c r="Q211" s="34" t="str">
        <f aca="false">IF(F211="","",N(G211)*N211)</f>
        <v/>
      </c>
      <c r="R211" s="35" t="str">
        <f aca="false">IF(F211="","",P211+Q211)</f>
        <v/>
      </c>
      <c r="S211" s="36"/>
      <c r="T211" s="36"/>
      <c r="U211" s="34" t="str">
        <f aca="false">IF(F211="","",N(G211)*N(I211))</f>
        <v/>
      </c>
      <c r="V211" s="34" t="str">
        <f aca="false">IF(F211="","",N(G211)*N(J211))</f>
        <v/>
      </c>
      <c r="W211" s="13" t="str">
        <f aca="false">IF(F211="","",IF(B211="Excluded","",COUNTIFS($F$6:F211,"?*",$B$6:B211,"&lt;&gt;Excluded")))</f>
        <v/>
      </c>
      <c r="X211" s="34" t="str">
        <f aca="false">IF(F211="","",N(G211)*N(I211)/(1-IF(K211="",'Job Info'!$B$39,K211))*IF('Job Info'!$B$38="Yes",'Job Info'!$B$37,0))</f>
        <v/>
      </c>
    </row>
    <row r="212" customFormat="false" ht="15" hidden="false" customHeight="false" outlineLevel="0" collapsed="false">
      <c r="A212" s="13" t="str">
        <f aca="false">IF(F212="","",ROW()-5)</f>
        <v/>
      </c>
      <c r="B212" s="14"/>
      <c r="C212" s="14"/>
      <c r="D212" s="14"/>
      <c r="E212" s="14"/>
      <c r="F212" s="36"/>
      <c r="G212" s="37"/>
      <c r="H212" s="14"/>
      <c r="I212" s="38"/>
      <c r="J212" s="38"/>
      <c r="K212" s="33"/>
      <c r="L212" s="33"/>
      <c r="M212" s="34" t="str">
        <f aca="false">IF(F212="","",N(I212)/(1-IF(K212="",'Job Info'!$B$39,K212))*(1+IF('Job Info'!$B$38="Yes",'Job Info'!$B$37,0)))</f>
        <v/>
      </c>
      <c r="N212" s="34" t="str">
        <f aca="false">IF(F212="","",N(J212)/(1-IF(L212="",'Job Info'!$B$40,L212)))</f>
        <v/>
      </c>
      <c r="O212" s="34" t="str">
        <f aca="false">IF(F212="","",M212+N212)</f>
        <v/>
      </c>
      <c r="P212" s="34" t="str">
        <f aca="false">IF(F212="","",N(G212)*M212)</f>
        <v/>
      </c>
      <c r="Q212" s="34" t="str">
        <f aca="false">IF(F212="","",N(G212)*N212)</f>
        <v/>
      </c>
      <c r="R212" s="35" t="str">
        <f aca="false">IF(F212="","",P212+Q212)</f>
        <v/>
      </c>
      <c r="S212" s="36"/>
      <c r="T212" s="36"/>
      <c r="U212" s="34" t="str">
        <f aca="false">IF(F212="","",N(G212)*N(I212))</f>
        <v/>
      </c>
      <c r="V212" s="34" t="str">
        <f aca="false">IF(F212="","",N(G212)*N(J212))</f>
        <v/>
      </c>
      <c r="W212" s="13" t="str">
        <f aca="false">IF(F212="","",IF(B212="Excluded","",COUNTIFS($F$6:F212,"?*",$B$6:B212,"&lt;&gt;Excluded")))</f>
        <v/>
      </c>
      <c r="X212" s="34" t="str">
        <f aca="false">IF(F212="","",N(G212)*N(I212)/(1-IF(K212="",'Job Info'!$B$39,K212))*IF('Job Info'!$B$38="Yes",'Job Info'!$B$37,0))</f>
        <v/>
      </c>
    </row>
    <row r="213" customFormat="false" ht="15" hidden="false" customHeight="false" outlineLevel="0" collapsed="false">
      <c r="A213" s="13" t="str">
        <f aca="false">IF(F213="","",ROW()-5)</f>
        <v/>
      </c>
      <c r="B213" s="14"/>
      <c r="C213" s="14"/>
      <c r="D213" s="14"/>
      <c r="E213" s="14"/>
      <c r="F213" s="36"/>
      <c r="G213" s="37"/>
      <c r="H213" s="14"/>
      <c r="I213" s="38"/>
      <c r="J213" s="38"/>
      <c r="K213" s="33"/>
      <c r="L213" s="33"/>
      <c r="M213" s="34" t="str">
        <f aca="false">IF(F213="","",N(I213)/(1-IF(K213="",'Job Info'!$B$39,K213))*(1+IF('Job Info'!$B$38="Yes",'Job Info'!$B$37,0)))</f>
        <v/>
      </c>
      <c r="N213" s="34" t="str">
        <f aca="false">IF(F213="","",N(J213)/(1-IF(L213="",'Job Info'!$B$40,L213)))</f>
        <v/>
      </c>
      <c r="O213" s="34" t="str">
        <f aca="false">IF(F213="","",M213+N213)</f>
        <v/>
      </c>
      <c r="P213" s="34" t="str">
        <f aca="false">IF(F213="","",N(G213)*M213)</f>
        <v/>
      </c>
      <c r="Q213" s="34" t="str">
        <f aca="false">IF(F213="","",N(G213)*N213)</f>
        <v/>
      </c>
      <c r="R213" s="35" t="str">
        <f aca="false">IF(F213="","",P213+Q213)</f>
        <v/>
      </c>
      <c r="S213" s="36"/>
      <c r="T213" s="36"/>
      <c r="U213" s="34" t="str">
        <f aca="false">IF(F213="","",N(G213)*N(I213))</f>
        <v/>
      </c>
      <c r="V213" s="34" t="str">
        <f aca="false">IF(F213="","",N(G213)*N(J213))</f>
        <v/>
      </c>
      <c r="W213" s="13" t="str">
        <f aca="false">IF(F213="","",IF(B213="Excluded","",COUNTIFS($F$6:F213,"?*",$B$6:B213,"&lt;&gt;Excluded")))</f>
        <v/>
      </c>
      <c r="X213" s="34" t="str">
        <f aca="false">IF(F213="","",N(G213)*N(I213)/(1-IF(K213="",'Job Info'!$B$39,K213))*IF('Job Info'!$B$38="Yes",'Job Info'!$B$37,0))</f>
        <v/>
      </c>
    </row>
    <row r="214" customFormat="false" ht="15" hidden="false" customHeight="false" outlineLevel="0" collapsed="false">
      <c r="A214" s="13" t="str">
        <f aca="false">IF(F214="","",ROW()-5)</f>
        <v/>
      </c>
      <c r="B214" s="14"/>
      <c r="C214" s="14"/>
      <c r="D214" s="14"/>
      <c r="E214" s="14"/>
      <c r="F214" s="36"/>
      <c r="G214" s="37"/>
      <c r="H214" s="14"/>
      <c r="I214" s="38"/>
      <c r="J214" s="38"/>
      <c r="K214" s="33"/>
      <c r="L214" s="33"/>
      <c r="M214" s="34" t="str">
        <f aca="false">IF(F214="","",N(I214)/(1-IF(K214="",'Job Info'!$B$39,K214))*(1+IF('Job Info'!$B$38="Yes",'Job Info'!$B$37,0)))</f>
        <v/>
      </c>
      <c r="N214" s="34" t="str">
        <f aca="false">IF(F214="","",N(J214)/(1-IF(L214="",'Job Info'!$B$40,L214)))</f>
        <v/>
      </c>
      <c r="O214" s="34" t="str">
        <f aca="false">IF(F214="","",M214+N214)</f>
        <v/>
      </c>
      <c r="P214" s="34" t="str">
        <f aca="false">IF(F214="","",N(G214)*M214)</f>
        <v/>
      </c>
      <c r="Q214" s="34" t="str">
        <f aca="false">IF(F214="","",N(G214)*N214)</f>
        <v/>
      </c>
      <c r="R214" s="35" t="str">
        <f aca="false">IF(F214="","",P214+Q214)</f>
        <v/>
      </c>
      <c r="S214" s="36"/>
      <c r="T214" s="36"/>
      <c r="U214" s="34" t="str">
        <f aca="false">IF(F214="","",N(G214)*N(I214))</f>
        <v/>
      </c>
      <c r="V214" s="34" t="str">
        <f aca="false">IF(F214="","",N(G214)*N(J214))</f>
        <v/>
      </c>
      <c r="W214" s="13" t="str">
        <f aca="false">IF(F214="","",IF(B214="Excluded","",COUNTIFS($F$6:F214,"?*",$B$6:B214,"&lt;&gt;Excluded")))</f>
        <v/>
      </c>
      <c r="X214" s="34" t="str">
        <f aca="false">IF(F214="","",N(G214)*N(I214)/(1-IF(K214="",'Job Info'!$B$39,K214))*IF('Job Info'!$B$38="Yes",'Job Info'!$B$37,0))</f>
        <v/>
      </c>
    </row>
    <row r="215" customFormat="false" ht="15" hidden="false" customHeight="false" outlineLevel="0" collapsed="false">
      <c r="A215" s="13" t="str">
        <f aca="false">IF(F215="","",ROW()-5)</f>
        <v/>
      </c>
      <c r="B215" s="14"/>
      <c r="C215" s="14"/>
      <c r="D215" s="14"/>
      <c r="E215" s="14"/>
      <c r="F215" s="36"/>
      <c r="G215" s="37"/>
      <c r="H215" s="14"/>
      <c r="I215" s="38"/>
      <c r="J215" s="38"/>
      <c r="K215" s="33"/>
      <c r="L215" s="33"/>
      <c r="M215" s="34" t="str">
        <f aca="false">IF(F215="","",N(I215)/(1-IF(K215="",'Job Info'!$B$39,K215))*(1+IF('Job Info'!$B$38="Yes",'Job Info'!$B$37,0)))</f>
        <v/>
      </c>
      <c r="N215" s="34" t="str">
        <f aca="false">IF(F215="","",N(J215)/(1-IF(L215="",'Job Info'!$B$40,L215)))</f>
        <v/>
      </c>
      <c r="O215" s="34" t="str">
        <f aca="false">IF(F215="","",M215+N215)</f>
        <v/>
      </c>
      <c r="P215" s="34" t="str">
        <f aca="false">IF(F215="","",N(G215)*M215)</f>
        <v/>
      </c>
      <c r="Q215" s="34" t="str">
        <f aca="false">IF(F215="","",N(G215)*N215)</f>
        <v/>
      </c>
      <c r="R215" s="35" t="str">
        <f aca="false">IF(F215="","",P215+Q215)</f>
        <v/>
      </c>
      <c r="S215" s="36"/>
      <c r="T215" s="36"/>
      <c r="U215" s="34" t="str">
        <f aca="false">IF(F215="","",N(G215)*N(I215))</f>
        <v/>
      </c>
      <c r="V215" s="34" t="str">
        <f aca="false">IF(F215="","",N(G215)*N(J215))</f>
        <v/>
      </c>
      <c r="W215" s="13" t="str">
        <f aca="false">IF(F215="","",IF(B215="Excluded","",COUNTIFS($F$6:F215,"?*",$B$6:B215,"&lt;&gt;Excluded")))</f>
        <v/>
      </c>
      <c r="X215" s="34" t="str">
        <f aca="false">IF(F215="","",N(G215)*N(I215)/(1-IF(K215="",'Job Info'!$B$39,K215))*IF('Job Info'!$B$38="Yes",'Job Info'!$B$37,0))</f>
        <v/>
      </c>
    </row>
    <row r="216" customFormat="false" ht="15" hidden="false" customHeight="false" outlineLevel="0" collapsed="false">
      <c r="A216" s="13" t="str">
        <f aca="false">IF(F216="","",ROW()-5)</f>
        <v/>
      </c>
      <c r="B216" s="14"/>
      <c r="C216" s="14"/>
      <c r="D216" s="14"/>
      <c r="E216" s="14"/>
      <c r="F216" s="36"/>
      <c r="G216" s="37"/>
      <c r="H216" s="14"/>
      <c r="I216" s="38"/>
      <c r="J216" s="38"/>
      <c r="K216" s="33"/>
      <c r="L216" s="33"/>
      <c r="M216" s="34" t="str">
        <f aca="false">IF(F216="","",N(I216)/(1-IF(K216="",'Job Info'!$B$39,K216))*(1+IF('Job Info'!$B$38="Yes",'Job Info'!$B$37,0)))</f>
        <v/>
      </c>
      <c r="N216" s="34" t="str">
        <f aca="false">IF(F216="","",N(J216)/(1-IF(L216="",'Job Info'!$B$40,L216)))</f>
        <v/>
      </c>
      <c r="O216" s="34" t="str">
        <f aca="false">IF(F216="","",M216+N216)</f>
        <v/>
      </c>
      <c r="P216" s="34" t="str">
        <f aca="false">IF(F216="","",N(G216)*M216)</f>
        <v/>
      </c>
      <c r="Q216" s="34" t="str">
        <f aca="false">IF(F216="","",N(G216)*N216)</f>
        <v/>
      </c>
      <c r="R216" s="35" t="str">
        <f aca="false">IF(F216="","",P216+Q216)</f>
        <v/>
      </c>
      <c r="S216" s="36"/>
      <c r="T216" s="36"/>
      <c r="U216" s="34" t="str">
        <f aca="false">IF(F216="","",N(G216)*N(I216))</f>
        <v/>
      </c>
      <c r="V216" s="34" t="str">
        <f aca="false">IF(F216="","",N(G216)*N(J216))</f>
        <v/>
      </c>
      <c r="W216" s="13" t="str">
        <f aca="false">IF(F216="","",IF(B216="Excluded","",COUNTIFS($F$6:F216,"?*",$B$6:B216,"&lt;&gt;Excluded")))</f>
        <v/>
      </c>
      <c r="X216" s="34" t="str">
        <f aca="false">IF(F216="","",N(G216)*N(I216)/(1-IF(K216="",'Job Info'!$B$39,K216))*IF('Job Info'!$B$38="Yes",'Job Info'!$B$37,0))</f>
        <v/>
      </c>
    </row>
    <row r="217" customFormat="false" ht="15" hidden="false" customHeight="false" outlineLevel="0" collapsed="false">
      <c r="A217" s="13" t="str">
        <f aca="false">IF(F217="","",ROW()-5)</f>
        <v/>
      </c>
      <c r="B217" s="14"/>
      <c r="C217" s="14"/>
      <c r="D217" s="14"/>
      <c r="E217" s="14"/>
      <c r="F217" s="36"/>
      <c r="G217" s="37"/>
      <c r="H217" s="14"/>
      <c r="I217" s="38"/>
      <c r="J217" s="38"/>
      <c r="K217" s="33"/>
      <c r="L217" s="33"/>
      <c r="M217" s="34" t="str">
        <f aca="false">IF(F217="","",N(I217)/(1-IF(K217="",'Job Info'!$B$39,K217))*(1+IF('Job Info'!$B$38="Yes",'Job Info'!$B$37,0)))</f>
        <v/>
      </c>
      <c r="N217" s="34" t="str">
        <f aca="false">IF(F217="","",N(J217)/(1-IF(L217="",'Job Info'!$B$40,L217)))</f>
        <v/>
      </c>
      <c r="O217" s="34" t="str">
        <f aca="false">IF(F217="","",M217+N217)</f>
        <v/>
      </c>
      <c r="P217" s="34" t="str">
        <f aca="false">IF(F217="","",N(G217)*M217)</f>
        <v/>
      </c>
      <c r="Q217" s="34" t="str">
        <f aca="false">IF(F217="","",N(G217)*N217)</f>
        <v/>
      </c>
      <c r="R217" s="35" t="str">
        <f aca="false">IF(F217="","",P217+Q217)</f>
        <v/>
      </c>
      <c r="S217" s="36"/>
      <c r="T217" s="36"/>
      <c r="U217" s="34" t="str">
        <f aca="false">IF(F217="","",N(G217)*N(I217))</f>
        <v/>
      </c>
      <c r="V217" s="34" t="str">
        <f aca="false">IF(F217="","",N(G217)*N(J217))</f>
        <v/>
      </c>
      <c r="W217" s="13" t="str">
        <f aca="false">IF(F217="","",IF(B217="Excluded","",COUNTIFS($F$6:F217,"?*",$B$6:B217,"&lt;&gt;Excluded")))</f>
        <v/>
      </c>
      <c r="X217" s="34" t="str">
        <f aca="false">IF(F217="","",N(G217)*N(I217)/(1-IF(K217="",'Job Info'!$B$39,K217))*IF('Job Info'!$B$38="Yes",'Job Info'!$B$37,0))</f>
        <v/>
      </c>
    </row>
    <row r="218" customFormat="false" ht="15" hidden="false" customHeight="false" outlineLevel="0" collapsed="false">
      <c r="A218" s="13" t="str">
        <f aca="false">IF(F218="","",ROW()-5)</f>
        <v/>
      </c>
      <c r="B218" s="14"/>
      <c r="C218" s="14"/>
      <c r="D218" s="14"/>
      <c r="E218" s="14"/>
      <c r="F218" s="36"/>
      <c r="G218" s="37"/>
      <c r="H218" s="14"/>
      <c r="I218" s="38"/>
      <c r="J218" s="38"/>
      <c r="K218" s="33"/>
      <c r="L218" s="33"/>
      <c r="M218" s="34" t="str">
        <f aca="false">IF(F218="","",N(I218)/(1-IF(K218="",'Job Info'!$B$39,K218))*(1+IF('Job Info'!$B$38="Yes",'Job Info'!$B$37,0)))</f>
        <v/>
      </c>
      <c r="N218" s="34" t="str">
        <f aca="false">IF(F218="","",N(J218)/(1-IF(L218="",'Job Info'!$B$40,L218)))</f>
        <v/>
      </c>
      <c r="O218" s="34" t="str">
        <f aca="false">IF(F218="","",M218+N218)</f>
        <v/>
      </c>
      <c r="P218" s="34" t="str">
        <f aca="false">IF(F218="","",N(G218)*M218)</f>
        <v/>
      </c>
      <c r="Q218" s="34" t="str">
        <f aca="false">IF(F218="","",N(G218)*N218)</f>
        <v/>
      </c>
      <c r="R218" s="35" t="str">
        <f aca="false">IF(F218="","",P218+Q218)</f>
        <v/>
      </c>
      <c r="S218" s="36"/>
      <c r="T218" s="36"/>
      <c r="U218" s="34" t="str">
        <f aca="false">IF(F218="","",N(G218)*N(I218))</f>
        <v/>
      </c>
      <c r="V218" s="34" t="str">
        <f aca="false">IF(F218="","",N(G218)*N(J218))</f>
        <v/>
      </c>
      <c r="W218" s="13" t="str">
        <f aca="false">IF(F218="","",IF(B218="Excluded","",COUNTIFS($F$6:F218,"?*",$B$6:B218,"&lt;&gt;Excluded")))</f>
        <v/>
      </c>
      <c r="X218" s="34" t="str">
        <f aca="false">IF(F218="","",N(G218)*N(I218)/(1-IF(K218="",'Job Info'!$B$39,K218))*IF('Job Info'!$B$38="Yes",'Job Info'!$B$37,0))</f>
        <v/>
      </c>
    </row>
    <row r="219" customFormat="false" ht="15" hidden="false" customHeight="false" outlineLevel="0" collapsed="false">
      <c r="A219" s="13" t="str">
        <f aca="false">IF(F219="","",ROW()-5)</f>
        <v/>
      </c>
      <c r="B219" s="14"/>
      <c r="C219" s="14"/>
      <c r="D219" s="14"/>
      <c r="E219" s="14"/>
      <c r="F219" s="36"/>
      <c r="G219" s="37"/>
      <c r="H219" s="14"/>
      <c r="I219" s="38"/>
      <c r="J219" s="38"/>
      <c r="K219" s="33"/>
      <c r="L219" s="33"/>
      <c r="M219" s="34" t="str">
        <f aca="false">IF(F219="","",N(I219)/(1-IF(K219="",'Job Info'!$B$39,K219))*(1+IF('Job Info'!$B$38="Yes",'Job Info'!$B$37,0)))</f>
        <v/>
      </c>
      <c r="N219" s="34" t="str">
        <f aca="false">IF(F219="","",N(J219)/(1-IF(L219="",'Job Info'!$B$40,L219)))</f>
        <v/>
      </c>
      <c r="O219" s="34" t="str">
        <f aca="false">IF(F219="","",M219+N219)</f>
        <v/>
      </c>
      <c r="P219" s="34" t="str">
        <f aca="false">IF(F219="","",N(G219)*M219)</f>
        <v/>
      </c>
      <c r="Q219" s="34" t="str">
        <f aca="false">IF(F219="","",N(G219)*N219)</f>
        <v/>
      </c>
      <c r="R219" s="35" t="str">
        <f aca="false">IF(F219="","",P219+Q219)</f>
        <v/>
      </c>
      <c r="S219" s="36"/>
      <c r="T219" s="36"/>
      <c r="U219" s="34" t="str">
        <f aca="false">IF(F219="","",N(G219)*N(I219))</f>
        <v/>
      </c>
      <c r="V219" s="34" t="str">
        <f aca="false">IF(F219="","",N(G219)*N(J219))</f>
        <v/>
      </c>
      <c r="W219" s="13" t="str">
        <f aca="false">IF(F219="","",IF(B219="Excluded","",COUNTIFS($F$6:F219,"?*",$B$6:B219,"&lt;&gt;Excluded")))</f>
        <v/>
      </c>
      <c r="X219" s="34" t="str">
        <f aca="false">IF(F219="","",N(G219)*N(I219)/(1-IF(K219="",'Job Info'!$B$39,K219))*IF('Job Info'!$B$38="Yes",'Job Info'!$B$37,0))</f>
        <v/>
      </c>
    </row>
    <row r="220" customFormat="false" ht="15" hidden="false" customHeight="false" outlineLevel="0" collapsed="false">
      <c r="A220" s="13" t="str">
        <f aca="false">IF(F220="","",ROW()-5)</f>
        <v/>
      </c>
      <c r="B220" s="14"/>
      <c r="C220" s="14"/>
      <c r="D220" s="14"/>
      <c r="E220" s="14"/>
      <c r="F220" s="36"/>
      <c r="G220" s="37"/>
      <c r="H220" s="14"/>
      <c r="I220" s="38"/>
      <c r="J220" s="38"/>
      <c r="K220" s="33"/>
      <c r="L220" s="33"/>
      <c r="M220" s="34" t="str">
        <f aca="false">IF(F220="","",N(I220)/(1-IF(K220="",'Job Info'!$B$39,K220))*(1+IF('Job Info'!$B$38="Yes",'Job Info'!$B$37,0)))</f>
        <v/>
      </c>
      <c r="N220" s="34" t="str">
        <f aca="false">IF(F220="","",N(J220)/(1-IF(L220="",'Job Info'!$B$40,L220)))</f>
        <v/>
      </c>
      <c r="O220" s="34" t="str">
        <f aca="false">IF(F220="","",M220+N220)</f>
        <v/>
      </c>
      <c r="P220" s="34" t="str">
        <f aca="false">IF(F220="","",N(G220)*M220)</f>
        <v/>
      </c>
      <c r="Q220" s="34" t="str">
        <f aca="false">IF(F220="","",N(G220)*N220)</f>
        <v/>
      </c>
      <c r="R220" s="35" t="str">
        <f aca="false">IF(F220="","",P220+Q220)</f>
        <v/>
      </c>
      <c r="S220" s="36"/>
      <c r="T220" s="36"/>
      <c r="U220" s="34" t="str">
        <f aca="false">IF(F220="","",N(G220)*N(I220))</f>
        <v/>
      </c>
      <c r="V220" s="34" t="str">
        <f aca="false">IF(F220="","",N(G220)*N(J220))</f>
        <v/>
      </c>
      <c r="W220" s="13" t="str">
        <f aca="false">IF(F220="","",IF(B220="Excluded","",COUNTIFS($F$6:F220,"?*",$B$6:B220,"&lt;&gt;Excluded")))</f>
        <v/>
      </c>
      <c r="X220" s="34" t="str">
        <f aca="false">IF(F220="","",N(G220)*N(I220)/(1-IF(K220="",'Job Info'!$B$39,K220))*IF('Job Info'!$B$38="Yes",'Job Info'!$B$37,0))</f>
        <v/>
      </c>
    </row>
    <row r="221" customFormat="false" ht="15" hidden="false" customHeight="false" outlineLevel="0" collapsed="false">
      <c r="A221" s="13" t="str">
        <f aca="false">IF(F221="","",ROW()-5)</f>
        <v/>
      </c>
      <c r="B221" s="14"/>
      <c r="C221" s="14"/>
      <c r="D221" s="14"/>
      <c r="E221" s="14"/>
      <c r="F221" s="36"/>
      <c r="G221" s="37"/>
      <c r="H221" s="14"/>
      <c r="I221" s="38"/>
      <c r="J221" s="38"/>
      <c r="K221" s="33"/>
      <c r="L221" s="33"/>
      <c r="M221" s="34" t="str">
        <f aca="false">IF(F221="","",N(I221)/(1-IF(K221="",'Job Info'!$B$39,K221))*(1+IF('Job Info'!$B$38="Yes",'Job Info'!$B$37,0)))</f>
        <v/>
      </c>
      <c r="N221" s="34" t="str">
        <f aca="false">IF(F221="","",N(J221)/(1-IF(L221="",'Job Info'!$B$40,L221)))</f>
        <v/>
      </c>
      <c r="O221" s="34" t="str">
        <f aca="false">IF(F221="","",M221+N221)</f>
        <v/>
      </c>
      <c r="P221" s="34" t="str">
        <f aca="false">IF(F221="","",N(G221)*M221)</f>
        <v/>
      </c>
      <c r="Q221" s="34" t="str">
        <f aca="false">IF(F221="","",N(G221)*N221)</f>
        <v/>
      </c>
      <c r="R221" s="35" t="str">
        <f aca="false">IF(F221="","",P221+Q221)</f>
        <v/>
      </c>
      <c r="S221" s="36"/>
      <c r="T221" s="36"/>
      <c r="U221" s="34" t="str">
        <f aca="false">IF(F221="","",N(G221)*N(I221))</f>
        <v/>
      </c>
      <c r="V221" s="34" t="str">
        <f aca="false">IF(F221="","",N(G221)*N(J221))</f>
        <v/>
      </c>
      <c r="W221" s="13" t="str">
        <f aca="false">IF(F221="","",IF(B221="Excluded","",COUNTIFS($F$6:F221,"?*",$B$6:B221,"&lt;&gt;Excluded")))</f>
        <v/>
      </c>
      <c r="X221" s="34" t="str">
        <f aca="false">IF(F221="","",N(G221)*N(I221)/(1-IF(K221="",'Job Info'!$B$39,K221))*IF('Job Info'!$B$38="Yes",'Job Info'!$B$37,0))</f>
        <v/>
      </c>
    </row>
    <row r="222" customFormat="false" ht="15" hidden="false" customHeight="false" outlineLevel="0" collapsed="false">
      <c r="A222" s="13" t="str">
        <f aca="false">IF(F222="","",ROW()-5)</f>
        <v/>
      </c>
      <c r="B222" s="14"/>
      <c r="C222" s="14"/>
      <c r="D222" s="14"/>
      <c r="E222" s="14"/>
      <c r="F222" s="36"/>
      <c r="G222" s="37"/>
      <c r="H222" s="14"/>
      <c r="I222" s="38"/>
      <c r="J222" s="38"/>
      <c r="K222" s="33"/>
      <c r="L222" s="33"/>
      <c r="M222" s="34" t="str">
        <f aca="false">IF(F222="","",N(I222)/(1-IF(K222="",'Job Info'!$B$39,K222))*(1+IF('Job Info'!$B$38="Yes",'Job Info'!$B$37,0)))</f>
        <v/>
      </c>
      <c r="N222" s="34" t="str">
        <f aca="false">IF(F222="","",N(J222)/(1-IF(L222="",'Job Info'!$B$40,L222)))</f>
        <v/>
      </c>
      <c r="O222" s="34" t="str">
        <f aca="false">IF(F222="","",M222+N222)</f>
        <v/>
      </c>
      <c r="P222" s="34" t="str">
        <f aca="false">IF(F222="","",N(G222)*M222)</f>
        <v/>
      </c>
      <c r="Q222" s="34" t="str">
        <f aca="false">IF(F222="","",N(G222)*N222)</f>
        <v/>
      </c>
      <c r="R222" s="35" t="str">
        <f aca="false">IF(F222="","",P222+Q222)</f>
        <v/>
      </c>
      <c r="S222" s="36"/>
      <c r="T222" s="36"/>
      <c r="U222" s="34" t="str">
        <f aca="false">IF(F222="","",N(G222)*N(I222))</f>
        <v/>
      </c>
      <c r="V222" s="34" t="str">
        <f aca="false">IF(F222="","",N(G222)*N(J222))</f>
        <v/>
      </c>
      <c r="W222" s="13" t="str">
        <f aca="false">IF(F222="","",IF(B222="Excluded","",COUNTIFS($F$6:F222,"?*",$B$6:B222,"&lt;&gt;Excluded")))</f>
        <v/>
      </c>
      <c r="X222" s="34" t="str">
        <f aca="false">IF(F222="","",N(G222)*N(I222)/(1-IF(K222="",'Job Info'!$B$39,K222))*IF('Job Info'!$B$38="Yes",'Job Info'!$B$37,0))</f>
        <v/>
      </c>
    </row>
    <row r="223" customFormat="false" ht="15" hidden="false" customHeight="false" outlineLevel="0" collapsed="false">
      <c r="A223" s="13" t="str">
        <f aca="false">IF(F223="","",ROW()-5)</f>
        <v/>
      </c>
      <c r="B223" s="14"/>
      <c r="C223" s="14"/>
      <c r="D223" s="14"/>
      <c r="E223" s="14"/>
      <c r="F223" s="36"/>
      <c r="G223" s="37"/>
      <c r="H223" s="14"/>
      <c r="I223" s="38"/>
      <c r="J223" s="38"/>
      <c r="K223" s="33"/>
      <c r="L223" s="33"/>
      <c r="M223" s="34" t="str">
        <f aca="false">IF(F223="","",N(I223)/(1-IF(K223="",'Job Info'!$B$39,K223))*(1+IF('Job Info'!$B$38="Yes",'Job Info'!$B$37,0)))</f>
        <v/>
      </c>
      <c r="N223" s="34" t="str">
        <f aca="false">IF(F223="","",N(J223)/(1-IF(L223="",'Job Info'!$B$40,L223)))</f>
        <v/>
      </c>
      <c r="O223" s="34" t="str">
        <f aca="false">IF(F223="","",M223+N223)</f>
        <v/>
      </c>
      <c r="P223" s="34" t="str">
        <f aca="false">IF(F223="","",N(G223)*M223)</f>
        <v/>
      </c>
      <c r="Q223" s="34" t="str">
        <f aca="false">IF(F223="","",N(G223)*N223)</f>
        <v/>
      </c>
      <c r="R223" s="35" t="str">
        <f aca="false">IF(F223="","",P223+Q223)</f>
        <v/>
      </c>
      <c r="S223" s="36"/>
      <c r="T223" s="36"/>
      <c r="U223" s="34" t="str">
        <f aca="false">IF(F223="","",N(G223)*N(I223))</f>
        <v/>
      </c>
      <c r="V223" s="34" t="str">
        <f aca="false">IF(F223="","",N(G223)*N(J223))</f>
        <v/>
      </c>
      <c r="W223" s="13" t="str">
        <f aca="false">IF(F223="","",IF(B223="Excluded","",COUNTIFS($F$6:F223,"?*",$B$6:B223,"&lt;&gt;Excluded")))</f>
        <v/>
      </c>
      <c r="X223" s="34" t="str">
        <f aca="false">IF(F223="","",N(G223)*N(I223)/(1-IF(K223="",'Job Info'!$B$39,K223))*IF('Job Info'!$B$38="Yes",'Job Info'!$B$37,0))</f>
        <v/>
      </c>
    </row>
    <row r="224" customFormat="false" ht="15" hidden="false" customHeight="false" outlineLevel="0" collapsed="false">
      <c r="A224" s="13" t="str">
        <f aca="false">IF(F224="","",ROW()-5)</f>
        <v/>
      </c>
      <c r="B224" s="14"/>
      <c r="C224" s="14"/>
      <c r="D224" s="14"/>
      <c r="E224" s="14"/>
      <c r="F224" s="36"/>
      <c r="G224" s="37"/>
      <c r="H224" s="14"/>
      <c r="I224" s="38"/>
      <c r="J224" s="38"/>
      <c r="K224" s="33"/>
      <c r="L224" s="33"/>
      <c r="M224" s="34" t="str">
        <f aca="false">IF(F224="","",N(I224)/(1-IF(K224="",'Job Info'!$B$39,K224))*(1+IF('Job Info'!$B$38="Yes",'Job Info'!$B$37,0)))</f>
        <v/>
      </c>
      <c r="N224" s="34" t="str">
        <f aca="false">IF(F224="","",N(J224)/(1-IF(L224="",'Job Info'!$B$40,L224)))</f>
        <v/>
      </c>
      <c r="O224" s="34" t="str">
        <f aca="false">IF(F224="","",M224+N224)</f>
        <v/>
      </c>
      <c r="P224" s="34" t="str">
        <f aca="false">IF(F224="","",N(G224)*M224)</f>
        <v/>
      </c>
      <c r="Q224" s="34" t="str">
        <f aca="false">IF(F224="","",N(G224)*N224)</f>
        <v/>
      </c>
      <c r="R224" s="35" t="str">
        <f aca="false">IF(F224="","",P224+Q224)</f>
        <v/>
      </c>
      <c r="S224" s="36"/>
      <c r="T224" s="36"/>
      <c r="U224" s="34" t="str">
        <f aca="false">IF(F224="","",N(G224)*N(I224))</f>
        <v/>
      </c>
      <c r="V224" s="34" t="str">
        <f aca="false">IF(F224="","",N(G224)*N(J224))</f>
        <v/>
      </c>
      <c r="W224" s="13" t="str">
        <f aca="false">IF(F224="","",IF(B224="Excluded","",COUNTIFS($F$6:F224,"?*",$B$6:B224,"&lt;&gt;Excluded")))</f>
        <v/>
      </c>
      <c r="X224" s="34" t="str">
        <f aca="false">IF(F224="","",N(G224)*N(I224)/(1-IF(K224="",'Job Info'!$B$39,K224))*IF('Job Info'!$B$38="Yes",'Job Info'!$B$37,0))</f>
        <v/>
      </c>
    </row>
    <row r="225" customFormat="false" ht="15" hidden="false" customHeight="false" outlineLevel="0" collapsed="false">
      <c r="A225" s="13" t="str">
        <f aca="false">IF(F225="","",ROW()-5)</f>
        <v/>
      </c>
      <c r="B225" s="14"/>
      <c r="C225" s="14"/>
      <c r="D225" s="14"/>
      <c r="E225" s="14"/>
      <c r="F225" s="36"/>
      <c r="G225" s="37"/>
      <c r="H225" s="14"/>
      <c r="I225" s="38"/>
      <c r="J225" s="38"/>
      <c r="K225" s="33"/>
      <c r="L225" s="33"/>
      <c r="M225" s="34" t="str">
        <f aca="false">IF(F225="","",N(I225)/(1-IF(K225="",'Job Info'!$B$39,K225))*(1+IF('Job Info'!$B$38="Yes",'Job Info'!$B$37,0)))</f>
        <v/>
      </c>
      <c r="N225" s="34" t="str">
        <f aca="false">IF(F225="","",N(J225)/(1-IF(L225="",'Job Info'!$B$40,L225)))</f>
        <v/>
      </c>
      <c r="O225" s="34" t="str">
        <f aca="false">IF(F225="","",M225+N225)</f>
        <v/>
      </c>
      <c r="P225" s="34" t="str">
        <f aca="false">IF(F225="","",N(G225)*M225)</f>
        <v/>
      </c>
      <c r="Q225" s="34" t="str">
        <f aca="false">IF(F225="","",N(G225)*N225)</f>
        <v/>
      </c>
      <c r="R225" s="35" t="str">
        <f aca="false">IF(F225="","",P225+Q225)</f>
        <v/>
      </c>
      <c r="S225" s="36"/>
      <c r="T225" s="36"/>
      <c r="U225" s="34" t="str">
        <f aca="false">IF(F225="","",N(G225)*N(I225))</f>
        <v/>
      </c>
      <c r="V225" s="34" t="str">
        <f aca="false">IF(F225="","",N(G225)*N(J225))</f>
        <v/>
      </c>
      <c r="W225" s="13" t="str">
        <f aca="false">IF(F225="","",IF(B225="Excluded","",COUNTIFS($F$6:F225,"?*",$B$6:B225,"&lt;&gt;Excluded")))</f>
        <v/>
      </c>
      <c r="X225" s="34" t="str">
        <f aca="false">IF(F225="","",N(G225)*N(I225)/(1-IF(K225="",'Job Info'!$B$39,K225))*IF('Job Info'!$B$38="Yes",'Job Info'!$B$37,0))</f>
        <v/>
      </c>
    </row>
    <row r="226" customFormat="false" ht="15" hidden="false" customHeight="false" outlineLevel="0" collapsed="false">
      <c r="A226" s="13" t="str">
        <f aca="false">IF(F226="","",ROW()-5)</f>
        <v/>
      </c>
      <c r="B226" s="14"/>
      <c r="C226" s="14"/>
      <c r="D226" s="14"/>
      <c r="E226" s="14"/>
      <c r="F226" s="36"/>
      <c r="G226" s="37"/>
      <c r="H226" s="14"/>
      <c r="I226" s="38"/>
      <c r="J226" s="38"/>
      <c r="K226" s="33"/>
      <c r="L226" s="33"/>
      <c r="M226" s="34" t="str">
        <f aca="false">IF(F226="","",N(I226)/(1-IF(K226="",'Job Info'!$B$39,K226))*(1+IF('Job Info'!$B$38="Yes",'Job Info'!$B$37,0)))</f>
        <v/>
      </c>
      <c r="N226" s="34" t="str">
        <f aca="false">IF(F226="","",N(J226)/(1-IF(L226="",'Job Info'!$B$40,L226)))</f>
        <v/>
      </c>
      <c r="O226" s="34" t="str">
        <f aca="false">IF(F226="","",M226+N226)</f>
        <v/>
      </c>
      <c r="P226" s="34" t="str">
        <f aca="false">IF(F226="","",N(G226)*M226)</f>
        <v/>
      </c>
      <c r="Q226" s="34" t="str">
        <f aca="false">IF(F226="","",N(G226)*N226)</f>
        <v/>
      </c>
      <c r="R226" s="35" t="str">
        <f aca="false">IF(F226="","",P226+Q226)</f>
        <v/>
      </c>
      <c r="S226" s="36"/>
      <c r="T226" s="36"/>
      <c r="U226" s="34" t="str">
        <f aca="false">IF(F226="","",N(G226)*N(I226))</f>
        <v/>
      </c>
      <c r="V226" s="34" t="str">
        <f aca="false">IF(F226="","",N(G226)*N(J226))</f>
        <v/>
      </c>
      <c r="W226" s="13" t="str">
        <f aca="false">IF(F226="","",IF(B226="Excluded","",COUNTIFS($F$6:F226,"?*",$B$6:B226,"&lt;&gt;Excluded")))</f>
        <v/>
      </c>
      <c r="X226" s="34" t="str">
        <f aca="false">IF(F226="","",N(G226)*N(I226)/(1-IF(K226="",'Job Info'!$B$39,K226))*IF('Job Info'!$B$38="Yes",'Job Info'!$B$37,0))</f>
        <v/>
      </c>
    </row>
    <row r="227" customFormat="false" ht="15" hidden="false" customHeight="false" outlineLevel="0" collapsed="false">
      <c r="A227" s="13" t="str">
        <f aca="false">IF(F227="","",ROW()-5)</f>
        <v/>
      </c>
      <c r="B227" s="14"/>
      <c r="C227" s="14"/>
      <c r="D227" s="14"/>
      <c r="E227" s="14"/>
      <c r="F227" s="36"/>
      <c r="G227" s="37"/>
      <c r="H227" s="14"/>
      <c r="I227" s="38"/>
      <c r="J227" s="38"/>
      <c r="K227" s="33"/>
      <c r="L227" s="33"/>
      <c r="M227" s="34" t="str">
        <f aca="false">IF(F227="","",N(I227)/(1-IF(K227="",'Job Info'!$B$39,K227))*(1+IF('Job Info'!$B$38="Yes",'Job Info'!$B$37,0)))</f>
        <v/>
      </c>
      <c r="N227" s="34" t="str">
        <f aca="false">IF(F227="","",N(J227)/(1-IF(L227="",'Job Info'!$B$40,L227)))</f>
        <v/>
      </c>
      <c r="O227" s="34" t="str">
        <f aca="false">IF(F227="","",M227+N227)</f>
        <v/>
      </c>
      <c r="P227" s="34" t="str">
        <f aca="false">IF(F227="","",N(G227)*M227)</f>
        <v/>
      </c>
      <c r="Q227" s="34" t="str">
        <f aca="false">IF(F227="","",N(G227)*N227)</f>
        <v/>
      </c>
      <c r="R227" s="35" t="str">
        <f aca="false">IF(F227="","",P227+Q227)</f>
        <v/>
      </c>
      <c r="S227" s="36"/>
      <c r="T227" s="36"/>
      <c r="U227" s="34" t="str">
        <f aca="false">IF(F227="","",N(G227)*N(I227))</f>
        <v/>
      </c>
      <c r="V227" s="34" t="str">
        <f aca="false">IF(F227="","",N(G227)*N(J227))</f>
        <v/>
      </c>
      <c r="W227" s="13" t="str">
        <f aca="false">IF(F227="","",IF(B227="Excluded","",COUNTIFS($F$6:F227,"?*",$B$6:B227,"&lt;&gt;Excluded")))</f>
        <v/>
      </c>
      <c r="X227" s="34" t="str">
        <f aca="false">IF(F227="","",N(G227)*N(I227)/(1-IF(K227="",'Job Info'!$B$39,K227))*IF('Job Info'!$B$38="Yes",'Job Info'!$B$37,0))</f>
        <v/>
      </c>
    </row>
    <row r="228" customFormat="false" ht="15" hidden="false" customHeight="false" outlineLevel="0" collapsed="false">
      <c r="A228" s="13" t="str">
        <f aca="false">IF(F228="","",ROW()-5)</f>
        <v/>
      </c>
      <c r="B228" s="14"/>
      <c r="C228" s="14"/>
      <c r="D228" s="14"/>
      <c r="E228" s="14"/>
      <c r="F228" s="36"/>
      <c r="G228" s="37"/>
      <c r="H228" s="14"/>
      <c r="I228" s="38"/>
      <c r="J228" s="38"/>
      <c r="K228" s="33"/>
      <c r="L228" s="33"/>
      <c r="M228" s="34" t="str">
        <f aca="false">IF(F228="","",N(I228)/(1-IF(K228="",'Job Info'!$B$39,K228))*(1+IF('Job Info'!$B$38="Yes",'Job Info'!$B$37,0)))</f>
        <v/>
      </c>
      <c r="N228" s="34" t="str">
        <f aca="false">IF(F228="","",N(J228)/(1-IF(L228="",'Job Info'!$B$40,L228)))</f>
        <v/>
      </c>
      <c r="O228" s="34" t="str">
        <f aca="false">IF(F228="","",M228+N228)</f>
        <v/>
      </c>
      <c r="P228" s="34" t="str">
        <f aca="false">IF(F228="","",N(G228)*M228)</f>
        <v/>
      </c>
      <c r="Q228" s="34" t="str">
        <f aca="false">IF(F228="","",N(G228)*N228)</f>
        <v/>
      </c>
      <c r="R228" s="35" t="str">
        <f aca="false">IF(F228="","",P228+Q228)</f>
        <v/>
      </c>
      <c r="S228" s="36"/>
      <c r="T228" s="36"/>
      <c r="U228" s="34" t="str">
        <f aca="false">IF(F228="","",N(G228)*N(I228))</f>
        <v/>
      </c>
      <c r="V228" s="34" t="str">
        <f aca="false">IF(F228="","",N(G228)*N(J228))</f>
        <v/>
      </c>
      <c r="W228" s="13" t="str">
        <f aca="false">IF(F228="","",IF(B228="Excluded","",COUNTIFS($F$6:F228,"?*",$B$6:B228,"&lt;&gt;Excluded")))</f>
        <v/>
      </c>
      <c r="X228" s="34" t="str">
        <f aca="false">IF(F228="","",N(G228)*N(I228)/(1-IF(K228="",'Job Info'!$B$39,K228))*IF('Job Info'!$B$38="Yes",'Job Info'!$B$37,0))</f>
        <v/>
      </c>
    </row>
    <row r="229" customFormat="false" ht="15" hidden="false" customHeight="false" outlineLevel="0" collapsed="false">
      <c r="A229" s="13" t="str">
        <f aca="false">IF(F229="","",ROW()-5)</f>
        <v/>
      </c>
      <c r="B229" s="14"/>
      <c r="C229" s="14"/>
      <c r="D229" s="14"/>
      <c r="E229" s="14"/>
      <c r="F229" s="36"/>
      <c r="G229" s="37"/>
      <c r="H229" s="14"/>
      <c r="I229" s="38"/>
      <c r="J229" s="38"/>
      <c r="K229" s="33"/>
      <c r="L229" s="33"/>
      <c r="M229" s="34" t="str">
        <f aca="false">IF(F229="","",N(I229)/(1-IF(K229="",'Job Info'!$B$39,K229))*(1+IF('Job Info'!$B$38="Yes",'Job Info'!$B$37,0)))</f>
        <v/>
      </c>
      <c r="N229" s="34" t="str">
        <f aca="false">IF(F229="","",N(J229)/(1-IF(L229="",'Job Info'!$B$40,L229)))</f>
        <v/>
      </c>
      <c r="O229" s="34" t="str">
        <f aca="false">IF(F229="","",M229+N229)</f>
        <v/>
      </c>
      <c r="P229" s="34" t="str">
        <f aca="false">IF(F229="","",N(G229)*M229)</f>
        <v/>
      </c>
      <c r="Q229" s="34" t="str">
        <f aca="false">IF(F229="","",N(G229)*N229)</f>
        <v/>
      </c>
      <c r="R229" s="35" t="str">
        <f aca="false">IF(F229="","",P229+Q229)</f>
        <v/>
      </c>
      <c r="S229" s="36"/>
      <c r="T229" s="36"/>
      <c r="U229" s="34" t="str">
        <f aca="false">IF(F229="","",N(G229)*N(I229))</f>
        <v/>
      </c>
      <c r="V229" s="34" t="str">
        <f aca="false">IF(F229="","",N(G229)*N(J229))</f>
        <v/>
      </c>
      <c r="W229" s="13" t="str">
        <f aca="false">IF(F229="","",IF(B229="Excluded","",COUNTIFS($F$6:F229,"?*",$B$6:B229,"&lt;&gt;Excluded")))</f>
        <v/>
      </c>
      <c r="X229" s="34" t="str">
        <f aca="false">IF(F229="","",N(G229)*N(I229)/(1-IF(K229="",'Job Info'!$B$39,K229))*IF('Job Info'!$B$38="Yes",'Job Info'!$B$37,0))</f>
        <v/>
      </c>
    </row>
    <row r="230" customFormat="false" ht="15" hidden="false" customHeight="false" outlineLevel="0" collapsed="false">
      <c r="A230" s="13" t="str">
        <f aca="false">IF(F230="","",ROW()-5)</f>
        <v/>
      </c>
      <c r="B230" s="14"/>
      <c r="C230" s="14"/>
      <c r="D230" s="14"/>
      <c r="E230" s="14"/>
      <c r="F230" s="36"/>
      <c r="G230" s="37"/>
      <c r="H230" s="14"/>
      <c r="I230" s="38"/>
      <c r="J230" s="38"/>
      <c r="K230" s="33"/>
      <c r="L230" s="33"/>
      <c r="M230" s="34" t="str">
        <f aca="false">IF(F230="","",N(I230)/(1-IF(K230="",'Job Info'!$B$39,K230))*(1+IF('Job Info'!$B$38="Yes",'Job Info'!$B$37,0)))</f>
        <v/>
      </c>
      <c r="N230" s="34" t="str">
        <f aca="false">IF(F230="","",N(J230)/(1-IF(L230="",'Job Info'!$B$40,L230)))</f>
        <v/>
      </c>
      <c r="O230" s="34" t="str">
        <f aca="false">IF(F230="","",M230+N230)</f>
        <v/>
      </c>
      <c r="P230" s="34" t="str">
        <f aca="false">IF(F230="","",N(G230)*M230)</f>
        <v/>
      </c>
      <c r="Q230" s="34" t="str">
        <f aca="false">IF(F230="","",N(G230)*N230)</f>
        <v/>
      </c>
      <c r="R230" s="35" t="str">
        <f aca="false">IF(F230="","",P230+Q230)</f>
        <v/>
      </c>
      <c r="S230" s="36"/>
      <c r="T230" s="36"/>
      <c r="U230" s="34" t="str">
        <f aca="false">IF(F230="","",N(G230)*N(I230))</f>
        <v/>
      </c>
      <c r="V230" s="34" t="str">
        <f aca="false">IF(F230="","",N(G230)*N(J230))</f>
        <v/>
      </c>
      <c r="W230" s="13" t="str">
        <f aca="false">IF(F230="","",IF(B230="Excluded","",COUNTIFS($F$6:F230,"?*",$B$6:B230,"&lt;&gt;Excluded")))</f>
        <v/>
      </c>
      <c r="X230" s="34" t="str">
        <f aca="false">IF(F230="","",N(G230)*N(I230)/(1-IF(K230="",'Job Info'!$B$39,K230))*IF('Job Info'!$B$38="Yes",'Job Info'!$B$37,0))</f>
        <v/>
      </c>
    </row>
    <row r="231" customFormat="false" ht="15" hidden="false" customHeight="false" outlineLevel="0" collapsed="false">
      <c r="A231" s="13" t="str">
        <f aca="false">IF(F231="","",ROW()-5)</f>
        <v/>
      </c>
      <c r="B231" s="14"/>
      <c r="C231" s="14"/>
      <c r="D231" s="14"/>
      <c r="E231" s="14"/>
      <c r="F231" s="36"/>
      <c r="G231" s="37"/>
      <c r="H231" s="14"/>
      <c r="I231" s="38"/>
      <c r="J231" s="38"/>
      <c r="K231" s="33"/>
      <c r="L231" s="33"/>
      <c r="M231" s="34" t="str">
        <f aca="false">IF(F231="","",N(I231)/(1-IF(K231="",'Job Info'!$B$39,K231))*(1+IF('Job Info'!$B$38="Yes",'Job Info'!$B$37,0)))</f>
        <v/>
      </c>
      <c r="N231" s="34" t="str">
        <f aca="false">IF(F231="","",N(J231)/(1-IF(L231="",'Job Info'!$B$40,L231)))</f>
        <v/>
      </c>
      <c r="O231" s="34" t="str">
        <f aca="false">IF(F231="","",M231+N231)</f>
        <v/>
      </c>
      <c r="P231" s="34" t="str">
        <f aca="false">IF(F231="","",N(G231)*M231)</f>
        <v/>
      </c>
      <c r="Q231" s="34" t="str">
        <f aca="false">IF(F231="","",N(G231)*N231)</f>
        <v/>
      </c>
      <c r="R231" s="35" t="str">
        <f aca="false">IF(F231="","",P231+Q231)</f>
        <v/>
      </c>
      <c r="S231" s="36"/>
      <c r="T231" s="36"/>
      <c r="U231" s="34" t="str">
        <f aca="false">IF(F231="","",N(G231)*N(I231))</f>
        <v/>
      </c>
      <c r="V231" s="34" t="str">
        <f aca="false">IF(F231="","",N(G231)*N(J231))</f>
        <v/>
      </c>
      <c r="W231" s="13" t="str">
        <f aca="false">IF(F231="","",IF(B231="Excluded","",COUNTIFS($F$6:F231,"?*",$B$6:B231,"&lt;&gt;Excluded")))</f>
        <v/>
      </c>
      <c r="X231" s="34" t="str">
        <f aca="false">IF(F231="","",N(G231)*N(I231)/(1-IF(K231="",'Job Info'!$B$39,K231))*IF('Job Info'!$B$38="Yes",'Job Info'!$B$37,0))</f>
        <v/>
      </c>
    </row>
    <row r="232" customFormat="false" ht="15" hidden="false" customHeight="false" outlineLevel="0" collapsed="false">
      <c r="A232" s="13" t="str">
        <f aca="false">IF(F232="","",ROW()-5)</f>
        <v/>
      </c>
      <c r="B232" s="14"/>
      <c r="C232" s="14"/>
      <c r="D232" s="14"/>
      <c r="E232" s="14"/>
      <c r="F232" s="36"/>
      <c r="G232" s="37"/>
      <c r="H232" s="14"/>
      <c r="I232" s="38"/>
      <c r="J232" s="38"/>
      <c r="K232" s="33"/>
      <c r="L232" s="33"/>
      <c r="M232" s="34" t="str">
        <f aca="false">IF(F232="","",N(I232)/(1-IF(K232="",'Job Info'!$B$39,K232))*(1+IF('Job Info'!$B$38="Yes",'Job Info'!$B$37,0)))</f>
        <v/>
      </c>
      <c r="N232" s="34" t="str">
        <f aca="false">IF(F232="","",N(J232)/(1-IF(L232="",'Job Info'!$B$40,L232)))</f>
        <v/>
      </c>
      <c r="O232" s="34" t="str">
        <f aca="false">IF(F232="","",M232+N232)</f>
        <v/>
      </c>
      <c r="P232" s="34" t="str">
        <f aca="false">IF(F232="","",N(G232)*M232)</f>
        <v/>
      </c>
      <c r="Q232" s="34" t="str">
        <f aca="false">IF(F232="","",N(G232)*N232)</f>
        <v/>
      </c>
      <c r="R232" s="35" t="str">
        <f aca="false">IF(F232="","",P232+Q232)</f>
        <v/>
      </c>
      <c r="S232" s="36"/>
      <c r="T232" s="36"/>
      <c r="U232" s="34" t="str">
        <f aca="false">IF(F232="","",N(G232)*N(I232))</f>
        <v/>
      </c>
      <c r="V232" s="34" t="str">
        <f aca="false">IF(F232="","",N(G232)*N(J232))</f>
        <v/>
      </c>
      <c r="W232" s="13" t="str">
        <f aca="false">IF(F232="","",IF(B232="Excluded","",COUNTIFS($F$6:F232,"?*",$B$6:B232,"&lt;&gt;Excluded")))</f>
        <v/>
      </c>
      <c r="X232" s="34" t="str">
        <f aca="false">IF(F232="","",N(G232)*N(I232)/(1-IF(K232="",'Job Info'!$B$39,K232))*IF('Job Info'!$B$38="Yes",'Job Info'!$B$37,0))</f>
        <v/>
      </c>
    </row>
    <row r="233" customFormat="false" ht="15" hidden="false" customHeight="false" outlineLevel="0" collapsed="false">
      <c r="A233" s="13" t="str">
        <f aca="false">IF(F233="","",ROW()-5)</f>
        <v/>
      </c>
      <c r="B233" s="14"/>
      <c r="C233" s="14"/>
      <c r="D233" s="14"/>
      <c r="E233" s="14"/>
      <c r="F233" s="36"/>
      <c r="G233" s="37"/>
      <c r="H233" s="14"/>
      <c r="I233" s="38"/>
      <c r="J233" s="38"/>
      <c r="K233" s="33"/>
      <c r="L233" s="33"/>
      <c r="M233" s="34" t="str">
        <f aca="false">IF(F233="","",N(I233)/(1-IF(K233="",'Job Info'!$B$39,K233))*(1+IF('Job Info'!$B$38="Yes",'Job Info'!$B$37,0)))</f>
        <v/>
      </c>
      <c r="N233" s="34" t="str">
        <f aca="false">IF(F233="","",N(J233)/(1-IF(L233="",'Job Info'!$B$40,L233)))</f>
        <v/>
      </c>
      <c r="O233" s="34" t="str">
        <f aca="false">IF(F233="","",M233+N233)</f>
        <v/>
      </c>
      <c r="P233" s="34" t="str">
        <f aca="false">IF(F233="","",N(G233)*M233)</f>
        <v/>
      </c>
      <c r="Q233" s="34" t="str">
        <f aca="false">IF(F233="","",N(G233)*N233)</f>
        <v/>
      </c>
      <c r="R233" s="35" t="str">
        <f aca="false">IF(F233="","",P233+Q233)</f>
        <v/>
      </c>
      <c r="S233" s="36"/>
      <c r="T233" s="36"/>
      <c r="U233" s="34" t="str">
        <f aca="false">IF(F233="","",N(G233)*N(I233))</f>
        <v/>
      </c>
      <c r="V233" s="34" t="str">
        <f aca="false">IF(F233="","",N(G233)*N(J233))</f>
        <v/>
      </c>
      <c r="W233" s="13" t="str">
        <f aca="false">IF(F233="","",IF(B233="Excluded","",COUNTIFS($F$6:F233,"?*",$B$6:B233,"&lt;&gt;Excluded")))</f>
        <v/>
      </c>
      <c r="X233" s="34" t="str">
        <f aca="false">IF(F233="","",N(G233)*N(I233)/(1-IF(K233="",'Job Info'!$B$39,K233))*IF('Job Info'!$B$38="Yes",'Job Info'!$B$37,0))</f>
        <v/>
      </c>
    </row>
    <row r="234" customFormat="false" ht="15" hidden="false" customHeight="false" outlineLevel="0" collapsed="false">
      <c r="A234" s="13" t="str">
        <f aca="false">IF(F234="","",ROW()-5)</f>
        <v/>
      </c>
      <c r="B234" s="14"/>
      <c r="C234" s="14"/>
      <c r="D234" s="14"/>
      <c r="E234" s="14"/>
      <c r="F234" s="36"/>
      <c r="G234" s="37"/>
      <c r="H234" s="14"/>
      <c r="I234" s="38"/>
      <c r="J234" s="38"/>
      <c r="K234" s="33"/>
      <c r="L234" s="33"/>
      <c r="M234" s="34" t="str">
        <f aca="false">IF(F234="","",N(I234)/(1-IF(K234="",'Job Info'!$B$39,K234))*(1+IF('Job Info'!$B$38="Yes",'Job Info'!$B$37,0)))</f>
        <v/>
      </c>
      <c r="N234" s="34" t="str">
        <f aca="false">IF(F234="","",N(J234)/(1-IF(L234="",'Job Info'!$B$40,L234)))</f>
        <v/>
      </c>
      <c r="O234" s="34" t="str">
        <f aca="false">IF(F234="","",M234+N234)</f>
        <v/>
      </c>
      <c r="P234" s="34" t="str">
        <f aca="false">IF(F234="","",N(G234)*M234)</f>
        <v/>
      </c>
      <c r="Q234" s="34" t="str">
        <f aca="false">IF(F234="","",N(G234)*N234)</f>
        <v/>
      </c>
      <c r="R234" s="35" t="str">
        <f aca="false">IF(F234="","",P234+Q234)</f>
        <v/>
      </c>
      <c r="S234" s="36"/>
      <c r="T234" s="36"/>
      <c r="U234" s="34" t="str">
        <f aca="false">IF(F234="","",N(G234)*N(I234))</f>
        <v/>
      </c>
      <c r="V234" s="34" t="str">
        <f aca="false">IF(F234="","",N(G234)*N(J234))</f>
        <v/>
      </c>
      <c r="W234" s="13" t="str">
        <f aca="false">IF(F234="","",IF(B234="Excluded","",COUNTIFS($F$6:F234,"?*",$B$6:B234,"&lt;&gt;Excluded")))</f>
        <v/>
      </c>
      <c r="X234" s="34" t="str">
        <f aca="false">IF(F234="","",N(G234)*N(I234)/(1-IF(K234="",'Job Info'!$B$39,K234))*IF('Job Info'!$B$38="Yes",'Job Info'!$B$37,0))</f>
        <v/>
      </c>
    </row>
    <row r="235" customFormat="false" ht="15" hidden="false" customHeight="false" outlineLevel="0" collapsed="false">
      <c r="A235" s="13" t="str">
        <f aca="false">IF(F235="","",ROW()-5)</f>
        <v/>
      </c>
      <c r="B235" s="14"/>
      <c r="C235" s="14"/>
      <c r="D235" s="14"/>
      <c r="E235" s="14"/>
      <c r="F235" s="36"/>
      <c r="G235" s="37"/>
      <c r="H235" s="14"/>
      <c r="I235" s="38"/>
      <c r="J235" s="38"/>
      <c r="K235" s="33"/>
      <c r="L235" s="33"/>
      <c r="M235" s="34" t="str">
        <f aca="false">IF(F235="","",N(I235)/(1-IF(K235="",'Job Info'!$B$39,K235))*(1+IF('Job Info'!$B$38="Yes",'Job Info'!$B$37,0)))</f>
        <v/>
      </c>
      <c r="N235" s="34" t="str">
        <f aca="false">IF(F235="","",N(J235)/(1-IF(L235="",'Job Info'!$B$40,L235)))</f>
        <v/>
      </c>
      <c r="O235" s="34" t="str">
        <f aca="false">IF(F235="","",M235+N235)</f>
        <v/>
      </c>
      <c r="P235" s="34" t="str">
        <f aca="false">IF(F235="","",N(G235)*M235)</f>
        <v/>
      </c>
      <c r="Q235" s="34" t="str">
        <f aca="false">IF(F235="","",N(G235)*N235)</f>
        <v/>
      </c>
      <c r="R235" s="35" t="str">
        <f aca="false">IF(F235="","",P235+Q235)</f>
        <v/>
      </c>
      <c r="S235" s="36"/>
      <c r="T235" s="36"/>
      <c r="U235" s="34" t="str">
        <f aca="false">IF(F235="","",N(G235)*N(I235))</f>
        <v/>
      </c>
      <c r="V235" s="34" t="str">
        <f aca="false">IF(F235="","",N(G235)*N(J235))</f>
        <v/>
      </c>
      <c r="W235" s="13" t="str">
        <f aca="false">IF(F235="","",IF(B235="Excluded","",COUNTIFS($F$6:F235,"?*",$B$6:B235,"&lt;&gt;Excluded")))</f>
        <v/>
      </c>
      <c r="X235" s="34" t="str">
        <f aca="false">IF(F235="","",N(G235)*N(I235)/(1-IF(K235="",'Job Info'!$B$39,K235))*IF('Job Info'!$B$38="Yes",'Job Info'!$B$37,0))</f>
        <v/>
      </c>
    </row>
    <row r="236" customFormat="false" ht="15" hidden="false" customHeight="false" outlineLevel="0" collapsed="false">
      <c r="A236" s="13" t="str">
        <f aca="false">IF(F236="","",ROW()-5)</f>
        <v/>
      </c>
      <c r="B236" s="14"/>
      <c r="C236" s="14"/>
      <c r="D236" s="14"/>
      <c r="E236" s="14"/>
      <c r="F236" s="36"/>
      <c r="G236" s="37"/>
      <c r="H236" s="14"/>
      <c r="I236" s="38"/>
      <c r="J236" s="38"/>
      <c r="K236" s="33"/>
      <c r="L236" s="33"/>
      <c r="M236" s="34" t="str">
        <f aca="false">IF(F236="","",N(I236)/(1-IF(K236="",'Job Info'!$B$39,K236))*(1+IF('Job Info'!$B$38="Yes",'Job Info'!$B$37,0)))</f>
        <v/>
      </c>
      <c r="N236" s="34" t="str">
        <f aca="false">IF(F236="","",N(J236)/(1-IF(L236="",'Job Info'!$B$40,L236)))</f>
        <v/>
      </c>
      <c r="O236" s="34" t="str">
        <f aca="false">IF(F236="","",M236+N236)</f>
        <v/>
      </c>
      <c r="P236" s="34" t="str">
        <f aca="false">IF(F236="","",N(G236)*M236)</f>
        <v/>
      </c>
      <c r="Q236" s="34" t="str">
        <f aca="false">IF(F236="","",N(G236)*N236)</f>
        <v/>
      </c>
      <c r="R236" s="35" t="str">
        <f aca="false">IF(F236="","",P236+Q236)</f>
        <v/>
      </c>
      <c r="S236" s="36"/>
      <c r="T236" s="36"/>
      <c r="U236" s="34" t="str">
        <f aca="false">IF(F236="","",N(G236)*N(I236))</f>
        <v/>
      </c>
      <c r="V236" s="34" t="str">
        <f aca="false">IF(F236="","",N(G236)*N(J236))</f>
        <v/>
      </c>
      <c r="W236" s="13" t="str">
        <f aca="false">IF(F236="","",IF(B236="Excluded","",COUNTIFS($F$6:F236,"?*",$B$6:B236,"&lt;&gt;Excluded")))</f>
        <v/>
      </c>
      <c r="X236" s="34" t="str">
        <f aca="false">IF(F236="","",N(G236)*N(I236)/(1-IF(K236="",'Job Info'!$B$39,K236))*IF('Job Info'!$B$38="Yes",'Job Info'!$B$37,0))</f>
        <v/>
      </c>
    </row>
    <row r="237" customFormat="false" ht="15" hidden="false" customHeight="false" outlineLevel="0" collapsed="false">
      <c r="A237" s="13" t="str">
        <f aca="false">IF(F237="","",ROW()-5)</f>
        <v/>
      </c>
      <c r="B237" s="14"/>
      <c r="C237" s="14"/>
      <c r="D237" s="14"/>
      <c r="E237" s="14"/>
      <c r="F237" s="36"/>
      <c r="G237" s="37"/>
      <c r="H237" s="14"/>
      <c r="I237" s="38"/>
      <c r="J237" s="38"/>
      <c r="K237" s="33"/>
      <c r="L237" s="33"/>
      <c r="M237" s="34" t="str">
        <f aca="false">IF(F237="","",N(I237)/(1-IF(K237="",'Job Info'!$B$39,K237))*(1+IF('Job Info'!$B$38="Yes",'Job Info'!$B$37,0)))</f>
        <v/>
      </c>
      <c r="N237" s="34" t="str">
        <f aca="false">IF(F237="","",N(J237)/(1-IF(L237="",'Job Info'!$B$40,L237)))</f>
        <v/>
      </c>
      <c r="O237" s="34" t="str">
        <f aca="false">IF(F237="","",M237+N237)</f>
        <v/>
      </c>
      <c r="P237" s="34" t="str">
        <f aca="false">IF(F237="","",N(G237)*M237)</f>
        <v/>
      </c>
      <c r="Q237" s="34" t="str">
        <f aca="false">IF(F237="","",N(G237)*N237)</f>
        <v/>
      </c>
      <c r="R237" s="35" t="str">
        <f aca="false">IF(F237="","",P237+Q237)</f>
        <v/>
      </c>
      <c r="S237" s="36"/>
      <c r="T237" s="36"/>
      <c r="U237" s="34" t="str">
        <f aca="false">IF(F237="","",N(G237)*N(I237))</f>
        <v/>
      </c>
      <c r="V237" s="34" t="str">
        <f aca="false">IF(F237="","",N(G237)*N(J237))</f>
        <v/>
      </c>
      <c r="W237" s="13" t="str">
        <f aca="false">IF(F237="","",IF(B237="Excluded","",COUNTIFS($F$6:F237,"?*",$B$6:B237,"&lt;&gt;Excluded")))</f>
        <v/>
      </c>
      <c r="X237" s="34" t="str">
        <f aca="false">IF(F237="","",N(G237)*N(I237)/(1-IF(K237="",'Job Info'!$B$39,K237))*IF('Job Info'!$B$38="Yes",'Job Info'!$B$37,0))</f>
        <v/>
      </c>
    </row>
    <row r="238" customFormat="false" ht="15" hidden="false" customHeight="false" outlineLevel="0" collapsed="false">
      <c r="A238" s="13" t="str">
        <f aca="false">IF(F238="","",ROW()-5)</f>
        <v/>
      </c>
      <c r="B238" s="14"/>
      <c r="C238" s="14"/>
      <c r="D238" s="14"/>
      <c r="E238" s="14"/>
      <c r="F238" s="36"/>
      <c r="G238" s="37"/>
      <c r="H238" s="14"/>
      <c r="I238" s="38"/>
      <c r="J238" s="38"/>
      <c r="K238" s="33"/>
      <c r="L238" s="33"/>
      <c r="M238" s="34" t="str">
        <f aca="false">IF(F238="","",N(I238)/(1-IF(K238="",'Job Info'!$B$39,K238))*(1+IF('Job Info'!$B$38="Yes",'Job Info'!$B$37,0)))</f>
        <v/>
      </c>
      <c r="N238" s="34" t="str">
        <f aca="false">IF(F238="","",N(J238)/(1-IF(L238="",'Job Info'!$B$40,L238)))</f>
        <v/>
      </c>
      <c r="O238" s="34" t="str">
        <f aca="false">IF(F238="","",M238+N238)</f>
        <v/>
      </c>
      <c r="P238" s="34" t="str">
        <f aca="false">IF(F238="","",N(G238)*M238)</f>
        <v/>
      </c>
      <c r="Q238" s="34" t="str">
        <f aca="false">IF(F238="","",N(G238)*N238)</f>
        <v/>
      </c>
      <c r="R238" s="35" t="str">
        <f aca="false">IF(F238="","",P238+Q238)</f>
        <v/>
      </c>
      <c r="S238" s="36"/>
      <c r="T238" s="36"/>
      <c r="U238" s="34" t="str">
        <f aca="false">IF(F238="","",N(G238)*N(I238))</f>
        <v/>
      </c>
      <c r="V238" s="34" t="str">
        <f aca="false">IF(F238="","",N(G238)*N(J238))</f>
        <v/>
      </c>
      <c r="W238" s="13" t="str">
        <f aca="false">IF(F238="","",IF(B238="Excluded","",COUNTIFS($F$6:F238,"?*",$B$6:B238,"&lt;&gt;Excluded")))</f>
        <v/>
      </c>
      <c r="X238" s="34" t="str">
        <f aca="false">IF(F238="","",N(G238)*N(I238)/(1-IF(K238="",'Job Info'!$B$39,K238))*IF('Job Info'!$B$38="Yes",'Job Info'!$B$37,0))</f>
        <v/>
      </c>
    </row>
    <row r="239" customFormat="false" ht="15" hidden="false" customHeight="false" outlineLevel="0" collapsed="false">
      <c r="A239" s="13" t="str">
        <f aca="false">IF(F239="","",ROW()-5)</f>
        <v/>
      </c>
      <c r="B239" s="14"/>
      <c r="C239" s="14"/>
      <c r="D239" s="14"/>
      <c r="E239" s="14"/>
      <c r="F239" s="36"/>
      <c r="G239" s="37"/>
      <c r="H239" s="14"/>
      <c r="I239" s="38"/>
      <c r="J239" s="38"/>
      <c r="K239" s="33"/>
      <c r="L239" s="33"/>
      <c r="M239" s="34" t="str">
        <f aca="false">IF(F239="","",N(I239)/(1-IF(K239="",'Job Info'!$B$39,K239))*(1+IF('Job Info'!$B$38="Yes",'Job Info'!$B$37,0)))</f>
        <v/>
      </c>
      <c r="N239" s="34" t="str">
        <f aca="false">IF(F239="","",N(J239)/(1-IF(L239="",'Job Info'!$B$40,L239)))</f>
        <v/>
      </c>
      <c r="O239" s="34" t="str">
        <f aca="false">IF(F239="","",M239+N239)</f>
        <v/>
      </c>
      <c r="P239" s="34" t="str">
        <f aca="false">IF(F239="","",N(G239)*M239)</f>
        <v/>
      </c>
      <c r="Q239" s="34" t="str">
        <f aca="false">IF(F239="","",N(G239)*N239)</f>
        <v/>
      </c>
      <c r="R239" s="35" t="str">
        <f aca="false">IF(F239="","",P239+Q239)</f>
        <v/>
      </c>
      <c r="S239" s="36"/>
      <c r="T239" s="36"/>
      <c r="U239" s="34" t="str">
        <f aca="false">IF(F239="","",N(G239)*N(I239))</f>
        <v/>
      </c>
      <c r="V239" s="34" t="str">
        <f aca="false">IF(F239="","",N(G239)*N(J239))</f>
        <v/>
      </c>
      <c r="W239" s="13" t="str">
        <f aca="false">IF(F239="","",IF(B239="Excluded","",COUNTIFS($F$6:F239,"?*",$B$6:B239,"&lt;&gt;Excluded")))</f>
        <v/>
      </c>
      <c r="X239" s="34" t="str">
        <f aca="false">IF(F239="","",N(G239)*N(I239)/(1-IF(K239="",'Job Info'!$B$39,K239))*IF('Job Info'!$B$38="Yes",'Job Info'!$B$37,0))</f>
        <v/>
      </c>
    </row>
    <row r="240" customFormat="false" ht="15" hidden="false" customHeight="false" outlineLevel="0" collapsed="false">
      <c r="A240" s="13" t="str">
        <f aca="false">IF(F240="","",ROW()-5)</f>
        <v/>
      </c>
      <c r="B240" s="14"/>
      <c r="C240" s="14"/>
      <c r="D240" s="14"/>
      <c r="E240" s="14"/>
      <c r="F240" s="36"/>
      <c r="G240" s="37"/>
      <c r="H240" s="14"/>
      <c r="I240" s="38"/>
      <c r="J240" s="38"/>
      <c r="K240" s="33"/>
      <c r="L240" s="33"/>
      <c r="M240" s="34" t="str">
        <f aca="false">IF(F240="","",N(I240)/(1-IF(K240="",'Job Info'!$B$39,K240))*(1+IF('Job Info'!$B$38="Yes",'Job Info'!$B$37,0)))</f>
        <v/>
      </c>
      <c r="N240" s="34" t="str">
        <f aca="false">IF(F240="","",N(J240)/(1-IF(L240="",'Job Info'!$B$40,L240)))</f>
        <v/>
      </c>
      <c r="O240" s="34" t="str">
        <f aca="false">IF(F240="","",M240+N240)</f>
        <v/>
      </c>
      <c r="P240" s="34" t="str">
        <f aca="false">IF(F240="","",N(G240)*M240)</f>
        <v/>
      </c>
      <c r="Q240" s="34" t="str">
        <f aca="false">IF(F240="","",N(G240)*N240)</f>
        <v/>
      </c>
      <c r="R240" s="35" t="str">
        <f aca="false">IF(F240="","",P240+Q240)</f>
        <v/>
      </c>
      <c r="S240" s="36"/>
      <c r="T240" s="36"/>
      <c r="U240" s="34" t="str">
        <f aca="false">IF(F240="","",N(G240)*N(I240))</f>
        <v/>
      </c>
      <c r="V240" s="34" t="str">
        <f aca="false">IF(F240="","",N(G240)*N(J240))</f>
        <v/>
      </c>
      <c r="W240" s="13" t="str">
        <f aca="false">IF(F240="","",IF(B240="Excluded","",COUNTIFS($F$6:F240,"?*",$B$6:B240,"&lt;&gt;Excluded")))</f>
        <v/>
      </c>
      <c r="X240" s="34" t="str">
        <f aca="false">IF(F240="","",N(G240)*N(I240)/(1-IF(K240="",'Job Info'!$B$39,K240))*IF('Job Info'!$B$38="Yes",'Job Info'!$B$37,0))</f>
        <v/>
      </c>
    </row>
    <row r="241" customFormat="false" ht="15" hidden="false" customHeight="false" outlineLevel="0" collapsed="false">
      <c r="A241" s="13" t="str">
        <f aca="false">IF(F241="","",ROW()-5)</f>
        <v/>
      </c>
      <c r="B241" s="14"/>
      <c r="C241" s="14"/>
      <c r="D241" s="14"/>
      <c r="E241" s="14"/>
      <c r="F241" s="36"/>
      <c r="G241" s="37"/>
      <c r="H241" s="14"/>
      <c r="I241" s="38"/>
      <c r="J241" s="38"/>
      <c r="K241" s="33"/>
      <c r="L241" s="33"/>
      <c r="M241" s="34" t="str">
        <f aca="false">IF(F241="","",N(I241)/(1-IF(K241="",'Job Info'!$B$39,K241))*(1+IF('Job Info'!$B$38="Yes",'Job Info'!$B$37,0)))</f>
        <v/>
      </c>
      <c r="N241" s="34" t="str">
        <f aca="false">IF(F241="","",N(J241)/(1-IF(L241="",'Job Info'!$B$40,L241)))</f>
        <v/>
      </c>
      <c r="O241" s="34" t="str">
        <f aca="false">IF(F241="","",M241+N241)</f>
        <v/>
      </c>
      <c r="P241" s="34" t="str">
        <f aca="false">IF(F241="","",N(G241)*M241)</f>
        <v/>
      </c>
      <c r="Q241" s="34" t="str">
        <f aca="false">IF(F241="","",N(G241)*N241)</f>
        <v/>
      </c>
      <c r="R241" s="35" t="str">
        <f aca="false">IF(F241="","",P241+Q241)</f>
        <v/>
      </c>
      <c r="S241" s="36"/>
      <c r="T241" s="36"/>
      <c r="U241" s="34" t="str">
        <f aca="false">IF(F241="","",N(G241)*N(I241))</f>
        <v/>
      </c>
      <c r="V241" s="34" t="str">
        <f aca="false">IF(F241="","",N(G241)*N(J241))</f>
        <v/>
      </c>
      <c r="W241" s="13" t="str">
        <f aca="false">IF(F241="","",IF(B241="Excluded","",COUNTIFS($F$6:F241,"?*",$B$6:B241,"&lt;&gt;Excluded")))</f>
        <v/>
      </c>
      <c r="X241" s="34" t="str">
        <f aca="false">IF(F241="","",N(G241)*N(I241)/(1-IF(K241="",'Job Info'!$B$39,K241))*IF('Job Info'!$B$38="Yes",'Job Info'!$B$37,0))</f>
        <v/>
      </c>
    </row>
    <row r="242" customFormat="false" ht="15" hidden="false" customHeight="false" outlineLevel="0" collapsed="false">
      <c r="A242" s="13" t="str">
        <f aca="false">IF(F242="","",ROW()-5)</f>
        <v/>
      </c>
      <c r="B242" s="14"/>
      <c r="C242" s="14"/>
      <c r="D242" s="14"/>
      <c r="E242" s="14"/>
      <c r="F242" s="36"/>
      <c r="G242" s="37"/>
      <c r="H242" s="14"/>
      <c r="I242" s="38"/>
      <c r="J242" s="38"/>
      <c r="K242" s="33"/>
      <c r="L242" s="33"/>
      <c r="M242" s="34" t="str">
        <f aca="false">IF(F242="","",N(I242)/(1-IF(K242="",'Job Info'!$B$39,K242))*(1+IF('Job Info'!$B$38="Yes",'Job Info'!$B$37,0)))</f>
        <v/>
      </c>
      <c r="N242" s="34" t="str">
        <f aca="false">IF(F242="","",N(J242)/(1-IF(L242="",'Job Info'!$B$40,L242)))</f>
        <v/>
      </c>
      <c r="O242" s="34" t="str">
        <f aca="false">IF(F242="","",M242+N242)</f>
        <v/>
      </c>
      <c r="P242" s="34" t="str">
        <f aca="false">IF(F242="","",N(G242)*M242)</f>
        <v/>
      </c>
      <c r="Q242" s="34" t="str">
        <f aca="false">IF(F242="","",N(G242)*N242)</f>
        <v/>
      </c>
      <c r="R242" s="35" t="str">
        <f aca="false">IF(F242="","",P242+Q242)</f>
        <v/>
      </c>
      <c r="S242" s="36"/>
      <c r="T242" s="36"/>
      <c r="U242" s="34" t="str">
        <f aca="false">IF(F242="","",N(G242)*N(I242))</f>
        <v/>
      </c>
      <c r="V242" s="34" t="str">
        <f aca="false">IF(F242="","",N(G242)*N(J242))</f>
        <v/>
      </c>
      <c r="W242" s="13" t="str">
        <f aca="false">IF(F242="","",IF(B242="Excluded","",COUNTIFS($F$6:F242,"?*",$B$6:B242,"&lt;&gt;Excluded")))</f>
        <v/>
      </c>
      <c r="X242" s="34" t="str">
        <f aca="false">IF(F242="","",N(G242)*N(I242)/(1-IF(K242="",'Job Info'!$B$39,K242))*IF('Job Info'!$B$38="Yes",'Job Info'!$B$37,0))</f>
        <v/>
      </c>
    </row>
    <row r="243" customFormat="false" ht="15" hidden="false" customHeight="false" outlineLevel="0" collapsed="false">
      <c r="A243" s="13" t="str">
        <f aca="false">IF(F243="","",ROW()-5)</f>
        <v/>
      </c>
      <c r="B243" s="14"/>
      <c r="C243" s="14"/>
      <c r="D243" s="14"/>
      <c r="E243" s="14"/>
      <c r="F243" s="36"/>
      <c r="G243" s="37"/>
      <c r="H243" s="14"/>
      <c r="I243" s="38"/>
      <c r="J243" s="38"/>
      <c r="K243" s="33"/>
      <c r="L243" s="33"/>
      <c r="M243" s="34" t="str">
        <f aca="false">IF(F243="","",N(I243)/(1-IF(K243="",'Job Info'!$B$39,K243))*(1+IF('Job Info'!$B$38="Yes",'Job Info'!$B$37,0)))</f>
        <v/>
      </c>
      <c r="N243" s="34" t="str">
        <f aca="false">IF(F243="","",N(J243)/(1-IF(L243="",'Job Info'!$B$40,L243)))</f>
        <v/>
      </c>
      <c r="O243" s="34" t="str">
        <f aca="false">IF(F243="","",M243+N243)</f>
        <v/>
      </c>
      <c r="P243" s="34" t="str">
        <f aca="false">IF(F243="","",N(G243)*M243)</f>
        <v/>
      </c>
      <c r="Q243" s="34" t="str">
        <f aca="false">IF(F243="","",N(G243)*N243)</f>
        <v/>
      </c>
      <c r="R243" s="35" t="str">
        <f aca="false">IF(F243="","",P243+Q243)</f>
        <v/>
      </c>
      <c r="S243" s="36"/>
      <c r="T243" s="36"/>
      <c r="U243" s="34" t="str">
        <f aca="false">IF(F243="","",N(G243)*N(I243))</f>
        <v/>
      </c>
      <c r="V243" s="34" t="str">
        <f aca="false">IF(F243="","",N(G243)*N(J243))</f>
        <v/>
      </c>
      <c r="W243" s="13" t="str">
        <f aca="false">IF(F243="","",IF(B243="Excluded","",COUNTIFS($F$6:F243,"?*",$B$6:B243,"&lt;&gt;Excluded")))</f>
        <v/>
      </c>
      <c r="X243" s="34" t="str">
        <f aca="false">IF(F243="","",N(G243)*N(I243)/(1-IF(K243="",'Job Info'!$B$39,K243))*IF('Job Info'!$B$38="Yes",'Job Info'!$B$37,0))</f>
        <v/>
      </c>
    </row>
    <row r="244" customFormat="false" ht="15" hidden="false" customHeight="false" outlineLevel="0" collapsed="false">
      <c r="A244" s="13" t="str">
        <f aca="false">IF(F244="","",ROW()-5)</f>
        <v/>
      </c>
      <c r="B244" s="14"/>
      <c r="C244" s="14"/>
      <c r="D244" s="14"/>
      <c r="E244" s="14"/>
      <c r="F244" s="36"/>
      <c r="G244" s="37"/>
      <c r="H244" s="14"/>
      <c r="I244" s="38"/>
      <c r="J244" s="38"/>
      <c r="K244" s="33"/>
      <c r="L244" s="33"/>
      <c r="M244" s="34" t="str">
        <f aca="false">IF(F244="","",N(I244)/(1-IF(K244="",'Job Info'!$B$39,K244))*(1+IF('Job Info'!$B$38="Yes",'Job Info'!$B$37,0)))</f>
        <v/>
      </c>
      <c r="N244" s="34" t="str">
        <f aca="false">IF(F244="","",N(J244)/(1-IF(L244="",'Job Info'!$B$40,L244)))</f>
        <v/>
      </c>
      <c r="O244" s="34" t="str">
        <f aca="false">IF(F244="","",M244+N244)</f>
        <v/>
      </c>
      <c r="P244" s="34" t="str">
        <f aca="false">IF(F244="","",N(G244)*M244)</f>
        <v/>
      </c>
      <c r="Q244" s="34" t="str">
        <f aca="false">IF(F244="","",N(G244)*N244)</f>
        <v/>
      </c>
      <c r="R244" s="35" t="str">
        <f aca="false">IF(F244="","",P244+Q244)</f>
        <v/>
      </c>
      <c r="S244" s="36"/>
      <c r="T244" s="36"/>
      <c r="U244" s="34" t="str">
        <f aca="false">IF(F244="","",N(G244)*N(I244))</f>
        <v/>
      </c>
      <c r="V244" s="34" t="str">
        <f aca="false">IF(F244="","",N(G244)*N(J244))</f>
        <v/>
      </c>
      <c r="W244" s="13" t="str">
        <f aca="false">IF(F244="","",IF(B244="Excluded","",COUNTIFS($F$6:F244,"?*",$B$6:B244,"&lt;&gt;Excluded")))</f>
        <v/>
      </c>
      <c r="X244" s="34" t="str">
        <f aca="false">IF(F244="","",N(G244)*N(I244)/(1-IF(K244="",'Job Info'!$B$39,K244))*IF('Job Info'!$B$38="Yes",'Job Info'!$B$37,0))</f>
        <v/>
      </c>
    </row>
    <row r="245" customFormat="false" ht="15" hidden="false" customHeight="false" outlineLevel="0" collapsed="false">
      <c r="A245" s="13" t="str">
        <f aca="false">IF(F245="","",ROW()-5)</f>
        <v/>
      </c>
      <c r="B245" s="14"/>
      <c r="C245" s="14"/>
      <c r="D245" s="14"/>
      <c r="E245" s="14"/>
      <c r="F245" s="36"/>
      <c r="G245" s="37"/>
      <c r="H245" s="14"/>
      <c r="I245" s="38"/>
      <c r="J245" s="38"/>
      <c r="K245" s="33"/>
      <c r="L245" s="33"/>
      <c r="M245" s="34" t="str">
        <f aca="false">IF(F245="","",N(I245)/(1-IF(K245="",'Job Info'!$B$39,K245))*(1+IF('Job Info'!$B$38="Yes",'Job Info'!$B$37,0)))</f>
        <v/>
      </c>
      <c r="N245" s="34" t="str">
        <f aca="false">IF(F245="","",N(J245)/(1-IF(L245="",'Job Info'!$B$40,L245)))</f>
        <v/>
      </c>
      <c r="O245" s="34" t="str">
        <f aca="false">IF(F245="","",M245+N245)</f>
        <v/>
      </c>
      <c r="P245" s="34" t="str">
        <f aca="false">IF(F245="","",N(G245)*M245)</f>
        <v/>
      </c>
      <c r="Q245" s="34" t="str">
        <f aca="false">IF(F245="","",N(G245)*N245)</f>
        <v/>
      </c>
      <c r="R245" s="35" t="str">
        <f aca="false">IF(F245="","",P245+Q245)</f>
        <v/>
      </c>
      <c r="S245" s="36"/>
      <c r="T245" s="36"/>
      <c r="U245" s="34" t="str">
        <f aca="false">IF(F245="","",N(G245)*N(I245))</f>
        <v/>
      </c>
      <c r="V245" s="34" t="str">
        <f aca="false">IF(F245="","",N(G245)*N(J245))</f>
        <v/>
      </c>
      <c r="W245" s="13" t="str">
        <f aca="false">IF(F245="","",IF(B245="Excluded","",COUNTIFS($F$6:F245,"?*",$B$6:B245,"&lt;&gt;Excluded")))</f>
        <v/>
      </c>
      <c r="X245" s="34" t="str">
        <f aca="false">IF(F245="","",N(G245)*N(I245)/(1-IF(K245="",'Job Info'!$B$39,K245))*IF('Job Info'!$B$38="Yes",'Job Info'!$B$37,0))</f>
        <v/>
      </c>
    </row>
    <row r="246" customFormat="false" ht="15" hidden="false" customHeight="false" outlineLevel="0" collapsed="false">
      <c r="A246" s="13" t="str">
        <f aca="false">IF(F246="","",ROW()-5)</f>
        <v/>
      </c>
      <c r="B246" s="14"/>
      <c r="C246" s="14"/>
      <c r="D246" s="14"/>
      <c r="E246" s="14"/>
      <c r="F246" s="36"/>
      <c r="G246" s="37"/>
      <c r="H246" s="14"/>
      <c r="I246" s="38"/>
      <c r="J246" s="38"/>
      <c r="K246" s="33"/>
      <c r="L246" s="33"/>
      <c r="M246" s="34" t="str">
        <f aca="false">IF(F246="","",N(I246)/(1-IF(K246="",'Job Info'!$B$39,K246))*(1+IF('Job Info'!$B$38="Yes",'Job Info'!$B$37,0)))</f>
        <v/>
      </c>
      <c r="N246" s="34" t="str">
        <f aca="false">IF(F246="","",N(J246)/(1-IF(L246="",'Job Info'!$B$40,L246)))</f>
        <v/>
      </c>
      <c r="O246" s="34" t="str">
        <f aca="false">IF(F246="","",M246+N246)</f>
        <v/>
      </c>
      <c r="P246" s="34" t="str">
        <f aca="false">IF(F246="","",N(G246)*M246)</f>
        <v/>
      </c>
      <c r="Q246" s="34" t="str">
        <f aca="false">IF(F246="","",N(G246)*N246)</f>
        <v/>
      </c>
      <c r="R246" s="35" t="str">
        <f aca="false">IF(F246="","",P246+Q246)</f>
        <v/>
      </c>
      <c r="S246" s="36"/>
      <c r="T246" s="36"/>
      <c r="U246" s="34" t="str">
        <f aca="false">IF(F246="","",N(G246)*N(I246))</f>
        <v/>
      </c>
      <c r="V246" s="34" t="str">
        <f aca="false">IF(F246="","",N(G246)*N(J246))</f>
        <v/>
      </c>
      <c r="W246" s="13" t="str">
        <f aca="false">IF(F246="","",IF(B246="Excluded","",COUNTIFS($F$6:F246,"?*",$B$6:B246,"&lt;&gt;Excluded")))</f>
        <v/>
      </c>
      <c r="X246" s="34" t="str">
        <f aca="false">IF(F246="","",N(G246)*N(I246)/(1-IF(K246="",'Job Info'!$B$39,K246))*IF('Job Info'!$B$38="Yes",'Job Info'!$B$37,0))</f>
        <v/>
      </c>
    </row>
    <row r="247" customFormat="false" ht="15" hidden="false" customHeight="false" outlineLevel="0" collapsed="false">
      <c r="A247" s="13" t="str">
        <f aca="false">IF(F247="","",ROW()-5)</f>
        <v/>
      </c>
      <c r="B247" s="14"/>
      <c r="C247" s="14"/>
      <c r="D247" s="14"/>
      <c r="E247" s="14"/>
      <c r="F247" s="36"/>
      <c r="G247" s="37"/>
      <c r="H247" s="14"/>
      <c r="I247" s="38"/>
      <c r="J247" s="38"/>
      <c r="K247" s="33"/>
      <c r="L247" s="33"/>
      <c r="M247" s="34" t="str">
        <f aca="false">IF(F247="","",N(I247)/(1-IF(K247="",'Job Info'!$B$39,K247))*(1+IF('Job Info'!$B$38="Yes",'Job Info'!$B$37,0)))</f>
        <v/>
      </c>
      <c r="N247" s="34" t="str">
        <f aca="false">IF(F247="","",N(J247)/(1-IF(L247="",'Job Info'!$B$40,L247)))</f>
        <v/>
      </c>
      <c r="O247" s="34" t="str">
        <f aca="false">IF(F247="","",M247+N247)</f>
        <v/>
      </c>
      <c r="P247" s="34" t="str">
        <f aca="false">IF(F247="","",N(G247)*M247)</f>
        <v/>
      </c>
      <c r="Q247" s="34" t="str">
        <f aca="false">IF(F247="","",N(G247)*N247)</f>
        <v/>
      </c>
      <c r="R247" s="35" t="str">
        <f aca="false">IF(F247="","",P247+Q247)</f>
        <v/>
      </c>
      <c r="S247" s="36"/>
      <c r="T247" s="36"/>
      <c r="U247" s="34" t="str">
        <f aca="false">IF(F247="","",N(G247)*N(I247))</f>
        <v/>
      </c>
      <c r="V247" s="34" t="str">
        <f aca="false">IF(F247="","",N(G247)*N(J247))</f>
        <v/>
      </c>
      <c r="W247" s="13" t="str">
        <f aca="false">IF(F247="","",IF(B247="Excluded","",COUNTIFS($F$6:F247,"?*",$B$6:B247,"&lt;&gt;Excluded")))</f>
        <v/>
      </c>
      <c r="X247" s="34" t="str">
        <f aca="false">IF(F247="","",N(G247)*N(I247)/(1-IF(K247="",'Job Info'!$B$39,K247))*IF('Job Info'!$B$38="Yes",'Job Info'!$B$37,0))</f>
        <v/>
      </c>
    </row>
    <row r="248" customFormat="false" ht="15" hidden="false" customHeight="false" outlineLevel="0" collapsed="false">
      <c r="A248" s="13" t="str">
        <f aca="false">IF(F248="","",ROW()-5)</f>
        <v/>
      </c>
      <c r="B248" s="14"/>
      <c r="C248" s="14"/>
      <c r="D248" s="14"/>
      <c r="E248" s="14"/>
      <c r="F248" s="36"/>
      <c r="G248" s="37"/>
      <c r="H248" s="14"/>
      <c r="I248" s="38"/>
      <c r="J248" s="38"/>
      <c r="K248" s="33"/>
      <c r="L248" s="33"/>
      <c r="M248" s="34" t="str">
        <f aca="false">IF(F248="","",N(I248)/(1-IF(K248="",'Job Info'!$B$39,K248))*(1+IF('Job Info'!$B$38="Yes",'Job Info'!$B$37,0)))</f>
        <v/>
      </c>
      <c r="N248" s="34" t="str">
        <f aca="false">IF(F248="","",N(J248)/(1-IF(L248="",'Job Info'!$B$40,L248)))</f>
        <v/>
      </c>
      <c r="O248" s="34" t="str">
        <f aca="false">IF(F248="","",M248+N248)</f>
        <v/>
      </c>
      <c r="P248" s="34" t="str">
        <f aca="false">IF(F248="","",N(G248)*M248)</f>
        <v/>
      </c>
      <c r="Q248" s="34" t="str">
        <f aca="false">IF(F248="","",N(G248)*N248)</f>
        <v/>
      </c>
      <c r="R248" s="35" t="str">
        <f aca="false">IF(F248="","",P248+Q248)</f>
        <v/>
      </c>
      <c r="S248" s="36"/>
      <c r="T248" s="36"/>
      <c r="U248" s="34" t="str">
        <f aca="false">IF(F248="","",N(G248)*N(I248))</f>
        <v/>
      </c>
      <c r="V248" s="34" t="str">
        <f aca="false">IF(F248="","",N(G248)*N(J248))</f>
        <v/>
      </c>
      <c r="W248" s="13" t="str">
        <f aca="false">IF(F248="","",IF(B248="Excluded","",COUNTIFS($F$6:F248,"?*",$B$6:B248,"&lt;&gt;Excluded")))</f>
        <v/>
      </c>
      <c r="X248" s="34" t="str">
        <f aca="false">IF(F248="","",N(G248)*N(I248)/(1-IF(K248="",'Job Info'!$B$39,K248))*IF('Job Info'!$B$38="Yes",'Job Info'!$B$37,0))</f>
        <v/>
      </c>
    </row>
    <row r="249" customFormat="false" ht="15" hidden="false" customHeight="false" outlineLevel="0" collapsed="false">
      <c r="A249" s="13" t="str">
        <f aca="false">IF(F249="","",ROW()-5)</f>
        <v/>
      </c>
      <c r="B249" s="14"/>
      <c r="C249" s="14"/>
      <c r="D249" s="14"/>
      <c r="E249" s="14"/>
      <c r="F249" s="36"/>
      <c r="G249" s="37"/>
      <c r="H249" s="14"/>
      <c r="I249" s="38"/>
      <c r="J249" s="38"/>
      <c r="K249" s="33"/>
      <c r="L249" s="33"/>
      <c r="M249" s="34" t="str">
        <f aca="false">IF(F249="","",N(I249)/(1-IF(K249="",'Job Info'!$B$39,K249))*(1+IF('Job Info'!$B$38="Yes",'Job Info'!$B$37,0)))</f>
        <v/>
      </c>
      <c r="N249" s="34" t="str">
        <f aca="false">IF(F249="","",N(J249)/(1-IF(L249="",'Job Info'!$B$40,L249)))</f>
        <v/>
      </c>
      <c r="O249" s="34" t="str">
        <f aca="false">IF(F249="","",M249+N249)</f>
        <v/>
      </c>
      <c r="P249" s="34" t="str">
        <f aca="false">IF(F249="","",N(G249)*M249)</f>
        <v/>
      </c>
      <c r="Q249" s="34" t="str">
        <f aca="false">IF(F249="","",N(G249)*N249)</f>
        <v/>
      </c>
      <c r="R249" s="35" t="str">
        <f aca="false">IF(F249="","",P249+Q249)</f>
        <v/>
      </c>
      <c r="S249" s="36"/>
      <c r="T249" s="36"/>
      <c r="U249" s="34" t="str">
        <f aca="false">IF(F249="","",N(G249)*N(I249))</f>
        <v/>
      </c>
      <c r="V249" s="34" t="str">
        <f aca="false">IF(F249="","",N(G249)*N(J249))</f>
        <v/>
      </c>
      <c r="W249" s="13" t="str">
        <f aca="false">IF(F249="","",IF(B249="Excluded","",COUNTIFS($F$6:F249,"?*",$B$6:B249,"&lt;&gt;Excluded")))</f>
        <v/>
      </c>
      <c r="X249" s="34" t="str">
        <f aca="false">IF(F249="","",N(G249)*N(I249)/(1-IF(K249="",'Job Info'!$B$39,K249))*IF('Job Info'!$B$38="Yes",'Job Info'!$B$37,0))</f>
        <v/>
      </c>
    </row>
    <row r="250" customFormat="false" ht="15" hidden="false" customHeight="false" outlineLevel="0" collapsed="false">
      <c r="A250" s="13" t="str">
        <f aca="false">IF(F250="","",ROW()-5)</f>
        <v/>
      </c>
      <c r="B250" s="14"/>
      <c r="C250" s="14"/>
      <c r="D250" s="14"/>
      <c r="E250" s="14"/>
      <c r="F250" s="36"/>
      <c r="G250" s="37"/>
      <c r="H250" s="14"/>
      <c r="I250" s="38"/>
      <c r="J250" s="38"/>
      <c r="K250" s="33"/>
      <c r="L250" s="33"/>
      <c r="M250" s="34" t="str">
        <f aca="false">IF(F250="","",N(I250)/(1-IF(K250="",'Job Info'!$B$39,K250))*(1+IF('Job Info'!$B$38="Yes",'Job Info'!$B$37,0)))</f>
        <v/>
      </c>
      <c r="N250" s="34" t="str">
        <f aca="false">IF(F250="","",N(J250)/(1-IF(L250="",'Job Info'!$B$40,L250)))</f>
        <v/>
      </c>
      <c r="O250" s="34" t="str">
        <f aca="false">IF(F250="","",M250+N250)</f>
        <v/>
      </c>
      <c r="P250" s="34" t="str">
        <f aca="false">IF(F250="","",N(G250)*M250)</f>
        <v/>
      </c>
      <c r="Q250" s="34" t="str">
        <f aca="false">IF(F250="","",N(G250)*N250)</f>
        <v/>
      </c>
      <c r="R250" s="35" t="str">
        <f aca="false">IF(F250="","",P250+Q250)</f>
        <v/>
      </c>
      <c r="S250" s="36"/>
      <c r="T250" s="36"/>
      <c r="U250" s="34" t="str">
        <f aca="false">IF(F250="","",N(G250)*N(I250))</f>
        <v/>
      </c>
      <c r="V250" s="34" t="str">
        <f aca="false">IF(F250="","",N(G250)*N(J250))</f>
        <v/>
      </c>
      <c r="W250" s="13" t="str">
        <f aca="false">IF(F250="","",IF(B250="Excluded","",COUNTIFS($F$6:F250,"?*",$B$6:B250,"&lt;&gt;Excluded")))</f>
        <v/>
      </c>
      <c r="X250" s="34" t="str">
        <f aca="false">IF(F250="","",N(G250)*N(I250)/(1-IF(K250="",'Job Info'!$B$39,K250))*IF('Job Info'!$B$38="Yes",'Job Info'!$B$37,0))</f>
        <v/>
      </c>
    </row>
    <row r="251" customFormat="false" ht="15" hidden="false" customHeight="false" outlineLevel="0" collapsed="false">
      <c r="A251" s="13" t="str">
        <f aca="false">IF(F251="","",ROW()-5)</f>
        <v/>
      </c>
      <c r="B251" s="14"/>
      <c r="C251" s="14"/>
      <c r="D251" s="14"/>
      <c r="E251" s="14"/>
      <c r="F251" s="36"/>
      <c r="G251" s="37"/>
      <c r="H251" s="14"/>
      <c r="I251" s="38"/>
      <c r="J251" s="38"/>
      <c r="K251" s="33"/>
      <c r="L251" s="33"/>
      <c r="M251" s="34" t="str">
        <f aca="false">IF(F251="","",N(I251)/(1-IF(K251="",'Job Info'!$B$39,K251))*(1+IF('Job Info'!$B$38="Yes",'Job Info'!$B$37,0)))</f>
        <v/>
      </c>
      <c r="N251" s="34" t="str">
        <f aca="false">IF(F251="","",N(J251)/(1-IF(L251="",'Job Info'!$B$40,L251)))</f>
        <v/>
      </c>
      <c r="O251" s="34" t="str">
        <f aca="false">IF(F251="","",M251+N251)</f>
        <v/>
      </c>
      <c r="P251" s="34" t="str">
        <f aca="false">IF(F251="","",N(G251)*M251)</f>
        <v/>
      </c>
      <c r="Q251" s="34" t="str">
        <f aca="false">IF(F251="","",N(G251)*N251)</f>
        <v/>
      </c>
      <c r="R251" s="35" t="str">
        <f aca="false">IF(F251="","",P251+Q251)</f>
        <v/>
      </c>
      <c r="S251" s="36"/>
      <c r="T251" s="36"/>
      <c r="U251" s="34" t="str">
        <f aca="false">IF(F251="","",N(G251)*N(I251))</f>
        <v/>
      </c>
      <c r="V251" s="34" t="str">
        <f aca="false">IF(F251="","",N(G251)*N(J251))</f>
        <v/>
      </c>
      <c r="W251" s="13" t="str">
        <f aca="false">IF(F251="","",IF(B251="Excluded","",COUNTIFS($F$6:F251,"?*",$B$6:B251,"&lt;&gt;Excluded")))</f>
        <v/>
      </c>
      <c r="X251" s="34" t="str">
        <f aca="false">IF(F251="","",N(G251)*N(I251)/(1-IF(K251="",'Job Info'!$B$39,K251))*IF('Job Info'!$B$38="Yes",'Job Info'!$B$37,0))</f>
        <v/>
      </c>
    </row>
    <row r="252" customFormat="false" ht="15" hidden="false" customHeight="false" outlineLevel="0" collapsed="false">
      <c r="A252" s="13" t="str">
        <f aca="false">IF(F252="","",ROW()-5)</f>
        <v/>
      </c>
      <c r="B252" s="14"/>
      <c r="C252" s="14"/>
      <c r="D252" s="14"/>
      <c r="E252" s="14"/>
      <c r="F252" s="36"/>
      <c r="G252" s="37"/>
      <c r="H252" s="14"/>
      <c r="I252" s="38"/>
      <c r="J252" s="38"/>
      <c r="K252" s="33"/>
      <c r="L252" s="33"/>
      <c r="M252" s="34" t="str">
        <f aca="false">IF(F252="","",N(I252)/(1-IF(K252="",'Job Info'!$B$39,K252))*(1+IF('Job Info'!$B$38="Yes",'Job Info'!$B$37,0)))</f>
        <v/>
      </c>
      <c r="N252" s="34" t="str">
        <f aca="false">IF(F252="","",N(J252)/(1-IF(L252="",'Job Info'!$B$40,L252)))</f>
        <v/>
      </c>
      <c r="O252" s="34" t="str">
        <f aca="false">IF(F252="","",M252+N252)</f>
        <v/>
      </c>
      <c r="P252" s="34" t="str">
        <f aca="false">IF(F252="","",N(G252)*M252)</f>
        <v/>
      </c>
      <c r="Q252" s="34" t="str">
        <f aca="false">IF(F252="","",N(G252)*N252)</f>
        <v/>
      </c>
      <c r="R252" s="35" t="str">
        <f aca="false">IF(F252="","",P252+Q252)</f>
        <v/>
      </c>
      <c r="S252" s="36"/>
      <c r="T252" s="36"/>
      <c r="U252" s="34" t="str">
        <f aca="false">IF(F252="","",N(G252)*N(I252))</f>
        <v/>
      </c>
      <c r="V252" s="34" t="str">
        <f aca="false">IF(F252="","",N(G252)*N(J252))</f>
        <v/>
      </c>
      <c r="W252" s="13" t="str">
        <f aca="false">IF(F252="","",IF(B252="Excluded","",COUNTIFS($F$6:F252,"?*",$B$6:B252,"&lt;&gt;Excluded")))</f>
        <v/>
      </c>
      <c r="X252" s="34" t="str">
        <f aca="false">IF(F252="","",N(G252)*N(I252)/(1-IF(K252="",'Job Info'!$B$39,K252))*IF('Job Info'!$B$38="Yes",'Job Info'!$B$37,0))</f>
        <v/>
      </c>
    </row>
    <row r="253" customFormat="false" ht="15" hidden="false" customHeight="false" outlineLevel="0" collapsed="false">
      <c r="A253" s="13" t="str">
        <f aca="false">IF(F253="","",ROW()-5)</f>
        <v/>
      </c>
      <c r="B253" s="14"/>
      <c r="C253" s="14"/>
      <c r="D253" s="14"/>
      <c r="E253" s="14"/>
      <c r="F253" s="36"/>
      <c r="G253" s="37"/>
      <c r="H253" s="14"/>
      <c r="I253" s="38"/>
      <c r="J253" s="38"/>
      <c r="K253" s="33"/>
      <c r="L253" s="33"/>
      <c r="M253" s="34" t="str">
        <f aca="false">IF(F253="","",N(I253)/(1-IF(K253="",'Job Info'!$B$39,K253))*(1+IF('Job Info'!$B$38="Yes",'Job Info'!$B$37,0)))</f>
        <v/>
      </c>
      <c r="N253" s="34" t="str">
        <f aca="false">IF(F253="","",N(J253)/(1-IF(L253="",'Job Info'!$B$40,L253)))</f>
        <v/>
      </c>
      <c r="O253" s="34" t="str">
        <f aca="false">IF(F253="","",M253+N253)</f>
        <v/>
      </c>
      <c r="P253" s="34" t="str">
        <f aca="false">IF(F253="","",N(G253)*M253)</f>
        <v/>
      </c>
      <c r="Q253" s="34" t="str">
        <f aca="false">IF(F253="","",N(G253)*N253)</f>
        <v/>
      </c>
      <c r="R253" s="35" t="str">
        <f aca="false">IF(F253="","",P253+Q253)</f>
        <v/>
      </c>
      <c r="S253" s="36"/>
      <c r="T253" s="36"/>
      <c r="U253" s="34" t="str">
        <f aca="false">IF(F253="","",N(G253)*N(I253))</f>
        <v/>
      </c>
      <c r="V253" s="34" t="str">
        <f aca="false">IF(F253="","",N(G253)*N(J253))</f>
        <v/>
      </c>
      <c r="W253" s="13" t="str">
        <f aca="false">IF(F253="","",IF(B253="Excluded","",COUNTIFS($F$6:F253,"?*",$B$6:B253,"&lt;&gt;Excluded")))</f>
        <v/>
      </c>
      <c r="X253" s="34" t="str">
        <f aca="false">IF(F253="","",N(G253)*N(I253)/(1-IF(K253="",'Job Info'!$B$39,K253))*IF('Job Info'!$B$38="Yes",'Job Info'!$B$37,0))</f>
        <v/>
      </c>
    </row>
    <row r="254" customFormat="false" ht="15" hidden="false" customHeight="false" outlineLevel="0" collapsed="false">
      <c r="A254" s="13" t="str">
        <f aca="false">IF(F254="","",ROW()-5)</f>
        <v/>
      </c>
      <c r="B254" s="14"/>
      <c r="C254" s="14"/>
      <c r="D254" s="14"/>
      <c r="E254" s="14"/>
      <c r="F254" s="36"/>
      <c r="G254" s="37"/>
      <c r="H254" s="14"/>
      <c r="I254" s="38"/>
      <c r="J254" s="38"/>
      <c r="K254" s="33"/>
      <c r="L254" s="33"/>
      <c r="M254" s="34" t="str">
        <f aca="false">IF(F254="","",N(I254)/(1-IF(K254="",'Job Info'!$B$39,K254))*(1+IF('Job Info'!$B$38="Yes",'Job Info'!$B$37,0)))</f>
        <v/>
      </c>
      <c r="N254" s="34" t="str">
        <f aca="false">IF(F254="","",N(J254)/(1-IF(L254="",'Job Info'!$B$40,L254)))</f>
        <v/>
      </c>
      <c r="O254" s="34" t="str">
        <f aca="false">IF(F254="","",M254+N254)</f>
        <v/>
      </c>
      <c r="P254" s="34" t="str">
        <f aca="false">IF(F254="","",N(G254)*M254)</f>
        <v/>
      </c>
      <c r="Q254" s="34" t="str">
        <f aca="false">IF(F254="","",N(G254)*N254)</f>
        <v/>
      </c>
      <c r="R254" s="35" t="str">
        <f aca="false">IF(F254="","",P254+Q254)</f>
        <v/>
      </c>
      <c r="S254" s="36"/>
      <c r="T254" s="36"/>
      <c r="U254" s="34" t="str">
        <f aca="false">IF(F254="","",N(G254)*N(I254))</f>
        <v/>
      </c>
      <c r="V254" s="34" t="str">
        <f aca="false">IF(F254="","",N(G254)*N(J254))</f>
        <v/>
      </c>
      <c r="W254" s="13" t="str">
        <f aca="false">IF(F254="","",IF(B254="Excluded","",COUNTIFS($F$6:F254,"?*",$B$6:B254,"&lt;&gt;Excluded")))</f>
        <v/>
      </c>
      <c r="X254" s="34" t="str">
        <f aca="false">IF(F254="","",N(G254)*N(I254)/(1-IF(K254="",'Job Info'!$B$39,K254))*IF('Job Info'!$B$38="Yes",'Job Info'!$B$37,0))</f>
        <v/>
      </c>
    </row>
    <row r="255" customFormat="false" ht="15" hidden="false" customHeight="false" outlineLevel="0" collapsed="false">
      <c r="A255" s="13" t="str">
        <f aca="false">IF(F255="","",ROW()-5)</f>
        <v/>
      </c>
      <c r="B255" s="14"/>
      <c r="C255" s="14"/>
      <c r="D255" s="14"/>
      <c r="E255" s="14"/>
      <c r="F255" s="36"/>
      <c r="G255" s="37"/>
      <c r="H255" s="14"/>
      <c r="I255" s="38"/>
      <c r="J255" s="38"/>
      <c r="K255" s="33"/>
      <c r="L255" s="33"/>
      <c r="M255" s="34" t="str">
        <f aca="false">IF(F255="","",N(I255)/(1-IF(K255="",'Job Info'!$B$39,K255))*(1+IF('Job Info'!$B$38="Yes",'Job Info'!$B$37,0)))</f>
        <v/>
      </c>
      <c r="N255" s="34" t="str">
        <f aca="false">IF(F255="","",N(J255)/(1-IF(L255="",'Job Info'!$B$40,L255)))</f>
        <v/>
      </c>
      <c r="O255" s="34" t="str">
        <f aca="false">IF(F255="","",M255+N255)</f>
        <v/>
      </c>
      <c r="P255" s="34" t="str">
        <f aca="false">IF(F255="","",N(G255)*M255)</f>
        <v/>
      </c>
      <c r="Q255" s="34" t="str">
        <f aca="false">IF(F255="","",N(G255)*N255)</f>
        <v/>
      </c>
      <c r="R255" s="35" t="str">
        <f aca="false">IF(F255="","",P255+Q255)</f>
        <v/>
      </c>
      <c r="S255" s="36"/>
      <c r="T255" s="36"/>
      <c r="U255" s="34" t="str">
        <f aca="false">IF(F255="","",N(G255)*N(I255))</f>
        <v/>
      </c>
      <c r="V255" s="34" t="str">
        <f aca="false">IF(F255="","",N(G255)*N(J255))</f>
        <v/>
      </c>
      <c r="W255" s="13" t="str">
        <f aca="false">IF(F255="","",IF(B255="Excluded","",COUNTIFS($F$6:F255,"?*",$B$6:B255,"&lt;&gt;Excluded")))</f>
        <v/>
      </c>
      <c r="X255" s="34" t="str">
        <f aca="false">IF(F255="","",N(G255)*N(I255)/(1-IF(K255="",'Job Info'!$B$39,K255))*IF('Job Info'!$B$38="Yes",'Job Info'!$B$37,0))</f>
        <v/>
      </c>
    </row>
    <row r="256" customFormat="false" ht="15" hidden="false" customHeight="false" outlineLevel="0" collapsed="false">
      <c r="A256" s="13" t="str">
        <f aca="false">IF(F256="","",ROW()-5)</f>
        <v/>
      </c>
      <c r="B256" s="14"/>
      <c r="C256" s="14"/>
      <c r="D256" s="14"/>
      <c r="E256" s="14"/>
      <c r="F256" s="36"/>
      <c r="G256" s="37"/>
      <c r="H256" s="14"/>
      <c r="I256" s="38"/>
      <c r="J256" s="38"/>
      <c r="K256" s="33"/>
      <c r="L256" s="33"/>
      <c r="M256" s="34" t="str">
        <f aca="false">IF(F256="","",N(I256)/(1-IF(K256="",'Job Info'!$B$39,K256))*(1+IF('Job Info'!$B$38="Yes",'Job Info'!$B$37,0)))</f>
        <v/>
      </c>
      <c r="N256" s="34" t="str">
        <f aca="false">IF(F256="","",N(J256)/(1-IF(L256="",'Job Info'!$B$40,L256)))</f>
        <v/>
      </c>
      <c r="O256" s="34" t="str">
        <f aca="false">IF(F256="","",M256+N256)</f>
        <v/>
      </c>
      <c r="P256" s="34" t="str">
        <f aca="false">IF(F256="","",N(G256)*M256)</f>
        <v/>
      </c>
      <c r="Q256" s="34" t="str">
        <f aca="false">IF(F256="","",N(G256)*N256)</f>
        <v/>
      </c>
      <c r="R256" s="35" t="str">
        <f aca="false">IF(F256="","",P256+Q256)</f>
        <v/>
      </c>
      <c r="S256" s="36"/>
      <c r="T256" s="36"/>
      <c r="U256" s="34" t="str">
        <f aca="false">IF(F256="","",N(G256)*N(I256))</f>
        <v/>
      </c>
      <c r="V256" s="34" t="str">
        <f aca="false">IF(F256="","",N(G256)*N(J256))</f>
        <v/>
      </c>
      <c r="W256" s="13" t="str">
        <f aca="false">IF(F256="","",IF(B256="Excluded","",COUNTIFS($F$6:F256,"?*",$B$6:B256,"&lt;&gt;Excluded")))</f>
        <v/>
      </c>
      <c r="X256" s="34" t="str">
        <f aca="false">IF(F256="","",N(G256)*N(I256)/(1-IF(K256="",'Job Info'!$B$39,K256))*IF('Job Info'!$B$38="Yes",'Job Info'!$B$37,0))</f>
        <v/>
      </c>
    </row>
    <row r="257" customFormat="false" ht="15" hidden="false" customHeight="false" outlineLevel="0" collapsed="false">
      <c r="A257" s="13" t="str">
        <f aca="false">IF(F257="","",ROW()-5)</f>
        <v/>
      </c>
      <c r="B257" s="14"/>
      <c r="C257" s="14"/>
      <c r="D257" s="14"/>
      <c r="E257" s="14"/>
      <c r="F257" s="36"/>
      <c r="G257" s="37"/>
      <c r="H257" s="14"/>
      <c r="I257" s="38"/>
      <c r="J257" s="38"/>
      <c r="K257" s="33"/>
      <c r="L257" s="33"/>
      <c r="M257" s="34" t="str">
        <f aca="false">IF(F257="","",N(I257)/(1-IF(K257="",'Job Info'!$B$39,K257))*(1+IF('Job Info'!$B$38="Yes",'Job Info'!$B$37,0)))</f>
        <v/>
      </c>
      <c r="N257" s="34" t="str">
        <f aca="false">IF(F257="","",N(J257)/(1-IF(L257="",'Job Info'!$B$40,L257)))</f>
        <v/>
      </c>
      <c r="O257" s="34" t="str">
        <f aca="false">IF(F257="","",M257+N257)</f>
        <v/>
      </c>
      <c r="P257" s="34" t="str">
        <f aca="false">IF(F257="","",N(G257)*M257)</f>
        <v/>
      </c>
      <c r="Q257" s="34" t="str">
        <f aca="false">IF(F257="","",N(G257)*N257)</f>
        <v/>
      </c>
      <c r="R257" s="35" t="str">
        <f aca="false">IF(F257="","",P257+Q257)</f>
        <v/>
      </c>
      <c r="S257" s="36"/>
      <c r="T257" s="36"/>
      <c r="U257" s="34" t="str">
        <f aca="false">IF(F257="","",N(G257)*N(I257))</f>
        <v/>
      </c>
      <c r="V257" s="34" t="str">
        <f aca="false">IF(F257="","",N(G257)*N(J257))</f>
        <v/>
      </c>
      <c r="W257" s="13" t="str">
        <f aca="false">IF(F257="","",IF(B257="Excluded","",COUNTIFS($F$6:F257,"?*",$B$6:B257,"&lt;&gt;Excluded")))</f>
        <v/>
      </c>
      <c r="X257" s="34" t="str">
        <f aca="false">IF(F257="","",N(G257)*N(I257)/(1-IF(K257="",'Job Info'!$B$39,K257))*IF('Job Info'!$B$38="Yes",'Job Info'!$B$37,0))</f>
        <v/>
      </c>
    </row>
    <row r="258" customFormat="false" ht="15" hidden="false" customHeight="false" outlineLevel="0" collapsed="false">
      <c r="A258" s="13" t="str">
        <f aca="false">IF(F258="","",ROW()-5)</f>
        <v/>
      </c>
      <c r="B258" s="14"/>
      <c r="C258" s="14"/>
      <c r="D258" s="14"/>
      <c r="E258" s="14"/>
      <c r="F258" s="36"/>
      <c r="G258" s="37"/>
      <c r="H258" s="14"/>
      <c r="I258" s="38"/>
      <c r="J258" s="38"/>
      <c r="K258" s="33"/>
      <c r="L258" s="33"/>
      <c r="M258" s="34" t="str">
        <f aca="false">IF(F258="","",N(I258)/(1-IF(K258="",'Job Info'!$B$39,K258))*(1+IF('Job Info'!$B$38="Yes",'Job Info'!$B$37,0)))</f>
        <v/>
      </c>
      <c r="N258" s="34" t="str">
        <f aca="false">IF(F258="","",N(J258)/(1-IF(L258="",'Job Info'!$B$40,L258)))</f>
        <v/>
      </c>
      <c r="O258" s="34" t="str">
        <f aca="false">IF(F258="","",M258+N258)</f>
        <v/>
      </c>
      <c r="P258" s="34" t="str">
        <f aca="false">IF(F258="","",N(G258)*M258)</f>
        <v/>
      </c>
      <c r="Q258" s="34" t="str">
        <f aca="false">IF(F258="","",N(G258)*N258)</f>
        <v/>
      </c>
      <c r="R258" s="35" t="str">
        <f aca="false">IF(F258="","",P258+Q258)</f>
        <v/>
      </c>
      <c r="S258" s="36"/>
      <c r="T258" s="36"/>
      <c r="U258" s="34" t="str">
        <f aca="false">IF(F258="","",N(G258)*N(I258))</f>
        <v/>
      </c>
      <c r="V258" s="34" t="str">
        <f aca="false">IF(F258="","",N(G258)*N(J258))</f>
        <v/>
      </c>
      <c r="W258" s="13" t="str">
        <f aca="false">IF(F258="","",IF(B258="Excluded","",COUNTIFS($F$6:F258,"?*",$B$6:B258,"&lt;&gt;Excluded")))</f>
        <v/>
      </c>
      <c r="X258" s="34" t="str">
        <f aca="false">IF(F258="","",N(G258)*N(I258)/(1-IF(K258="",'Job Info'!$B$39,K258))*IF('Job Info'!$B$38="Yes",'Job Info'!$B$37,0))</f>
        <v/>
      </c>
    </row>
    <row r="259" customFormat="false" ht="15" hidden="false" customHeight="false" outlineLevel="0" collapsed="false">
      <c r="A259" s="13" t="str">
        <f aca="false">IF(F259="","",ROW()-5)</f>
        <v/>
      </c>
      <c r="B259" s="14"/>
      <c r="C259" s="14"/>
      <c r="D259" s="14"/>
      <c r="E259" s="14"/>
      <c r="F259" s="36"/>
      <c r="G259" s="37"/>
      <c r="H259" s="14"/>
      <c r="I259" s="38"/>
      <c r="J259" s="38"/>
      <c r="K259" s="33"/>
      <c r="L259" s="33"/>
      <c r="M259" s="34" t="str">
        <f aca="false">IF(F259="","",N(I259)/(1-IF(K259="",'Job Info'!$B$39,K259))*(1+IF('Job Info'!$B$38="Yes",'Job Info'!$B$37,0)))</f>
        <v/>
      </c>
      <c r="N259" s="34" t="str">
        <f aca="false">IF(F259="","",N(J259)/(1-IF(L259="",'Job Info'!$B$40,L259)))</f>
        <v/>
      </c>
      <c r="O259" s="34" t="str">
        <f aca="false">IF(F259="","",M259+N259)</f>
        <v/>
      </c>
      <c r="P259" s="34" t="str">
        <f aca="false">IF(F259="","",N(G259)*M259)</f>
        <v/>
      </c>
      <c r="Q259" s="34" t="str">
        <f aca="false">IF(F259="","",N(G259)*N259)</f>
        <v/>
      </c>
      <c r="R259" s="35" t="str">
        <f aca="false">IF(F259="","",P259+Q259)</f>
        <v/>
      </c>
      <c r="S259" s="36"/>
      <c r="T259" s="36"/>
      <c r="U259" s="34" t="str">
        <f aca="false">IF(F259="","",N(G259)*N(I259))</f>
        <v/>
      </c>
      <c r="V259" s="34" t="str">
        <f aca="false">IF(F259="","",N(G259)*N(J259))</f>
        <v/>
      </c>
      <c r="W259" s="13" t="str">
        <f aca="false">IF(F259="","",IF(B259="Excluded","",COUNTIFS($F$6:F259,"?*",$B$6:B259,"&lt;&gt;Excluded")))</f>
        <v/>
      </c>
      <c r="X259" s="34" t="str">
        <f aca="false">IF(F259="","",N(G259)*N(I259)/(1-IF(K259="",'Job Info'!$B$39,K259))*IF('Job Info'!$B$38="Yes",'Job Info'!$B$37,0))</f>
        <v/>
      </c>
    </row>
    <row r="260" customFormat="false" ht="15" hidden="false" customHeight="false" outlineLevel="0" collapsed="false">
      <c r="A260" s="13" t="str">
        <f aca="false">IF(F260="","",ROW()-5)</f>
        <v/>
      </c>
      <c r="B260" s="14"/>
      <c r="C260" s="14"/>
      <c r="D260" s="14"/>
      <c r="E260" s="14"/>
      <c r="F260" s="36"/>
      <c r="G260" s="37"/>
      <c r="H260" s="14"/>
      <c r="I260" s="38"/>
      <c r="J260" s="38"/>
      <c r="K260" s="33"/>
      <c r="L260" s="33"/>
      <c r="M260" s="34" t="str">
        <f aca="false">IF(F260="","",N(I260)/(1-IF(K260="",'Job Info'!$B$39,K260))*(1+IF('Job Info'!$B$38="Yes",'Job Info'!$B$37,0)))</f>
        <v/>
      </c>
      <c r="N260" s="34" t="str">
        <f aca="false">IF(F260="","",N(J260)/(1-IF(L260="",'Job Info'!$B$40,L260)))</f>
        <v/>
      </c>
      <c r="O260" s="34" t="str">
        <f aca="false">IF(F260="","",M260+N260)</f>
        <v/>
      </c>
      <c r="P260" s="34" t="str">
        <f aca="false">IF(F260="","",N(G260)*M260)</f>
        <v/>
      </c>
      <c r="Q260" s="34" t="str">
        <f aca="false">IF(F260="","",N(G260)*N260)</f>
        <v/>
      </c>
      <c r="R260" s="35" t="str">
        <f aca="false">IF(F260="","",P260+Q260)</f>
        <v/>
      </c>
      <c r="S260" s="36"/>
      <c r="T260" s="36"/>
      <c r="U260" s="34" t="str">
        <f aca="false">IF(F260="","",N(G260)*N(I260))</f>
        <v/>
      </c>
      <c r="V260" s="34" t="str">
        <f aca="false">IF(F260="","",N(G260)*N(J260))</f>
        <v/>
      </c>
      <c r="W260" s="13" t="str">
        <f aca="false">IF(F260="","",IF(B260="Excluded","",COUNTIFS($F$6:F260,"?*",$B$6:B260,"&lt;&gt;Excluded")))</f>
        <v/>
      </c>
      <c r="X260" s="34" t="str">
        <f aca="false">IF(F260="","",N(G260)*N(I260)/(1-IF(K260="",'Job Info'!$B$39,K260))*IF('Job Info'!$B$38="Yes",'Job Info'!$B$37,0))</f>
        <v/>
      </c>
    </row>
    <row r="261" customFormat="false" ht="15" hidden="false" customHeight="false" outlineLevel="0" collapsed="false">
      <c r="A261" s="13" t="str">
        <f aca="false">IF(F261="","",ROW()-5)</f>
        <v/>
      </c>
      <c r="B261" s="14"/>
      <c r="C261" s="14"/>
      <c r="D261" s="14"/>
      <c r="E261" s="14"/>
      <c r="F261" s="36"/>
      <c r="G261" s="37"/>
      <c r="H261" s="14"/>
      <c r="I261" s="38"/>
      <c r="J261" s="38"/>
      <c r="K261" s="33"/>
      <c r="L261" s="33"/>
      <c r="M261" s="34" t="str">
        <f aca="false">IF(F261="","",N(I261)/(1-IF(K261="",'Job Info'!$B$39,K261))*(1+IF('Job Info'!$B$38="Yes",'Job Info'!$B$37,0)))</f>
        <v/>
      </c>
      <c r="N261" s="34" t="str">
        <f aca="false">IF(F261="","",N(J261)/(1-IF(L261="",'Job Info'!$B$40,L261)))</f>
        <v/>
      </c>
      <c r="O261" s="34" t="str">
        <f aca="false">IF(F261="","",M261+N261)</f>
        <v/>
      </c>
      <c r="P261" s="34" t="str">
        <f aca="false">IF(F261="","",N(G261)*M261)</f>
        <v/>
      </c>
      <c r="Q261" s="34" t="str">
        <f aca="false">IF(F261="","",N(G261)*N261)</f>
        <v/>
      </c>
      <c r="R261" s="35" t="str">
        <f aca="false">IF(F261="","",P261+Q261)</f>
        <v/>
      </c>
      <c r="S261" s="36"/>
      <c r="T261" s="36"/>
      <c r="U261" s="34" t="str">
        <f aca="false">IF(F261="","",N(G261)*N(I261))</f>
        <v/>
      </c>
      <c r="V261" s="34" t="str">
        <f aca="false">IF(F261="","",N(G261)*N(J261))</f>
        <v/>
      </c>
      <c r="W261" s="13" t="str">
        <f aca="false">IF(F261="","",IF(B261="Excluded","",COUNTIFS($F$6:F261,"?*",$B$6:B261,"&lt;&gt;Excluded")))</f>
        <v/>
      </c>
      <c r="X261" s="34" t="str">
        <f aca="false">IF(F261="","",N(G261)*N(I261)/(1-IF(K261="",'Job Info'!$B$39,K261))*IF('Job Info'!$B$38="Yes",'Job Info'!$B$37,0))</f>
        <v/>
      </c>
    </row>
    <row r="262" customFormat="false" ht="15" hidden="false" customHeight="false" outlineLevel="0" collapsed="false">
      <c r="A262" s="13" t="str">
        <f aca="false">IF(F262="","",ROW()-5)</f>
        <v/>
      </c>
      <c r="B262" s="14"/>
      <c r="C262" s="14"/>
      <c r="D262" s="14"/>
      <c r="E262" s="14"/>
      <c r="F262" s="36"/>
      <c r="G262" s="37"/>
      <c r="H262" s="14"/>
      <c r="I262" s="38"/>
      <c r="J262" s="38"/>
      <c r="K262" s="33"/>
      <c r="L262" s="33"/>
      <c r="M262" s="34" t="str">
        <f aca="false">IF(F262="","",N(I262)/(1-IF(K262="",'Job Info'!$B$39,K262))*(1+IF('Job Info'!$B$38="Yes",'Job Info'!$B$37,0)))</f>
        <v/>
      </c>
      <c r="N262" s="34" t="str">
        <f aca="false">IF(F262="","",N(J262)/(1-IF(L262="",'Job Info'!$B$40,L262)))</f>
        <v/>
      </c>
      <c r="O262" s="34" t="str">
        <f aca="false">IF(F262="","",M262+N262)</f>
        <v/>
      </c>
      <c r="P262" s="34" t="str">
        <f aca="false">IF(F262="","",N(G262)*M262)</f>
        <v/>
      </c>
      <c r="Q262" s="34" t="str">
        <f aca="false">IF(F262="","",N(G262)*N262)</f>
        <v/>
      </c>
      <c r="R262" s="35" t="str">
        <f aca="false">IF(F262="","",P262+Q262)</f>
        <v/>
      </c>
      <c r="S262" s="36"/>
      <c r="T262" s="36"/>
      <c r="U262" s="34" t="str">
        <f aca="false">IF(F262="","",N(G262)*N(I262))</f>
        <v/>
      </c>
      <c r="V262" s="34" t="str">
        <f aca="false">IF(F262="","",N(G262)*N(J262))</f>
        <v/>
      </c>
      <c r="W262" s="13" t="str">
        <f aca="false">IF(F262="","",IF(B262="Excluded","",COUNTIFS($F$6:F262,"?*",$B$6:B262,"&lt;&gt;Excluded")))</f>
        <v/>
      </c>
      <c r="X262" s="34" t="str">
        <f aca="false">IF(F262="","",N(G262)*N(I262)/(1-IF(K262="",'Job Info'!$B$39,K262))*IF('Job Info'!$B$38="Yes",'Job Info'!$B$37,0))</f>
        <v/>
      </c>
    </row>
    <row r="263" customFormat="false" ht="15" hidden="false" customHeight="false" outlineLevel="0" collapsed="false">
      <c r="A263" s="13" t="str">
        <f aca="false">IF(F263="","",ROW()-5)</f>
        <v/>
      </c>
      <c r="B263" s="14"/>
      <c r="C263" s="14"/>
      <c r="D263" s="14"/>
      <c r="E263" s="14"/>
      <c r="F263" s="36"/>
      <c r="G263" s="37"/>
      <c r="H263" s="14"/>
      <c r="I263" s="38"/>
      <c r="J263" s="38"/>
      <c r="K263" s="33"/>
      <c r="L263" s="33"/>
      <c r="M263" s="34" t="str">
        <f aca="false">IF(F263="","",N(I263)/(1-IF(K263="",'Job Info'!$B$39,K263))*(1+IF('Job Info'!$B$38="Yes",'Job Info'!$B$37,0)))</f>
        <v/>
      </c>
      <c r="N263" s="34" t="str">
        <f aca="false">IF(F263="","",N(J263)/(1-IF(L263="",'Job Info'!$B$40,L263)))</f>
        <v/>
      </c>
      <c r="O263" s="34" t="str">
        <f aca="false">IF(F263="","",M263+N263)</f>
        <v/>
      </c>
      <c r="P263" s="34" t="str">
        <f aca="false">IF(F263="","",N(G263)*M263)</f>
        <v/>
      </c>
      <c r="Q263" s="34" t="str">
        <f aca="false">IF(F263="","",N(G263)*N263)</f>
        <v/>
      </c>
      <c r="R263" s="35" t="str">
        <f aca="false">IF(F263="","",P263+Q263)</f>
        <v/>
      </c>
      <c r="S263" s="36"/>
      <c r="T263" s="36"/>
      <c r="U263" s="34" t="str">
        <f aca="false">IF(F263="","",N(G263)*N(I263))</f>
        <v/>
      </c>
      <c r="V263" s="34" t="str">
        <f aca="false">IF(F263="","",N(G263)*N(J263))</f>
        <v/>
      </c>
      <c r="W263" s="13" t="str">
        <f aca="false">IF(F263="","",IF(B263="Excluded","",COUNTIFS($F$6:F263,"?*",$B$6:B263,"&lt;&gt;Excluded")))</f>
        <v/>
      </c>
      <c r="X263" s="34" t="str">
        <f aca="false">IF(F263="","",N(G263)*N(I263)/(1-IF(K263="",'Job Info'!$B$39,K263))*IF('Job Info'!$B$38="Yes",'Job Info'!$B$37,0))</f>
        <v/>
      </c>
    </row>
    <row r="264" customFormat="false" ht="15" hidden="false" customHeight="false" outlineLevel="0" collapsed="false">
      <c r="A264" s="13" t="str">
        <f aca="false">IF(F264="","",ROW()-5)</f>
        <v/>
      </c>
      <c r="B264" s="14"/>
      <c r="C264" s="14"/>
      <c r="D264" s="14"/>
      <c r="E264" s="14"/>
      <c r="F264" s="36"/>
      <c r="G264" s="37"/>
      <c r="H264" s="14"/>
      <c r="I264" s="38"/>
      <c r="J264" s="38"/>
      <c r="K264" s="33"/>
      <c r="L264" s="33"/>
      <c r="M264" s="34" t="str">
        <f aca="false">IF(F264="","",N(I264)/(1-IF(K264="",'Job Info'!$B$39,K264))*(1+IF('Job Info'!$B$38="Yes",'Job Info'!$B$37,0)))</f>
        <v/>
      </c>
      <c r="N264" s="34" t="str">
        <f aca="false">IF(F264="","",N(J264)/(1-IF(L264="",'Job Info'!$B$40,L264)))</f>
        <v/>
      </c>
      <c r="O264" s="34" t="str">
        <f aca="false">IF(F264="","",M264+N264)</f>
        <v/>
      </c>
      <c r="P264" s="34" t="str">
        <f aca="false">IF(F264="","",N(G264)*M264)</f>
        <v/>
      </c>
      <c r="Q264" s="34" t="str">
        <f aca="false">IF(F264="","",N(G264)*N264)</f>
        <v/>
      </c>
      <c r="R264" s="35" t="str">
        <f aca="false">IF(F264="","",P264+Q264)</f>
        <v/>
      </c>
      <c r="S264" s="36"/>
      <c r="T264" s="36"/>
      <c r="U264" s="34" t="str">
        <f aca="false">IF(F264="","",N(G264)*N(I264))</f>
        <v/>
      </c>
      <c r="V264" s="34" t="str">
        <f aca="false">IF(F264="","",N(G264)*N(J264))</f>
        <v/>
      </c>
      <c r="W264" s="13" t="str">
        <f aca="false">IF(F264="","",IF(B264="Excluded","",COUNTIFS($F$6:F264,"?*",$B$6:B264,"&lt;&gt;Excluded")))</f>
        <v/>
      </c>
      <c r="X264" s="34" t="str">
        <f aca="false">IF(F264="","",N(G264)*N(I264)/(1-IF(K264="",'Job Info'!$B$39,K264))*IF('Job Info'!$B$38="Yes",'Job Info'!$B$37,0))</f>
        <v/>
      </c>
    </row>
    <row r="265" customFormat="false" ht="15" hidden="false" customHeight="false" outlineLevel="0" collapsed="false">
      <c r="A265" s="13" t="str">
        <f aca="false">IF(F265="","",ROW()-5)</f>
        <v/>
      </c>
      <c r="B265" s="14"/>
      <c r="C265" s="14"/>
      <c r="D265" s="14"/>
      <c r="E265" s="14"/>
      <c r="F265" s="36"/>
      <c r="G265" s="37"/>
      <c r="H265" s="14"/>
      <c r="I265" s="38"/>
      <c r="J265" s="38"/>
      <c r="K265" s="33"/>
      <c r="L265" s="33"/>
      <c r="M265" s="34" t="str">
        <f aca="false">IF(F265="","",N(I265)/(1-IF(K265="",'Job Info'!$B$39,K265))*(1+IF('Job Info'!$B$38="Yes",'Job Info'!$B$37,0)))</f>
        <v/>
      </c>
      <c r="N265" s="34" t="str">
        <f aca="false">IF(F265="","",N(J265)/(1-IF(L265="",'Job Info'!$B$40,L265)))</f>
        <v/>
      </c>
      <c r="O265" s="34" t="str">
        <f aca="false">IF(F265="","",M265+N265)</f>
        <v/>
      </c>
      <c r="P265" s="34" t="str">
        <f aca="false">IF(F265="","",N(G265)*M265)</f>
        <v/>
      </c>
      <c r="Q265" s="34" t="str">
        <f aca="false">IF(F265="","",N(G265)*N265)</f>
        <v/>
      </c>
      <c r="R265" s="35" t="str">
        <f aca="false">IF(F265="","",P265+Q265)</f>
        <v/>
      </c>
      <c r="S265" s="36"/>
      <c r="T265" s="36"/>
      <c r="U265" s="34" t="str">
        <f aca="false">IF(F265="","",N(G265)*N(I265))</f>
        <v/>
      </c>
      <c r="V265" s="34" t="str">
        <f aca="false">IF(F265="","",N(G265)*N(J265))</f>
        <v/>
      </c>
      <c r="W265" s="13" t="str">
        <f aca="false">IF(F265="","",IF(B265="Excluded","",COUNTIFS($F$6:F265,"?*",$B$6:B265,"&lt;&gt;Excluded")))</f>
        <v/>
      </c>
      <c r="X265" s="34" t="str">
        <f aca="false">IF(F265="","",N(G265)*N(I265)/(1-IF(K265="",'Job Info'!$B$39,K265))*IF('Job Info'!$B$38="Yes",'Job Info'!$B$37,0))</f>
        <v/>
      </c>
    </row>
    <row r="266" customFormat="false" ht="15" hidden="false" customHeight="false" outlineLevel="0" collapsed="false">
      <c r="A266" s="13" t="str">
        <f aca="false">IF(F266="","",ROW()-5)</f>
        <v/>
      </c>
      <c r="B266" s="14"/>
      <c r="C266" s="14"/>
      <c r="D266" s="14"/>
      <c r="E266" s="14"/>
      <c r="F266" s="36"/>
      <c r="G266" s="37"/>
      <c r="H266" s="14"/>
      <c r="I266" s="38"/>
      <c r="J266" s="38"/>
      <c r="K266" s="33"/>
      <c r="L266" s="33"/>
      <c r="M266" s="34" t="str">
        <f aca="false">IF(F266="","",N(I266)/(1-IF(K266="",'Job Info'!$B$39,K266))*(1+IF('Job Info'!$B$38="Yes",'Job Info'!$B$37,0)))</f>
        <v/>
      </c>
      <c r="N266" s="34" t="str">
        <f aca="false">IF(F266="","",N(J266)/(1-IF(L266="",'Job Info'!$B$40,L266)))</f>
        <v/>
      </c>
      <c r="O266" s="34" t="str">
        <f aca="false">IF(F266="","",M266+N266)</f>
        <v/>
      </c>
      <c r="P266" s="34" t="str">
        <f aca="false">IF(F266="","",N(G266)*M266)</f>
        <v/>
      </c>
      <c r="Q266" s="34" t="str">
        <f aca="false">IF(F266="","",N(G266)*N266)</f>
        <v/>
      </c>
      <c r="R266" s="35" t="str">
        <f aca="false">IF(F266="","",P266+Q266)</f>
        <v/>
      </c>
      <c r="S266" s="36"/>
      <c r="T266" s="36"/>
      <c r="U266" s="34" t="str">
        <f aca="false">IF(F266="","",N(G266)*N(I266))</f>
        <v/>
      </c>
      <c r="V266" s="34" t="str">
        <f aca="false">IF(F266="","",N(G266)*N(J266))</f>
        <v/>
      </c>
      <c r="W266" s="13" t="str">
        <f aca="false">IF(F266="","",IF(B266="Excluded","",COUNTIFS($F$6:F266,"?*",$B$6:B266,"&lt;&gt;Excluded")))</f>
        <v/>
      </c>
      <c r="X266" s="34" t="str">
        <f aca="false">IF(F266="","",N(G266)*N(I266)/(1-IF(K266="",'Job Info'!$B$39,K266))*IF('Job Info'!$B$38="Yes",'Job Info'!$B$37,0))</f>
        <v/>
      </c>
    </row>
    <row r="267" customFormat="false" ht="15" hidden="false" customHeight="false" outlineLevel="0" collapsed="false">
      <c r="A267" s="13" t="str">
        <f aca="false">IF(F267="","",ROW()-5)</f>
        <v/>
      </c>
      <c r="B267" s="14"/>
      <c r="C267" s="14"/>
      <c r="D267" s="14"/>
      <c r="E267" s="14"/>
      <c r="F267" s="36"/>
      <c r="G267" s="37"/>
      <c r="H267" s="14"/>
      <c r="I267" s="38"/>
      <c r="J267" s="38"/>
      <c r="K267" s="33"/>
      <c r="L267" s="33"/>
      <c r="M267" s="34" t="str">
        <f aca="false">IF(F267="","",N(I267)/(1-IF(K267="",'Job Info'!$B$39,K267))*(1+IF('Job Info'!$B$38="Yes",'Job Info'!$B$37,0)))</f>
        <v/>
      </c>
      <c r="N267" s="34" t="str">
        <f aca="false">IF(F267="","",N(J267)/(1-IF(L267="",'Job Info'!$B$40,L267)))</f>
        <v/>
      </c>
      <c r="O267" s="34" t="str">
        <f aca="false">IF(F267="","",M267+N267)</f>
        <v/>
      </c>
      <c r="P267" s="34" t="str">
        <f aca="false">IF(F267="","",N(G267)*M267)</f>
        <v/>
      </c>
      <c r="Q267" s="34" t="str">
        <f aca="false">IF(F267="","",N(G267)*N267)</f>
        <v/>
      </c>
      <c r="R267" s="35" t="str">
        <f aca="false">IF(F267="","",P267+Q267)</f>
        <v/>
      </c>
      <c r="S267" s="36"/>
      <c r="T267" s="36"/>
      <c r="U267" s="34" t="str">
        <f aca="false">IF(F267="","",N(G267)*N(I267))</f>
        <v/>
      </c>
      <c r="V267" s="34" t="str">
        <f aca="false">IF(F267="","",N(G267)*N(J267))</f>
        <v/>
      </c>
      <c r="W267" s="13" t="str">
        <f aca="false">IF(F267="","",IF(B267="Excluded","",COUNTIFS($F$6:F267,"?*",$B$6:B267,"&lt;&gt;Excluded")))</f>
        <v/>
      </c>
      <c r="X267" s="34" t="str">
        <f aca="false">IF(F267="","",N(G267)*N(I267)/(1-IF(K267="",'Job Info'!$B$39,K267))*IF('Job Info'!$B$38="Yes",'Job Info'!$B$37,0))</f>
        <v/>
      </c>
    </row>
    <row r="268" customFormat="false" ht="15" hidden="false" customHeight="false" outlineLevel="0" collapsed="false">
      <c r="A268" s="13" t="str">
        <f aca="false">IF(F268="","",ROW()-5)</f>
        <v/>
      </c>
      <c r="B268" s="14"/>
      <c r="C268" s="14"/>
      <c r="D268" s="14"/>
      <c r="E268" s="14"/>
      <c r="F268" s="36"/>
      <c r="G268" s="37"/>
      <c r="H268" s="14"/>
      <c r="I268" s="38"/>
      <c r="J268" s="38"/>
      <c r="K268" s="33"/>
      <c r="L268" s="33"/>
      <c r="M268" s="34" t="str">
        <f aca="false">IF(F268="","",N(I268)/(1-IF(K268="",'Job Info'!$B$39,K268))*(1+IF('Job Info'!$B$38="Yes",'Job Info'!$B$37,0)))</f>
        <v/>
      </c>
      <c r="N268" s="34" t="str">
        <f aca="false">IF(F268="","",N(J268)/(1-IF(L268="",'Job Info'!$B$40,L268)))</f>
        <v/>
      </c>
      <c r="O268" s="34" t="str">
        <f aca="false">IF(F268="","",M268+N268)</f>
        <v/>
      </c>
      <c r="P268" s="34" t="str">
        <f aca="false">IF(F268="","",N(G268)*M268)</f>
        <v/>
      </c>
      <c r="Q268" s="34" t="str">
        <f aca="false">IF(F268="","",N(G268)*N268)</f>
        <v/>
      </c>
      <c r="R268" s="35" t="str">
        <f aca="false">IF(F268="","",P268+Q268)</f>
        <v/>
      </c>
      <c r="S268" s="36"/>
      <c r="T268" s="36"/>
      <c r="U268" s="34" t="str">
        <f aca="false">IF(F268="","",N(G268)*N(I268))</f>
        <v/>
      </c>
      <c r="V268" s="34" t="str">
        <f aca="false">IF(F268="","",N(G268)*N(J268))</f>
        <v/>
      </c>
      <c r="W268" s="13" t="str">
        <f aca="false">IF(F268="","",IF(B268="Excluded","",COUNTIFS($F$6:F268,"?*",$B$6:B268,"&lt;&gt;Excluded")))</f>
        <v/>
      </c>
      <c r="X268" s="34" t="str">
        <f aca="false">IF(F268="","",N(G268)*N(I268)/(1-IF(K268="",'Job Info'!$B$39,K268))*IF('Job Info'!$B$38="Yes",'Job Info'!$B$37,0))</f>
        <v/>
      </c>
    </row>
    <row r="269" customFormat="false" ht="15" hidden="false" customHeight="false" outlineLevel="0" collapsed="false">
      <c r="A269" s="13" t="str">
        <f aca="false">IF(F269="","",ROW()-5)</f>
        <v/>
      </c>
      <c r="B269" s="14"/>
      <c r="C269" s="14"/>
      <c r="D269" s="14"/>
      <c r="E269" s="14"/>
      <c r="F269" s="36"/>
      <c r="G269" s="37"/>
      <c r="H269" s="14"/>
      <c r="I269" s="38"/>
      <c r="J269" s="38"/>
      <c r="K269" s="33"/>
      <c r="L269" s="33"/>
      <c r="M269" s="34" t="str">
        <f aca="false">IF(F269="","",N(I269)/(1-IF(K269="",'Job Info'!$B$39,K269))*(1+IF('Job Info'!$B$38="Yes",'Job Info'!$B$37,0)))</f>
        <v/>
      </c>
      <c r="N269" s="34" t="str">
        <f aca="false">IF(F269="","",N(J269)/(1-IF(L269="",'Job Info'!$B$40,L269)))</f>
        <v/>
      </c>
      <c r="O269" s="34" t="str">
        <f aca="false">IF(F269="","",M269+N269)</f>
        <v/>
      </c>
      <c r="P269" s="34" t="str">
        <f aca="false">IF(F269="","",N(G269)*M269)</f>
        <v/>
      </c>
      <c r="Q269" s="34" t="str">
        <f aca="false">IF(F269="","",N(G269)*N269)</f>
        <v/>
      </c>
      <c r="R269" s="35" t="str">
        <f aca="false">IF(F269="","",P269+Q269)</f>
        <v/>
      </c>
      <c r="S269" s="36"/>
      <c r="T269" s="36"/>
      <c r="U269" s="34" t="str">
        <f aca="false">IF(F269="","",N(G269)*N(I269))</f>
        <v/>
      </c>
      <c r="V269" s="34" t="str">
        <f aca="false">IF(F269="","",N(G269)*N(J269))</f>
        <v/>
      </c>
      <c r="W269" s="13" t="str">
        <f aca="false">IF(F269="","",IF(B269="Excluded","",COUNTIFS($F$6:F269,"?*",$B$6:B269,"&lt;&gt;Excluded")))</f>
        <v/>
      </c>
      <c r="X269" s="34" t="str">
        <f aca="false">IF(F269="","",N(G269)*N(I269)/(1-IF(K269="",'Job Info'!$B$39,K269))*IF('Job Info'!$B$38="Yes",'Job Info'!$B$37,0))</f>
        <v/>
      </c>
    </row>
    <row r="270" customFormat="false" ht="15" hidden="false" customHeight="false" outlineLevel="0" collapsed="false">
      <c r="A270" s="13" t="str">
        <f aca="false">IF(F270="","",ROW()-5)</f>
        <v/>
      </c>
      <c r="B270" s="14"/>
      <c r="C270" s="14"/>
      <c r="D270" s="14"/>
      <c r="E270" s="14"/>
      <c r="F270" s="36"/>
      <c r="G270" s="37"/>
      <c r="H270" s="14"/>
      <c r="I270" s="38"/>
      <c r="J270" s="38"/>
      <c r="K270" s="33"/>
      <c r="L270" s="33"/>
      <c r="M270" s="34" t="str">
        <f aca="false">IF(F270="","",N(I270)/(1-IF(K270="",'Job Info'!$B$39,K270))*(1+IF('Job Info'!$B$38="Yes",'Job Info'!$B$37,0)))</f>
        <v/>
      </c>
      <c r="N270" s="34" t="str">
        <f aca="false">IF(F270="","",N(J270)/(1-IF(L270="",'Job Info'!$B$40,L270)))</f>
        <v/>
      </c>
      <c r="O270" s="34" t="str">
        <f aca="false">IF(F270="","",M270+N270)</f>
        <v/>
      </c>
      <c r="P270" s="34" t="str">
        <f aca="false">IF(F270="","",N(G270)*M270)</f>
        <v/>
      </c>
      <c r="Q270" s="34" t="str">
        <f aca="false">IF(F270="","",N(G270)*N270)</f>
        <v/>
      </c>
      <c r="R270" s="35" t="str">
        <f aca="false">IF(F270="","",P270+Q270)</f>
        <v/>
      </c>
      <c r="S270" s="36"/>
      <c r="T270" s="36"/>
      <c r="U270" s="34" t="str">
        <f aca="false">IF(F270="","",N(G270)*N(I270))</f>
        <v/>
      </c>
      <c r="V270" s="34" t="str">
        <f aca="false">IF(F270="","",N(G270)*N(J270))</f>
        <v/>
      </c>
      <c r="W270" s="13" t="str">
        <f aca="false">IF(F270="","",IF(B270="Excluded","",COUNTIFS($F$6:F270,"?*",$B$6:B270,"&lt;&gt;Excluded")))</f>
        <v/>
      </c>
      <c r="X270" s="34" t="str">
        <f aca="false">IF(F270="","",N(G270)*N(I270)/(1-IF(K270="",'Job Info'!$B$39,K270))*IF('Job Info'!$B$38="Yes",'Job Info'!$B$37,0))</f>
        <v/>
      </c>
    </row>
    <row r="271" customFormat="false" ht="15" hidden="false" customHeight="false" outlineLevel="0" collapsed="false">
      <c r="A271" s="13" t="str">
        <f aca="false">IF(F271="","",ROW()-5)</f>
        <v/>
      </c>
      <c r="B271" s="14"/>
      <c r="C271" s="14"/>
      <c r="D271" s="14"/>
      <c r="E271" s="14"/>
      <c r="F271" s="36"/>
      <c r="G271" s="37"/>
      <c r="H271" s="14"/>
      <c r="I271" s="38"/>
      <c r="J271" s="38"/>
      <c r="K271" s="33"/>
      <c r="L271" s="33"/>
      <c r="M271" s="34" t="str">
        <f aca="false">IF(F271="","",N(I271)/(1-IF(K271="",'Job Info'!$B$39,K271))*(1+IF('Job Info'!$B$38="Yes",'Job Info'!$B$37,0)))</f>
        <v/>
      </c>
      <c r="N271" s="34" t="str">
        <f aca="false">IF(F271="","",N(J271)/(1-IF(L271="",'Job Info'!$B$40,L271)))</f>
        <v/>
      </c>
      <c r="O271" s="34" t="str">
        <f aca="false">IF(F271="","",M271+N271)</f>
        <v/>
      </c>
      <c r="P271" s="34" t="str">
        <f aca="false">IF(F271="","",N(G271)*M271)</f>
        <v/>
      </c>
      <c r="Q271" s="34" t="str">
        <f aca="false">IF(F271="","",N(G271)*N271)</f>
        <v/>
      </c>
      <c r="R271" s="35" t="str">
        <f aca="false">IF(F271="","",P271+Q271)</f>
        <v/>
      </c>
      <c r="S271" s="36"/>
      <c r="T271" s="36"/>
      <c r="U271" s="34" t="str">
        <f aca="false">IF(F271="","",N(G271)*N(I271))</f>
        <v/>
      </c>
      <c r="V271" s="34" t="str">
        <f aca="false">IF(F271="","",N(G271)*N(J271))</f>
        <v/>
      </c>
      <c r="W271" s="13" t="str">
        <f aca="false">IF(F271="","",IF(B271="Excluded","",COUNTIFS($F$6:F271,"?*",$B$6:B271,"&lt;&gt;Excluded")))</f>
        <v/>
      </c>
      <c r="X271" s="34" t="str">
        <f aca="false">IF(F271="","",N(G271)*N(I271)/(1-IF(K271="",'Job Info'!$B$39,K271))*IF('Job Info'!$B$38="Yes",'Job Info'!$B$37,0))</f>
        <v/>
      </c>
    </row>
    <row r="272" customFormat="false" ht="15" hidden="false" customHeight="false" outlineLevel="0" collapsed="false">
      <c r="A272" s="13" t="str">
        <f aca="false">IF(F272="","",ROW()-5)</f>
        <v/>
      </c>
      <c r="B272" s="14"/>
      <c r="C272" s="14"/>
      <c r="D272" s="14"/>
      <c r="E272" s="14"/>
      <c r="F272" s="36"/>
      <c r="G272" s="37"/>
      <c r="H272" s="14"/>
      <c r="I272" s="38"/>
      <c r="J272" s="38"/>
      <c r="K272" s="33"/>
      <c r="L272" s="33"/>
      <c r="M272" s="34" t="str">
        <f aca="false">IF(F272="","",N(I272)/(1-IF(K272="",'Job Info'!$B$39,K272))*(1+IF('Job Info'!$B$38="Yes",'Job Info'!$B$37,0)))</f>
        <v/>
      </c>
      <c r="N272" s="34" t="str">
        <f aca="false">IF(F272="","",N(J272)/(1-IF(L272="",'Job Info'!$B$40,L272)))</f>
        <v/>
      </c>
      <c r="O272" s="34" t="str">
        <f aca="false">IF(F272="","",M272+N272)</f>
        <v/>
      </c>
      <c r="P272" s="34" t="str">
        <f aca="false">IF(F272="","",N(G272)*M272)</f>
        <v/>
      </c>
      <c r="Q272" s="34" t="str">
        <f aca="false">IF(F272="","",N(G272)*N272)</f>
        <v/>
      </c>
      <c r="R272" s="35" t="str">
        <f aca="false">IF(F272="","",P272+Q272)</f>
        <v/>
      </c>
      <c r="S272" s="36"/>
      <c r="T272" s="36"/>
      <c r="U272" s="34" t="str">
        <f aca="false">IF(F272="","",N(G272)*N(I272))</f>
        <v/>
      </c>
      <c r="V272" s="34" t="str">
        <f aca="false">IF(F272="","",N(G272)*N(J272))</f>
        <v/>
      </c>
      <c r="W272" s="13" t="str">
        <f aca="false">IF(F272="","",IF(B272="Excluded","",COUNTIFS($F$6:F272,"?*",$B$6:B272,"&lt;&gt;Excluded")))</f>
        <v/>
      </c>
      <c r="X272" s="34" t="str">
        <f aca="false">IF(F272="","",N(G272)*N(I272)/(1-IF(K272="",'Job Info'!$B$39,K272))*IF('Job Info'!$B$38="Yes",'Job Info'!$B$37,0))</f>
        <v/>
      </c>
    </row>
    <row r="273" customFormat="false" ht="15" hidden="false" customHeight="false" outlineLevel="0" collapsed="false">
      <c r="A273" s="13" t="str">
        <f aca="false">IF(F273="","",ROW()-5)</f>
        <v/>
      </c>
      <c r="B273" s="14"/>
      <c r="C273" s="14"/>
      <c r="D273" s="14"/>
      <c r="E273" s="14"/>
      <c r="F273" s="36"/>
      <c r="G273" s="37"/>
      <c r="H273" s="14"/>
      <c r="I273" s="38"/>
      <c r="J273" s="38"/>
      <c r="K273" s="33"/>
      <c r="L273" s="33"/>
      <c r="M273" s="34" t="str">
        <f aca="false">IF(F273="","",N(I273)/(1-IF(K273="",'Job Info'!$B$39,K273))*(1+IF('Job Info'!$B$38="Yes",'Job Info'!$B$37,0)))</f>
        <v/>
      </c>
      <c r="N273" s="34" t="str">
        <f aca="false">IF(F273="","",N(J273)/(1-IF(L273="",'Job Info'!$B$40,L273)))</f>
        <v/>
      </c>
      <c r="O273" s="34" t="str">
        <f aca="false">IF(F273="","",M273+N273)</f>
        <v/>
      </c>
      <c r="P273" s="34" t="str">
        <f aca="false">IF(F273="","",N(G273)*M273)</f>
        <v/>
      </c>
      <c r="Q273" s="34" t="str">
        <f aca="false">IF(F273="","",N(G273)*N273)</f>
        <v/>
      </c>
      <c r="R273" s="35" t="str">
        <f aca="false">IF(F273="","",P273+Q273)</f>
        <v/>
      </c>
      <c r="S273" s="36"/>
      <c r="T273" s="36"/>
      <c r="U273" s="34" t="str">
        <f aca="false">IF(F273="","",N(G273)*N(I273))</f>
        <v/>
      </c>
      <c r="V273" s="34" t="str">
        <f aca="false">IF(F273="","",N(G273)*N(J273))</f>
        <v/>
      </c>
      <c r="W273" s="13" t="str">
        <f aca="false">IF(F273="","",IF(B273="Excluded","",COUNTIFS($F$6:F273,"?*",$B$6:B273,"&lt;&gt;Excluded")))</f>
        <v/>
      </c>
      <c r="X273" s="34" t="str">
        <f aca="false">IF(F273="","",N(G273)*N(I273)/(1-IF(K273="",'Job Info'!$B$39,K273))*IF('Job Info'!$B$38="Yes",'Job Info'!$B$37,0))</f>
        <v/>
      </c>
    </row>
    <row r="274" customFormat="false" ht="15" hidden="false" customHeight="false" outlineLevel="0" collapsed="false">
      <c r="A274" s="13" t="str">
        <f aca="false">IF(F274="","",ROW()-5)</f>
        <v/>
      </c>
      <c r="B274" s="14"/>
      <c r="C274" s="14"/>
      <c r="D274" s="14"/>
      <c r="E274" s="14"/>
      <c r="F274" s="36"/>
      <c r="G274" s="37"/>
      <c r="H274" s="14"/>
      <c r="I274" s="38"/>
      <c r="J274" s="38"/>
      <c r="K274" s="33"/>
      <c r="L274" s="33"/>
      <c r="M274" s="34" t="str">
        <f aca="false">IF(F274="","",N(I274)/(1-IF(K274="",'Job Info'!$B$39,K274))*(1+IF('Job Info'!$B$38="Yes",'Job Info'!$B$37,0)))</f>
        <v/>
      </c>
      <c r="N274" s="34" t="str">
        <f aca="false">IF(F274="","",N(J274)/(1-IF(L274="",'Job Info'!$B$40,L274)))</f>
        <v/>
      </c>
      <c r="O274" s="34" t="str">
        <f aca="false">IF(F274="","",M274+N274)</f>
        <v/>
      </c>
      <c r="P274" s="34" t="str">
        <f aca="false">IF(F274="","",N(G274)*M274)</f>
        <v/>
      </c>
      <c r="Q274" s="34" t="str">
        <f aca="false">IF(F274="","",N(G274)*N274)</f>
        <v/>
      </c>
      <c r="R274" s="35" t="str">
        <f aca="false">IF(F274="","",P274+Q274)</f>
        <v/>
      </c>
      <c r="S274" s="36"/>
      <c r="T274" s="36"/>
      <c r="U274" s="34" t="str">
        <f aca="false">IF(F274="","",N(G274)*N(I274))</f>
        <v/>
      </c>
      <c r="V274" s="34" t="str">
        <f aca="false">IF(F274="","",N(G274)*N(J274))</f>
        <v/>
      </c>
      <c r="W274" s="13" t="str">
        <f aca="false">IF(F274="","",IF(B274="Excluded","",COUNTIFS($F$6:F274,"?*",$B$6:B274,"&lt;&gt;Excluded")))</f>
        <v/>
      </c>
      <c r="X274" s="34" t="str">
        <f aca="false">IF(F274="","",N(G274)*N(I274)/(1-IF(K274="",'Job Info'!$B$39,K274))*IF('Job Info'!$B$38="Yes",'Job Info'!$B$37,0))</f>
        <v/>
      </c>
    </row>
    <row r="275" customFormat="false" ht="15" hidden="false" customHeight="false" outlineLevel="0" collapsed="false">
      <c r="A275" s="13" t="str">
        <f aca="false">IF(F275="","",ROW()-5)</f>
        <v/>
      </c>
      <c r="B275" s="14"/>
      <c r="C275" s="14"/>
      <c r="D275" s="14"/>
      <c r="E275" s="14"/>
      <c r="F275" s="36"/>
      <c r="G275" s="37"/>
      <c r="H275" s="14"/>
      <c r="I275" s="38"/>
      <c r="J275" s="38"/>
      <c r="K275" s="33"/>
      <c r="L275" s="33"/>
      <c r="M275" s="34" t="str">
        <f aca="false">IF(F275="","",N(I275)/(1-IF(K275="",'Job Info'!$B$39,K275))*(1+IF('Job Info'!$B$38="Yes",'Job Info'!$B$37,0)))</f>
        <v/>
      </c>
      <c r="N275" s="34" t="str">
        <f aca="false">IF(F275="","",N(J275)/(1-IF(L275="",'Job Info'!$B$40,L275)))</f>
        <v/>
      </c>
      <c r="O275" s="34" t="str">
        <f aca="false">IF(F275="","",M275+N275)</f>
        <v/>
      </c>
      <c r="P275" s="34" t="str">
        <f aca="false">IF(F275="","",N(G275)*M275)</f>
        <v/>
      </c>
      <c r="Q275" s="34" t="str">
        <f aca="false">IF(F275="","",N(G275)*N275)</f>
        <v/>
      </c>
      <c r="R275" s="35" t="str">
        <f aca="false">IF(F275="","",P275+Q275)</f>
        <v/>
      </c>
      <c r="S275" s="36"/>
      <c r="T275" s="36"/>
      <c r="U275" s="34" t="str">
        <f aca="false">IF(F275="","",N(G275)*N(I275))</f>
        <v/>
      </c>
      <c r="V275" s="34" t="str">
        <f aca="false">IF(F275="","",N(G275)*N(J275))</f>
        <v/>
      </c>
      <c r="W275" s="13" t="str">
        <f aca="false">IF(F275="","",IF(B275="Excluded","",COUNTIFS($F$6:F275,"?*",$B$6:B275,"&lt;&gt;Excluded")))</f>
        <v/>
      </c>
      <c r="X275" s="34" t="str">
        <f aca="false">IF(F275="","",N(G275)*N(I275)/(1-IF(K275="",'Job Info'!$B$39,K275))*IF('Job Info'!$B$38="Yes",'Job Info'!$B$37,0))</f>
        <v/>
      </c>
    </row>
    <row r="276" customFormat="false" ht="15" hidden="false" customHeight="false" outlineLevel="0" collapsed="false">
      <c r="A276" s="13" t="str">
        <f aca="false">IF(F276="","",ROW()-5)</f>
        <v/>
      </c>
      <c r="B276" s="14"/>
      <c r="C276" s="14"/>
      <c r="D276" s="14"/>
      <c r="E276" s="14"/>
      <c r="F276" s="36"/>
      <c r="G276" s="37"/>
      <c r="H276" s="14"/>
      <c r="I276" s="38"/>
      <c r="J276" s="38"/>
      <c r="K276" s="33"/>
      <c r="L276" s="33"/>
      <c r="M276" s="34" t="str">
        <f aca="false">IF(F276="","",N(I276)/(1-IF(K276="",'Job Info'!$B$39,K276))*(1+IF('Job Info'!$B$38="Yes",'Job Info'!$B$37,0)))</f>
        <v/>
      </c>
      <c r="N276" s="34" t="str">
        <f aca="false">IF(F276="","",N(J276)/(1-IF(L276="",'Job Info'!$B$40,L276)))</f>
        <v/>
      </c>
      <c r="O276" s="34" t="str">
        <f aca="false">IF(F276="","",M276+N276)</f>
        <v/>
      </c>
      <c r="P276" s="34" t="str">
        <f aca="false">IF(F276="","",N(G276)*M276)</f>
        <v/>
      </c>
      <c r="Q276" s="34" t="str">
        <f aca="false">IF(F276="","",N(G276)*N276)</f>
        <v/>
      </c>
      <c r="R276" s="35" t="str">
        <f aca="false">IF(F276="","",P276+Q276)</f>
        <v/>
      </c>
      <c r="S276" s="36"/>
      <c r="T276" s="36"/>
      <c r="U276" s="34" t="str">
        <f aca="false">IF(F276="","",N(G276)*N(I276))</f>
        <v/>
      </c>
      <c r="V276" s="34" t="str">
        <f aca="false">IF(F276="","",N(G276)*N(J276))</f>
        <v/>
      </c>
      <c r="W276" s="13" t="str">
        <f aca="false">IF(F276="","",IF(B276="Excluded","",COUNTIFS($F$6:F276,"?*",$B$6:B276,"&lt;&gt;Excluded")))</f>
        <v/>
      </c>
      <c r="X276" s="34" t="str">
        <f aca="false">IF(F276="","",N(G276)*N(I276)/(1-IF(K276="",'Job Info'!$B$39,K276))*IF('Job Info'!$B$38="Yes",'Job Info'!$B$37,0))</f>
        <v/>
      </c>
    </row>
    <row r="277" customFormat="false" ht="15" hidden="false" customHeight="false" outlineLevel="0" collapsed="false">
      <c r="A277" s="13" t="str">
        <f aca="false">IF(F277="","",ROW()-5)</f>
        <v/>
      </c>
      <c r="B277" s="14"/>
      <c r="C277" s="14"/>
      <c r="D277" s="14"/>
      <c r="E277" s="14"/>
      <c r="F277" s="36"/>
      <c r="G277" s="37"/>
      <c r="H277" s="14"/>
      <c r="I277" s="38"/>
      <c r="J277" s="38"/>
      <c r="K277" s="33"/>
      <c r="L277" s="33"/>
      <c r="M277" s="34" t="str">
        <f aca="false">IF(F277="","",N(I277)/(1-IF(K277="",'Job Info'!$B$39,K277))*(1+IF('Job Info'!$B$38="Yes",'Job Info'!$B$37,0)))</f>
        <v/>
      </c>
      <c r="N277" s="34" t="str">
        <f aca="false">IF(F277="","",N(J277)/(1-IF(L277="",'Job Info'!$B$40,L277)))</f>
        <v/>
      </c>
      <c r="O277" s="34" t="str">
        <f aca="false">IF(F277="","",M277+N277)</f>
        <v/>
      </c>
      <c r="P277" s="34" t="str">
        <f aca="false">IF(F277="","",N(G277)*M277)</f>
        <v/>
      </c>
      <c r="Q277" s="34" t="str">
        <f aca="false">IF(F277="","",N(G277)*N277)</f>
        <v/>
      </c>
      <c r="R277" s="35" t="str">
        <f aca="false">IF(F277="","",P277+Q277)</f>
        <v/>
      </c>
      <c r="S277" s="36"/>
      <c r="T277" s="36"/>
      <c r="U277" s="34" t="str">
        <f aca="false">IF(F277="","",N(G277)*N(I277))</f>
        <v/>
      </c>
      <c r="V277" s="34" t="str">
        <f aca="false">IF(F277="","",N(G277)*N(J277))</f>
        <v/>
      </c>
      <c r="W277" s="13" t="str">
        <f aca="false">IF(F277="","",IF(B277="Excluded","",COUNTIFS($F$6:F277,"?*",$B$6:B277,"&lt;&gt;Excluded")))</f>
        <v/>
      </c>
      <c r="X277" s="34" t="str">
        <f aca="false">IF(F277="","",N(G277)*N(I277)/(1-IF(K277="",'Job Info'!$B$39,K277))*IF('Job Info'!$B$38="Yes",'Job Info'!$B$37,0))</f>
        <v/>
      </c>
    </row>
    <row r="278" customFormat="false" ht="15" hidden="false" customHeight="false" outlineLevel="0" collapsed="false">
      <c r="A278" s="13" t="str">
        <f aca="false">IF(F278="","",ROW()-5)</f>
        <v/>
      </c>
      <c r="B278" s="14"/>
      <c r="C278" s="14"/>
      <c r="D278" s="14"/>
      <c r="E278" s="14"/>
      <c r="F278" s="36"/>
      <c r="G278" s="37"/>
      <c r="H278" s="14"/>
      <c r="I278" s="38"/>
      <c r="J278" s="38"/>
      <c r="K278" s="33"/>
      <c r="L278" s="33"/>
      <c r="M278" s="34" t="str">
        <f aca="false">IF(F278="","",N(I278)/(1-IF(K278="",'Job Info'!$B$39,K278))*(1+IF('Job Info'!$B$38="Yes",'Job Info'!$B$37,0)))</f>
        <v/>
      </c>
      <c r="N278" s="34" t="str">
        <f aca="false">IF(F278="","",N(J278)/(1-IF(L278="",'Job Info'!$B$40,L278)))</f>
        <v/>
      </c>
      <c r="O278" s="34" t="str">
        <f aca="false">IF(F278="","",M278+N278)</f>
        <v/>
      </c>
      <c r="P278" s="34" t="str">
        <f aca="false">IF(F278="","",N(G278)*M278)</f>
        <v/>
      </c>
      <c r="Q278" s="34" t="str">
        <f aca="false">IF(F278="","",N(G278)*N278)</f>
        <v/>
      </c>
      <c r="R278" s="35" t="str">
        <f aca="false">IF(F278="","",P278+Q278)</f>
        <v/>
      </c>
      <c r="S278" s="36"/>
      <c r="T278" s="36"/>
      <c r="U278" s="34" t="str">
        <f aca="false">IF(F278="","",N(G278)*N(I278))</f>
        <v/>
      </c>
      <c r="V278" s="34" t="str">
        <f aca="false">IF(F278="","",N(G278)*N(J278))</f>
        <v/>
      </c>
      <c r="W278" s="13" t="str">
        <f aca="false">IF(F278="","",IF(B278="Excluded","",COUNTIFS($F$6:F278,"?*",$B$6:B278,"&lt;&gt;Excluded")))</f>
        <v/>
      </c>
      <c r="X278" s="34" t="str">
        <f aca="false">IF(F278="","",N(G278)*N(I278)/(1-IF(K278="",'Job Info'!$B$39,K278))*IF('Job Info'!$B$38="Yes",'Job Info'!$B$37,0))</f>
        <v/>
      </c>
    </row>
    <row r="279" customFormat="false" ht="15" hidden="false" customHeight="false" outlineLevel="0" collapsed="false">
      <c r="A279" s="13" t="str">
        <f aca="false">IF(F279="","",ROW()-5)</f>
        <v/>
      </c>
      <c r="B279" s="14"/>
      <c r="C279" s="14"/>
      <c r="D279" s="14"/>
      <c r="E279" s="14"/>
      <c r="F279" s="36"/>
      <c r="G279" s="37"/>
      <c r="H279" s="14"/>
      <c r="I279" s="38"/>
      <c r="J279" s="38"/>
      <c r="K279" s="33"/>
      <c r="L279" s="33"/>
      <c r="M279" s="34" t="str">
        <f aca="false">IF(F279="","",N(I279)/(1-IF(K279="",'Job Info'!$B$39,K279))*(1+IF('Job Info'!$B$38="Yes",'Job Info'!$B$37,0)))</f>
        <v/>
      </c>
      <c r="N279" s="34" t="str">
        <f aca="false">IF(F279="","",N(J279)/(1-IF(L279="",'Job Info'!$B$40,L279)))</f>
        <v/>
      </c>
      <c r="O279" s="34" t="str">
        <f aca="false">IF(F279="","",M279+N279)</f>
        <v/>
      </c>
      <c r="P279" s="34" t="str">
        <f aca="false">IF(F279="","",N(G279)*M279)</f>
        <v/>
      </c>
      <c r="Q279" s="34" t="str">
        <f aca="false">IF(F279="","",N(G279)*N279)</f>
        <v/>
      </c>
      <c r="R279" s="35" t="str">
        <f aca="false">IF(F279="","",P279+Q279)</f>
        <v/>
      </c>
      <c r="S279" s="36"/>
      <c r="T279" s="36"/>
      <c r="U279" s="34" t="str">
        <f aca="false">IF(F279="","",N(G279)*N(I279))</f>
        <v/>
      </c>
      <c r="V279" s="34" t="str">
        <f aca="false">IF(F279="","",N(G279)*N(J279))</f>
        <v/>
      </c>
      <c r="W279" s="13" t="str">
        <f aca="false">IF(F279="","",IF(B279="Excluded","",COUNTIFS($F$6:F279,"?*",$B$6:B279,"&lt;&gt;Excluded")))</f>
        <v/>
      </c>
      <c r="X279" s="34" t="str">
        <f aca="false">IF(F279="","",N(G279)*N(I279)/(1-IF(K279="",'Job Info'!$B$39,K279))*IF('Job Info'!$B$38="Yes",'Job Info'!$B$37,0))</f>
        <v/>
      </c>
    </row>
    <row r="280" customFormat="false" ht="15" hidden="false" customHeight="false" outlineLevel="0" collapsed="false">
      <c r="A280" s="13" t="str">
        <f aca="false">IF(F280="","",ROW()-5)</f>
        <v/>
      </c>
      <c r="B280" s="14"/>
      <c r="C280" s="14"/>
      <c r="D280" s="14"/>
      <c r="E280" s="14"/>
      <c r="F280" s="36"/>
      <c r="G280" s="37"/>
      <c r="H280" s="14"/>
      <c r="I280" s="38"/>
      <c r="J280" s="38"/>
      <c r="K280" s="33"/>
      <c r="L280" s="33"/>
      <c r="M280" s="34" t="str">
        <f aca="false">IF(F280="","",N(I280)/(1-IF(K280="",'Job Info'!$B$39,K280))*(1+IF('Job Info'!$B$38="Yes",'Job Info'!$B$37,0)))</f>
        <v/>
      </c>
      <c r="N280" s="34" t="str">
        <f aca="false">IF(F280="","",N(J280)/(1-IF(L280="",'Job Info'!$B$40,L280)))</f>
        <v/>
      </c>
      <c r="O280" s="34" t="str">
        <f aca="false">IF(F280="","",M280+N280)</f>
        <v/>
      </c>
      <c r="P280" s="34" t="str">
        <f aca="false">IF(F280="","",N(G280)*M280)</f>
        <v/>
      </c>
      <c r="Q280" s="34" t="str">
        <f aca="false">IF(F280="","",N(G280)*N280)</f>
        <v/>
      </c>
      <c r="R280" s="35" t="str">
        <f aca="false">IF(F280="","",P280+Q280)</f>
        <v/>
      </c>
      <c r="S280" s="36"/>
      <c r="T280" s="36"/>
      <c r="U280" s="34" t="str">
        <f aca="false">IF(F280="","",N(G280)*N(I280))</f>
        <v/>
      </c>
      <c r="V280" s="34" t="str">
        <f aca="false">IF(F280="","",N(G280)*N(J280))</f>
        <v/>
      </c>
      <c r="W280" s="13" t="str">
        <f aca="false">IF(F280="","",IF(B280="Excluded","",COUNTIFS($F$6:F280,"?*",$B$6:B280,"&lt;&gt;Excluded")))</f>
        <v/>
      </c>
      <c r="X280" s="34" t="str">
        <f aca="false">IF(F280="","",N(G280)*N(I280)/(1-IF(K280="",'Job Info'!$B$39,K280))*IF('Job Info'!$B$38="Yes",'Job Info'!$B$37,0))</f>
        <v/>
      </c>
    </row>
    <row r="281" customFormat="false" ht="15" hidden="false" customHeight="false" outlineLevel="0" collapsed="false">
      <c r="A281" s="13" t="str">
        <f aca="false">IF(F281="","",ROW()-5)</f>
        <v/>
      </c>
      <c r="B281" s="14"/>
      <c r="C281" s="14"/>
      <c r="D281" s="14"/>
      <c r="E281" s="14"/>
      <c r="F281" s="36"/>
      <c r="G281" s="37"/>
      <c r="H281" s="14"/>
      <c r="I281" s="38"/>
      <c r="J281" s="38"/>
      <c r="K281" s="33"/>
      <c r="L281" s="33"/>
      <c r="M281" s="34" t="str">
        <f aca="false">IF(F281="","",N(I281)/(1-IF(K281="",'Job Info'!$B$39,K281))*(1+IF('Job Info'!$B$38="Yes",'Job Info'!$B$37,0)))</f>
        <v/>
      </c>
      <c r="N281" s="34" t="str">
        <f aca="false">IF(F281="","",N(J281)/(1-IF(L281="",'Job Info'!$B$40,L281)))</f>
        <v/>
      </c>
      <c r="O281" s="34" t="str">
        <f aca="false">IF(F281="","",M281+N281)</f>
        <v/>
      </c>
      <c r="P281" s="34" t="str">
        <f aca="false">IF(F281="","",N(G281)*M281)</f>
        <v/>
      </c>
      <c r="Q281" s="34" t="str">
        <f aca="false">IF(F281="","",N(G281)*N281)</f>
        <v/>
      </c>
      <c r="R281" s="35" t="str">
        <f aca="false">IF(F281="","",P281+Q281)</f>
        <v/>
      </c>
      <c r="S281" s="36"/>
      <c r="T281" s="36"/>
      <c r="U281" s="34" t="str">
        <f aca="false">IF(F281="","",N(G281)*N(I281))</f>
        <v/>
      </c>
      <c r="V281" s="34" t="str">
        <f aca="false">IF(F281="","",N(G281)*N(J281))</f>
        <v/>
      </c>
      <c r="W281" s="13" t="str">
        <f aca="false">IF(F281="","",IF(B281="Excluded","",COUNTIFS($F$6:F281,"?*",$B$6:B281,"&lt;&gt;Excluded")))</f>
        <v/>
      </c>
      <c r="X281" s="34" t="str">
        <f aca="false">IF(F281="","",N(G281)*N(I281)/(1-IF(K281="",'Job Info'!$B$39,K281))*IF('Job Info'!$B$38="Yes",'Job Info'!$B$37,0))</f>
        <v/>
      </c>
    </row>
    <row r="282" customFormat="false" ht="15" hidden="false" customHeight="false" outlineLevel="0" collapsed="false">
      <c r="A282" s="13" t="str">
        <f aca="false">IF(F282="","",ROW()-5)</f>
        <v/>
      </c>
      <c r="B282" s="14"/>
      <c r="C282" s="14"/>
      <c r="D282" s="14"/>
      <c r="E282" s="14"/>
      <c r="F282" s="36"/>
      <c r="G282" s="37"/>
      <c r="H282" s="14"/>
      <c r="I282" s="38"/>
      <c r="J282" s="38"/>
      <c r="K282" s="33"/>
      <c r="L282" s="33"/>
      <c r="M282" s="34" t="str">
        <f aca="false">IF(F282="","",N(I282)/(1-IF(K282="",'Job Info'!$B$39,K282))*(1+IF('Job Info'!$B$38="Yes",'Job Info'!$B$37,0)))</f>
        <v/>
      </c>
      <c r="N282" s="34" t="str">
        <f aca="false">IF(F282="","",N(J282)/(1-IF(L282="",'Job Info'!$B$40,L282)))</f>
        <v/>
      </c>
      <c r="O282" s="34" t="str">
        <f aca="false">IF(F282="","",M282+N282)</f>
        <v/>
      </c>
      <c r="P282" s="34" t="str">
        <f aca="false">IF(F282="","",N(G282)*M282)</f>
        <v/>
      </c>
      <c r="Q282" s="34" t="str">
        <f aca="false">IF(F282="","",N(G282)*N282)</f>
        <v/>
      </c>
      <c r="R282" s="35" t="str">
        <f aca="false">IF(F282="","",P282+Q282)</f>
        <v/>
      </c>
      <c r="S282" s="36"/>
      <c r="T282" s="36"/>
      <c r="U282" s="34" t="str">
        <f aca="false">IF(F282="","",N(G282)*N(I282))</f>
        <v/>
      </c>
      <c r="V282" s="34" t="str">
        <f aca="false">IF(F282="","",N(G282)*N(J282))</f>
        <v/>
      </c>
      <c r="W282" s="13" t="str">
        <f aca="false">IF(F282="","",IF(B282="Excluded","",COUNTIFS($F$6:F282,"?*",$B$6:B282,"&lt;&gt;Excluded")))</f>
        <v/>
      </c>
      <c r="X282" s="34" t="str">
        <f aca="false">IF(F282="","",N(G282)*N(I282)/(1-IF(K282="",'Job Info'!$B$39,K282))*IF('Job Info'!$B$38="Yes",'Job Info'!$B$37,0))</f>
        <v/>
      </c>
    </row>
    <row r="283" customFormat="false" ht="15" hidden="false" customHeight="false" outlineLevel="0" collapsed="false">
      <c r="A283" s="13" t="str">
        <f aca="false">IF(F283="","",ROW()-5)</f>
        <v/>
      </c>
      <c r="B283" s="14"/>
      <c r="C283" s="14"/>
      <c r="D283" s="14"/>
      <c r="E283" s="14"/>
      <c r="F283" s="36"/>
      <c r="G283" s="37"/>
      <c r="H283" s="14"/>
      <c r="I283" s="38"/>
      <c r="J283" s="38"/>
      <c r="K283" s="33"/>
      <c r="L283" s="33"/>
      <c r="M283" s="34" t="str">
        <f aca="false">IF(F283="","",N(I283)/(1-IF(K283="",'Job Info'!$B$39,K283))*(1+IF('Job Info'!$B$38="Yes",'Job Info'!$B$37,0)))</f>
        <v/>
      </c>
      <c r="N283" s="34" t="str">
        <f aca="false">IF(F283="","",N(J283)/(1-IF(L283="",'Job Info'!$B$40,L283)))</f>
        <v/>
      </c>
      <c r="O283" s="34" t="str">
        <f aca="false">IF(F283="","",M283+N283)</f>
        <v/>
      </c>
      <c r="P283" s="34" t="str">
        <f aca="false">IF(F283="","",N(G283)*M283)</f>
        <v/>
      </c>
      <c r="Q283" s="34" t="str">
        <f aca="false">IF(F283="","",N(G283)*N283)</f>
        <v/>
      </c>
      <c r="R283" s="35" t="str">
        <f aca="false">IF(F283="","",P283+Q283)</f>
        <v/>
      </c>
      <c r="S283" s="36"/>
      <c r="T283" s="36"/>
      <c r="U283" s="34" t="str">
        <f aca="false">IF(F283="","",N(G283)*N(I283))</f>
        <v/>
      </c>
      <c r="V283" s="34" t="str">
        <f aca="false">IF(F283="","",N(G283)*N(J283))</f>
        <v/>
      </c>
      <c r="W283" s="13" t="str">
        <f aca="false">IF(F283="","",IF(B283="Excluded","",COUNTIFS($F$6:F283,"?*",$B$6:B283,"&lt;&gt;Excluded")))</f>
        <v/>
      </c>
      <c r="X283" s="34" t="str">
        <f aca="false">IF(F283="","",N(G283)*N(I283)/(1-IF(K283="",'Job Info'!$B$39,K283))*IF('Job Info'!$B$38="Yes",'Job Info'!$B$37,0))</f>
        <v/>
      </c>
    </row>
    <row r="284" customFormat="false" ht="15" hidden="false" customHeight="false" outlineLevel="0" collapsed="false">
      <c r="A284" s="13" t="str">
        <f aca="false">IF(F284="","",ROW()-5)</f>
        <v/>
      </c>
      <c r="B284" s="14"/>
      <c r="C284" s="14"/>
      <c r="D284" s="14"/>
      <c r="E284" s="14"/>
      <c r="F284" s="36"/>
      <c r="G284" s="37"/>
      <c r="H284" s="14"/>
      <c r="I284" s="38"/>
      <c r="J284" s="38"/>
      <c r="K284" s="33"/>
      <c r="L284" s="33"/>
      <c r="M284" s="34" t="str">
        <f aca="false">IF(F284="","",N(I284)/(1-IF(K284="",'Job Info'!$B$39,K284))*(1+IF('Job Info'!$B$38="Yes",'Job Info'!$B$37,0)))</f>
        <v/>
      </c>
      <c r="N284" s="34" t="str">
        <f aca="false">IF(F284="","",N(J284)/(1-IF(L284="",'Job Info'!$B$40,L284)))</f>
        <v/>
      </c>
      <c r="O284" s="34" t="str">
        <f aca="false">IF(F284="","",M284+N284)</f>
        <v/>
      </c>
      <c r="P284" s="34" t="str">
        <f aca="false">IF(F284="","",N(G284)*M284)</f>
        <v/>
      </c>
      <c r="Q284" s="34" t="str">
        <f aca="false">IF(F284="","",N(G284)*N284)</f>
        <v/>
      </c>
      <c r="R284" s="35" t="str">
        <f aca="false">IF(F284="","",P284+Q284)</f>
        <v/>
      </c>
      <c r="S284" s="36"/>
      <c r="T284" s="36"/>
      <c r="U284" s="34" t="str">
        <f aca="false">IF(F284="","",N(G284)*N(I284))</f>
        <v/>
      </c>
      <c r="V284" s="34" t="str">
        <f aca="false">IF(F284="","",N(G284)*N(J284))</f>
        <v/>
      </c>
      <c r="W284" s="13" t="str">
        <f aca="false">IF(F284="","",IF(B284="Excluded","",COUNTIFS($F$6:F284,"?*",$B$6:B284,"&lt;&gt;Excluded")))</f>
        <v/>
      </c>
      <c r="X284" s="34" t="str">
        <f aca="false">IF(F284="","",N(G284)*N(I284)/(1-IF(K284="",'Job Info'!$B$39,K284))*IF('Job Info'!$B$38="Yes",'Job Info'!$B$37,0))</f>
        <v/>
      </c>
    </row>
    <row r="285" customFormat="false" ht="15" hidden="false" customHeight="false" outlineLevel="0" collapsed="false">
      <c r="A285" s="13" t="str">
        <f aca="false">IF(F285="","",ROW()-5)</f>
        <v/>
      </c>
      <c r="B285" s="14"/>
      <c r="C285" s="14"/>
      <c r="D285" s="14"/>
      <c r="E285" s="14"/>
      <c r="F285" s="36"/>
      <c r="G285" s="37"/>
      <c r="H285" s="14"/>
      <c r="I285" s="38"/>
      <c r="J285" s="38"/>
      <c r="K285" s="33"/>
      <c r="L285" s="33"/>
      <c r="M285" s="34" t="str">
        <f aca="false">IF(F285="","",N(I285)/(1-IF(K285="",'Job Info'!$B$39,K285))*(1+IF('Job Info'!$B$38="Yes",'Job Info'!$B$37,0)))</f>
        <v/>
      </c>
      <c r="N285" s="34" t="str">
        <f aca="false">IF(F285="","",N(J285)/(1-IF(L285="",'Job Info'!$B$40,L285)))</f>
        <v/>
      </c>
      <c r="O285" s="34" t="str">
        <f aca="false">IF(F285="","",M285+N285)</f>
        <v/>
      </c>
      <c r="P285" s="34" t="str">
        <f aca="false">IF(F285="","",N(G285)*M285)</f>
        <v/>
      </c>
      <c r="Q285" s="34" t="str">
        <f aca="false">IF(F285="","",N(G285)*N285)</f>
        <v/>
      </c>
      <c r="R285" s="35" t="str">
        <f aca="false">IF(F285="","",P285+Q285)</f>
        <v/>
      </c>
      <c r="S285" s="36"/>
      <c r="T285" s="36"/>
      <c r="U285" s="34" t="str">
        <f aca="false">IF(F285="","",N(G285)*N(I285))</f>
        <v/>
      </c>
      <c r="V285" s="34" t="str">
        <f aca="false">IF(F285="","",N(G285)*N(J285))</f>
        <v/>
      </c>
      <c r="W285" s="13" t="str">
        <f aca="false">IF(F285="","",IF(B285="Excluded","",COUNTIFS($F$6:F285,"?*",$B$6:B285,"&lt;&gt;Excluded")))</f>
        <v/>
      </c>
      <c r="X285" s="34" t="str">
        <f aca="false">IF(F285="","",N(G285)*N(I285)/(1-IF(K285="",'Job Info'!$B$39,K285))*IF('Job Info'!$B$38="Yes",'Job Info'!$B$37,0))</f>
        <v/>
      </c>
    </row>
    <row r="286" customFormat="false" ht="15" hidden="false" customHeight="false" outlineLevel="0" collapsed="false">
      <c r="A286" s="13" t="str">
        <f aca="false">IF(F286="","",ROW()-5)</f>
        <v/>
      </c>
      <c r="B286" s="14"/>
      <c r="C286" s="14"/>
      <c r="D286" s="14"/>
      <c r="E286" s="14"/>
      <c r="F286" s="36"/>
      <c r="G286" s="37"/>
      <c r="H286" s="14"/>
      <c r="I286" s="38"/>
      <c r="J286" s="38"/>
      <c r="K286" s="33"/>
      <c r="L286" s="33"/>
      <c r="M286" s="34" t="str">
        <f aca="false">IF(F286="","",N(I286)/(1-IF(K286="",'Job Info'!$B$39,K286))*(1+IF('Job Info'!$B$38="Yes",'Job Info'!$B$37,0)))</f>
        <v/>
      </c>
      <c r="N286" s="34" t="str">
        <f aca="false">IF(F286="","",N(J286)/(1-IF(L286="",'Job Info'!$B$40,L286)))</f>
        <v/>
      </c>
      <c r="O286" s="34" t="str">
        <f aca="false">IF(F286="","",M286+N286)</f>
        <v/>
      </c>
      <c r="P286" s="34" t="str">
        <f aca="false">IF(F286="","",N(G286)*M286)</f>
        <v/>
      </c>
      <c r="Q286" s="34" t="str">
        <f aca="false">IF(F286="","",N(G286)*N286)</f>
        <v/>
      </c>
      <c r="R286" s="35" t="str">
        <f aca="false">IF(F286="","",P286+Q286)</f>
        <v/>
      </c>
      <c r="S286" s="36"/>
      <c r="T286" s="36"/>
      <c r="U286" s="34" t="str">
        <f aca="false">IF(F286="","",N(G286)*N(I286))</f>
        <v/>
      </c>
      <c r="V286" s="34" t="str">
        <f aca="false">IF(F286="","",N(G286)*N(J286))</f>
        <v/>
      </c>
      <c r="W286" s="13" t="str">
        <f aca="false">IF(F286="","",IF(B286="Excluded","",COUNTIFS($F$6:F286,"?*",$B$6:B286,"&lt;&gt;Excluded")))</f>
        <v/>
      </c>
      <c r="X286" s="34" t="str">
        <f aca="false">IF(F286="","",N(G286)*N(I286)/(1-IF(K286="",'Job Info'!$B$39,K286))*IF('Job Info'!$B$38="Yes",'Job Info'!$B$37,0))</f>
        <v/>
      </c>
    </row>
    <row r="287" customFormat="false" ht="15" hidden="false" customHeight="false" outlineLevel="0" collapsed="false">
      <c r="A287" s="13" t="str">
        <f aca="false">IF(F287="","",ROW()-5)</f>
        <v/>
      </c>
      <c r="B287" s="14"/>
      <c r="C287" s="14"/>
      <c r="D287" s="14"/>
      <c r="E287" s="14"/>
      <c r="F287" s="36"/>
      <c r="G287" s="37"/>
      <c r="H287" s="14"/>
      <c r="I287" s="38"/>
      <c r="J287" s="38"/>
      <c r="K287" s="33"/>
      <c r="L287" s="33"/>
      <c r="M287" s="34" t="str">
        <f aca="false">IF(F287="","",N(I287)/(1-IF(K287="",'Job Info'!$B$39,K287))*(1+IF('Job Info'!$B$38="Yes",'Job Info'!$B$37,0)))</f>
        <v/>
      </c>
      <c r="N287" s="34" t="str">
        <f aca="false">IF(F287="","",N(J287)/(1-IF(L287="",'Job Info'!$B$40,L287)))</f>
        <v/>
      </c>
      <c r="O287" s="34" t="str">
        <f aca="false">IF(F287="","",M287+N287)</f>
        <v/>
      </c>
      <c r="P287" s="34" t="str">
        <f aca="false">IF(F287="","",N(G287)*M287)</f>
        <v/>
      </c>
      <c r="Q287" s="34" t="str">
        <f aca="false">IF(F287="","",N(G287)*N287)</f>
        <v/>
      </c>
      <c r="R287" s="35" t="str">
        <f aca="false">IF(F287="","",P287+Q287)</f>
        <v/>
      </c>
      <c r="S287" s="36"/>
      <c r="T287" s="36"/>
      <c r="U287" s="34" t="str">
        <f aca="false">IF(F287="","",N(G287)*N(I287))</f>
        <v/>
      </c>
      <c r="V287" s="34" t="str">
        <f aca="false">IF(F287="","",N(G287)*N(J287))</f>
        <v/>
      </c>
      <c r="W287" s="13" t="str">
        <f aca="false">IF(F287="","",IF(B287="Excluded","",COUNTIFS($F$6:F287,"?*",$B$6:B287,"&lt;&gt;Excluded")))</f>
        <v/>
      </c>
      <c r="X287" s="34" t="str">
        <f aca="false">IF(F287="","",N(G287)*N(I287)/(1-IF(K287="",'Job Info'!$B$39,K287))*IF('Job Info'!$B$38="Yes",'Job Info'!$B$37,0))</f>
        <v/>
      </c>
    </row>
    <row r="288" customFormat="false" ht="15" hidden="false" customHeight="false" outlineLevel="0" collapsed="false">
      <c r="A288" s="13" t="str">
        <f aca="false">IF(F288="","",ROW()-5)</f>
        <v/>
      </c>
      <c r="B288" s="14"/>
      <c r="C288" s="14"/>
      <c r="D288" s="14"/>
      <c r="E288" s="14"/>
      <c r="F288" s="36"/>
      <c r="G288" s="37"/>
      <c r="H288" s="14"/>
      <c r="I288" s="38"/>
      <c r="J288" s="38"/>
      <c r="K288" s="33"/>
      <c r="L288" s="33"/>
      <c r="M288" s="34" t="str">
        <f aca="false">IF(F288="","",N(I288)/(1-IF(K288="",'Job Info'!$B$39,K288))*(1+IF('Job Info'!$B$38="Yes",'Job Info'!$B$37,0)))</f>
        <v/>
      </c>
      <c r="N288" s="34" t="str">
        <f aca="false">IF(F288="","",N(J288)/(1-IF(L288="",'Job Info'!$B$40,L288)))</f>
        <v/>
      </c>
      <c r="O288" s="34" t="str">
        <f aca="false">IF(F288="","",M288+N288)</f>
        <v/>
      </c>
      <c r="P288" s="34" t="str">
        <f aca="false">IF(F288="","",N(G288)*M288)</f>
        <v/>
      </c>
      <c r="Q288" s="34" t="str">
        <f aca="false">IF(F288="","",N(G288)*N288)</f>
        <v/>
      </c>
      <c r="R288" s="35" t="str">
        <f aca="false">IF(F288="","",P288+Q288)</f>
        <v/>
      </c>
      <c r="S288" s="36"/>
      <c r="T288" s="36"/>
      <c r="U288" s="34" t="str">
        <f aca="false">IF(F288="","",N(G288)*N(I288))</f>
        <v/>
      </c>
      <c r="V288" s="34" t="str">
        <f aca="false">IF(F288="","",N(G288)*N(J288))</f>
        <v/>
      </c>
      <c r="W288" s="13" t="str">
        <f aca="false">IF(F288="","",IF(B288="Excluded","",COUNTIFS($F$6:F288,"?*",$B$6:B288,"&lt;&gt;Excluded")))</f>
        <v/>
      </c>
      <c r="X288" s="34" t="str">
        <f aca="false">IF(F288="","",N(G288)*N(I288)/(1-IF(K288="",'Job Info'!$B$39,K288))*IF('Job Info'!$B$38="Yes",'Job Info'!$B$37,0))</f>
        <v/>
      </c>
    </row>
    <row r="289" customFormat="false" ht="15" hidden="false" customHeight="false" outlineLevel="0" collapsed="false">
      <c r="A289" s="13" t="str">
        <f aca="false">IF(F289="","",ROW()-5)</f>
        <v/>
      </c>
      <c r="B289" s="14"/>
      <c r="C289" s="14"/>
      <c r="D289" s="14"/>
      <c r="E289" s="14"/>
      <c r="F289" s="36"/>
      <c r="G289" s="37"/>
      <c r="H289" s="14"/>
      <c r="I289" s="38"/>
      <c r="J289" s="38"/>
      <c r="K289" s="33"/>
      <c r="L289" s="33"/>
      <c r="M289" s="34" t="str">
        <f aca="false">IF(F289="","",N(I289)/(1-IF(K289="",'Job Info'!$B$39,K289))*(1+IF('Job Info'!$B$38="Yes",'Job Info'!$B$37,0)))</f>
        <v/>
      </c>
      <c r="N289" s="34" t="str">
        <f aca="false">IF(F289="","",N(J289)/(1-IF(L289="",'Job Info'!$B$40,L289)))</f>
        <v/>
      </c>
      <c r="O289" s="34" t="str">
        <f aca="false">IF(F289="","",M289+N289)</f>
        <v/>
      </c>
      <c r="P289" s="34" t="str">
        <f aca="false">IF(F289="","",N(G289)*M289)</f>
        <v/>
      </c>
      <c r="Q289" s="34" t="str">
        <f aca="false">IF(F289="","",N(G289)*N289)</f>
        <v/>
      </c>
      <c r="R289" s="35" t="str">
        <f aca="false">IF(F289="","",P289+Q289)</f>
        <v/>
      </c>
      <c r="S289" s="36"/>
      <c r="T289" s="36"/>
      <c r="U289" s="34" t="str">
        <f aca="false">IF(F289="","",N(G289)*N(I289))</f>
        <v/>
      </c>
      <c r="V289" s="34" t="str">
        <f aca="false">IF(F289="","",N(G289)*N(J289))</f>
        <v/>
      </c>
      <c r="W289" s="13" t="str">
        <f aca="false">IF(F289="","",IF(B289="Excluded","",COUNTIFS($F$6:F289,"?*",$B$6:B289,"&lt;&gt;Excluded")))</f>
        <v/>
      </c>
      <c r="X289" s="34" t="str">
        <f aca="false">IF(F289="","",N(G289)*N(I289)/(1-IF(K289="",'Job Info'!$B$39,K289))*IF('Job Info'!$B$38="Yes",'Job Info'!$B$37,0))</f>
        <v/>
      </c>
    </row>
    <row r="290" customFormat="false" ht="15" hidden="false" customHeight="false" outlineLevel="0" collapsed="false">
      <c r="A290" s="13" t="str">
        <f aca="false">IF(F290="","",ROW()-5)</f>
        <v/>
      </c>
      <c r="B290" s="14"/>
      <c r="C290" s="14"/>
      <c r="D290" s="14"/>
      <c r="E290" s="14"/>
      <c r="F290" s="36"/>
      <c r="G290" s="37"/>
      <c r="H290" s="14"/>
      <c r="I290" s="38"/>
      <c r="J290" s="38"/>
      <c r="K290" s="33"/>
      <c r="L290" s="33"/>
      <c r="M290" s="34" t="str">
        <f aca="false">IF(F290="","",N(I290)/(1-IF(K290="",'Job Info'!$B$39,K290))*(1+IF('Job Info'!$B$38="Yes",'Job Info'!$B$37,0)))</f>
        <v/>
      </c>
      <c r="N290" s="34" t="str">
        <f aca="false">IF(F290="","",N(J290)/(1-IF(L290="",'Job Info'!$B$40,L290)))</f>
        <v/>
      </c>
      <c r="O290" s="34" t="str">
        <f aca="false">IF(F290="","",M290+N290)</f>
        <v/>
      </c>
      <c r="P290" s="34" t="str">
        <f aca="false">IF(F290="","",N(G290)*M290)</f>
        <v/>
      </c>
      <c r="Q290" s="34" t="str">
        <f aca="false">IF(F290="","",N(G290)*N290)</f>
        <v/>
      </c>
      <c r="R290" s="35" t="str">
        <f aca="false">IF(F290="","",P290+Q290)</f>
        <v/>
      </c>
      <c r="S290" s="36"/>
      <c r="T290" s="36"/>
      <c r="U290" s="34" t="str">
        <f aca="false">IF(F290="","",N(G290)*N(I290))</f>
        <v/>
      </c>
      <c r="V290" s="34" t="str">
        <f aca="false">IF(F290="","",N(G290)*N(J290))</f>
        <v/>
      </c>
      <c r="W290" s="13" t="str">
        <f aca="false">IF(F290="","",IF(B290="Excluded","",COUNTIFS($F$6:F290,"?*",$B$6:B290,"&lt;&gt;Excluded")))</f>
        <v/>
      </c>
      <c r="X290" s="34" t="str">
        <f aca="false">IF(F290="","",N(G290)*N(I290)/(1-IF(K290="",'Job Info'!$B$39,K290))*IF('Job Info'!$B$38="Yes",'Job Info'!$B$37,0))</f>
        <v/>
      </c>
    </row>
    <row r="291" customFormat="false" ht="15" hidden="false" customHeight="false" outlineLevel="0" collapsed="false">
      <c r="A291" s="13" t="str">
        <f aca="false">IF(F291="","",ROW()-5)</f>
        <v/>
      </c>
      <c r="B291" s="14"/>
      <c r="C291" s="14"/>
      <c r="D291" s="14"/>
      <c r="E291" s="14"/>
      <c r="F291" s="36"/>
      <c r="G291" s="37"/>
      <c r="H291" s="14"/>
      <c r="I291" s="38"/>
      <c r="J291" s="38"/>
      <c r="K291" s="33"/>
      <c r="L291" s="33"/>
      <c r="M291" s="34" t="str">
        <f aca="false">IF(F291="","",N(I291)/(1-IF(K291="",'Job Info'!$B$39,K291))*(1+IF('Job Info'!$B$38="Yes",'Job Info'!$B$37,0)))</f>
        <v/>
      </c>
      <c r="N291" s="34" t="str">
        <f aca="false">IF(F291="","",N(J291)/(1-IF(L291="",'Job Info'!$B$40,L291)))</f>
        <v/>
      </c>
      <c r="O291" s="34" t="str">
        <f aca="false">IF(F291="","",M291+N291)</f>
        <v/>
      </c>
      <c r="P291" s="34" t="str">
        <f aca="false">IF(F291="","",N(G291)*M291)</f>
        <v/>
      </c>
      <c r="Q291" s="34" t="str">
        <f aca="false">IF(F291="","",N(G291)*N291)</f>
        <v/>
      </c>
      <c r="R291" s="35" t="str">
        <f aca="false">IF(F291="","",P291+Q291)</f>
        <v/>
      </c>
      <c r="S291" s="36"/>
      <c r="T291" s="36"/>
      <c r="U291" s="34" t="str">
        <f aca="false">IF(F291="","",N(G291)*N(I291))</f>
        <v/>
      </c>
      <c r="V291" s="34" t="str">
        <f aca="false">IF(F291="","",N(G291)*N(J291))</f>
        <v/>
      </c>
      <c r="W291" s="13" t="str">
        <f aca="false">IF(F291="","",IF(B291="Excluded","",COUNTIFS($F$6:F291,"?*",$B$6:B291,"&lt;&gt;Excluded")))</f>
        <v/>
      </c>
      <c r="X291" s="34" t="str">
        <f aca="false">IF(F291="","",N(G291)*N(I291)/(1-IF(K291="",'Job Info'!$B$39,K291))*IF('Job Info'!$B$38="Yes",'Job Info'!$B$37,0))</f>
        <v/>
      </c>
    </row>
    <row r="292" customFormat="false" ht="15" hidden="false" customHeight="false" outlineLevel="0" collapsed="false">
      <c r="A292" s="13" t="str">
        <f aca="false">IF(F292="","",ROW()-5)</f>
        <v/>
      </c>
      <c r="B292" s="14"/>
      <c r="C292" s="14"/>
      <c r="D292" s="14"/>
      <c r="E292" s="14"/>
      <c r="F292" s="36"/>
      <c r="G292" s="37"/>
      <c r="H292" s="14"/>
      <c r="I292" s="38"/>
      <c r="J292" s="38"/>
      <c r="K292" s="33"/>
      <c r="L292" s="33"/>
      <c r="M292" s="34" t="str">
        <f aca="false">IF(F292="","",N(I292)/(1-IF(K292="",'Job Info'!$B$39,K292))*(1+IF('Job Info'!$B$38="Yes",'Job Info'!$B$37,0)))</f>
        <v/>
      </c>
      <c r="N292" s="34" t="str">
        <f aca="false">IF(F292="","",N(J292)/(1-IF(L292="",'Job Info'!$B$40,L292)))</f>
        <v/>
      </c>
      <c r="O292" s="34" t="str">
        <f aca="false">IF(F292="","",M292+N292)</f>
        <v/>
      </c>
      <c r="P292" s="34" t="str">
        <f aca="false">IF(F292="","",N(G292)*M292)</f>
        <v/>
      </c>
      <c r="Q292" s="34" t="str">
        <f aca="false">IF(F292="","",N(G292)*N292)</f>
        <v/>
      </c>
      <c r="R292" s="35" t="str">
        <f aca="false">IF(F292="","",P292+Q292)</f>
        <v/>
      </c>
      <c r="S292" s="36"/>
      <c r="T292" s="36"/>
      <c r="U292" s="34" t="str">
        <f aca="false">IF(F292="","",N(G292)*N(I292))</f>
        <v/>
      </c>
      <c r="V292" s="34" t="str">
        <f aca="false">IF(F292="","",N(G292)*N(J292))</f>
        <v/>
      </c>
      <c r="W292" s="13" t="str">
        <f aca="false">IF(F292="","",IF(B292="Excluded","",COUNTIFS($F$6:F292,"?*",$B$6:B292,"&lt;&gt;Excluded")))</f>
        <v/>
      </c>
      <c r="X292" s="34" t="str">
        <f aca="false">IF(F292="","",N(G292)*N(I292)/(1-IF(K292="",'Job Info'!$B$39,K292))*IF('Job Info'!$B$38="Yes",'Job Info'!$B$37,0))</f>
        <v/>
      </c>
    </row>
    <row r="293" customFormat="false" ht="15" hidden="false" customHeight="false" outlineLevel="0" collapsed="false">
      <c r="A293" s="13" t="str">
        <f aca="false">IF(F293="","",ROW()-5)</f>
        <v/>
      </c>
      <c r="B293" s="14"/>
      <c r="C293" s="14"/>
      <c r="D293" s="14"/>
      <c r="E293" s="14"/>
      <c r="F293" s="36"/>
      <c r="G293" s="37"/>
      <c r="H293" s="14"/>
      <c r="I293" s="38"/>
      <c r="J293" s="38"/>
      <c r="K293" s="33"/>
      <c r="L293" s="33"/>
      <c r="M293" s="34" t="str">
        <f aca="false">IF(F293="","",N(I293)/(1-IF(K293="",'Job Info'!$B$39,K293))*(1+IF('Job Info'!$B$38="Yes",'Job Info'!$B$37,0)))</f>
        <v/>
      </c>
      <c r="N293" s="34" t="str">
        <f aca="false">IF(F293="","",N(J293)/(1-IF(L293="",'Job Info'!$B$40,L293)))</f>
        <v/>
      </c>
      <c r="O293" s="34" t="str">
        <f aca="false">IF(F293="","",M293+N293)</f>
        <v/>
      </c>
      <c r="P293" s="34" t="str">
        <f aca="false">IF(F293="","",N(G293)*M293)</f>
        <v/>
      </c>
      <c r="Q293" s="34" t="str">
        <f aca="false">IF(F293="","",N(G293)*N293)</f>
        <v/>
      </c>
      <c r="R293" s="35" t="str">
        <f aca="false">IF(F293="","",P293+Q293)</f>
        <v/>
      </c>
      <c r="S293" s="36"/>
      <c r="T293" s="36"/>
      <c r="U293" s="34" t="str">
        <f aca="false">IF(F293="","",N(G293)*N(I293))</f>
        <v/>
      </c>
      <c r="V293" s="34" t="str">
        <f aca="false">IF(F293="","",N(G293)*N(J293))</f>
        <v/>
      </c>
      <c r="W293" s="13" t="str">
        <f aca="false">IF(F293="","",IF(B293="Excluded","",COUNTIFS($F$6:F293,"?*",$B$6:B293,"&lt;&gt;Excluded")))</f>
        <v/>
      </c>
      <c r="X293" s="34" t="str">
        <f aca="false">IF(F293="","",N(G293)*N(I293)/(1-IF(K293="",'Job Info'!$B$39,K293))*IF('Job Info'!$B$38="Yes",'Job Info'!$B$37,0))</f>
        <v/>
      </c>
    </row>
    <row r="294" customFormat="false" ht="15" hidden="false" customHeight="false" outlineLevel="0" collapsed="false">
      <c r="A294" s="13" t="str">
        <f aca="false">IF(F294="","",ROW()-5)</f>
        <v/>
      </c>
      <c r="B294" s="14"/>
      <c r="C294" s="14"/>
      <c r="D294" s="14"/>
      <c r="E294" s="14"/>
      <c r="F294" s="36"/>
      <c r="G294" s="37"/>
      <c r="H294" s="14"/>
      <c r="I294" s="38"/>
      <c r="J294" s="38"/>
      <c r="K294" s="33"/>
      <c r="L294" s="33"/>
      <c r="M294" s="34" t="str">
        <f aca="false">IF(F294="","",N(I294)/(1-IF(K294="",'Job Info'!$B$39,K294))*(1+IF('Job Info'!$B$38="Yes",'Job Info'!$B$37,0)))</f>
        <v/>
      </c>
      <c r="N294" s="34" t="str">
        <f aca="false">IF(F294="","",N(J294)/(1-IF(L294="",'Job Info'!$B$40,L294)))</f>
        <v/>
      </c>
      <c r="O294" s="34" t="str">
        <f aca="false">IF(F294="","",M294+N294)</f>
        <v/>
      </c>
      <c r="P294" s="34" t="str">
        <f aca="false">IF(F294="","",N(G294)*M294)</f>
        <v/>
      </c>
      <c r="Q294" s="34" t="str">
        <f aca="false">IF(F294="","",N(G294)*N294)</f>
        <v/>
      </c>
      <c r="R294" s="35" t="str">
        <f aca="false">IF(F294="","",P294+Q294)</f>
        <v/>
      </c>
      <c r="S294" s="36"/>
      <c r="T294" s="36"/>
      <c r="U294" s="34" t="str">
        <f aca="false">IF(F294="","",N(G294)*N(I294))</f>
        <v/>
      </c>
      <c r="V294" s="34" t="str">
        <f aca="false">IF(F294="","",N(G294)*N(J294))</f>
        <v/>
      </c>
      <c r="W294" s="13" t="str">
        <f aca="false">IF(F294="","",IF(B294="Excluded","",COUNTIFS($F$6:F294,"?*",$B$6:B294,"&lt;&gt;Excluded")))</f>
        <v/>
      </c>
      <c r="X294" s="34" t="str">
        <f aca="false">IF(F294="","",N(G294)*N(I294)/(1-IF(K294="",'Job Info'!$B$39,K294))*IF('Job Info'!$B$38="Yes",'Job Info'!$B$37,0))</f>
        <v/>
      </c>
    </row>
    <row r="295" customFormat="false" ht="15" hidden="false" customHeight="false" outlineLevel="0" collapsed="false">
      <c r="A295" s="13" t="str">
        <f aca="false">IF(F295="","",ROW()-5)</f>
        <v/>
      </c>
      <c r="B295" s="14"/>
      <c r="C295" s="14"/>
      <c r="D295" s="14"/>
      <c r="E295" s="14"/>
      <c r="F295" s="36"/>
      <c r="G295" s="37"/>
      <c r="H295" s="14"/>
      <c r="I295" s="38"/>
      <c r="J295" s="38"/>
      <c r="K295" s="33"/>
      <c r="L295" s="33"/>
      <c r="M295" s="34" t="str">
        <f aca="false">IF(F295="","",N(I295)/(1-IF(K295="",'Job Info'!$B$39,K295))*(1+IF('Job Info'!$B$38="Yes",'Job Info'!$B$37,0)))</f>
        <v/>
      </c>
      <c r="N295" s="34" t="str">
        <f aca="false">IF(F295="","",N(J295)/(1-IF(L295="",'Job Info'!$B$40,L295)))</f>
        <v/>
      </c>
      <c r="O295" s="34" t="str">
        <f aca="false">IF(F295="","",M295+N295)</f>
        <v/>
      </c>
      <c r="P295" s="34" t="str">
        <f aca="false">IF(F295="","",N(G295)*M295)</f>
        <v/>
      </c>
      <c r="Q295" s="34" t="str">
        <f aca="false">IF(F295="","",N(G295)*N295)</f>
        <v/>
      </c>
      <c r="R295" s="35" t="str">
        <f aca="false">IF(F295="","",P295+Q295)</f>
        <v/>
      </c>
      <c r="S295" s="36"/>
      <c r="T295" s="36"/>
      <c r="U295" s="34" t="str">
        <f aca="false">IF(F295="","",N(G295)*N(I295))</f>
        <v/>
      </c>
      <c r="V295" s="34" t="str">
        <f aca="false">IF(F295="","",N(G295)*N(J295))</f>
        <v/>
      </c>
      <c r="W295" s="13" t="str">
        <f aca="false">IF(F295="","",IF(B295="Excluded","",COUNTIFS($F$6:F295,"?*",$B$6:B295,"&lt;&gt;Excluded")))</f>
        <v/>
      </c>
      <c r="X295" s="34" t="str">
        <f aca="false">IF(F295="","",N(G295)*N(I295)/(1-IF(K295="",'Job Info'!$B$39,K295))*IF('Job Info'!$B$38="Yes",'Job Info'!$B$37,0))</f>
        <v/>
      </c>
    </row>
    <row r="296" customFormat="false" ht="15" hidden="false" customHeight="false" outlineLevel="0" collapsed="false">
      <c r="A296" s="13" t="str">
        <f aca="false">IF(F296="","",ROW()-5)</f>
        <v/>
      </c>
      <c r="B296" s="14"/>
      <c r="C296" s="14"/>
      <c r="D296" s="14"/>
      <c r="E296" s="14"/>
      <c r="F296" s="36"/>
      <c r="G296" s="37"/>
      <c r="H296" s="14"/>
      <c r="I296" s="38"/>
      <c r="J296" s="38"/>
      <c r="K296" s="33"/>
      <c r="L296" s="33"/>
      <c r="M296" s="34" t="str">
        <f aca="false">IF(F296="","",N(I296)/(1-IF(K296="",'Job Info'!$B$39,K296))*(1+IF('Job Info'!$B$38="Yes",'Job Info'!$B$37,0)))</f>
        <v/>
      </c>
      <c r="N296" s="34" t="str">
        <f aca="false">IF(F296="","",N(J296)/(1-IF(L296="",'Job Info'!$B$40,L296)))</f>
        <v/>
      </c>
      <c r="O296" s="34" t="str">
        <f aca="false">IF(F296="","",M296+N296)</f>
        <v/>
      </c>
      <c r="P296" s="34" t="str">
        <f aca="false">IF(F296="","",N(G296)*M296)</f>
        <v/>
      </c>
      <c r="Q296" s="34" t="str">
        <f aca="false">IF(F296="","",N(G296)*N296)</f>
        <v/>
      </c>
      <c r="R296" s="35" t="str">
        <f aca="false">IF(F296="","",P296+Q296)</f>
        <v/>
      </c>
      <c r="S296" s="36"/>
      <c r="T296" s="36"/>
      <c r="U296" s="34" t="str">
        <f aca="false">IF(F296="","",N(G296)*N(I296))</f>
        <v/>
      </c>
      <c r="V296" s="34" t="str">
        <f aca="false">IF(F296="","",N(G296)*N(J296))</f>
        <v/>
      </c>
      <c r="W296" s="13" t="str">
        <f aca="false">IF(F296="","",IF(B296="Excluded","",COUNTIFS($F$6:F296,"?*",$B$6:B296,"&lt;&gt;Excluded")))</f>
        <v/>
      </c>
      <c r="X296" s="34" t="str">
        <f aca="false">IF(F296="","",N(G296)*N(I296)/(1-IF(K296="",'Job Info'!$B$39,K296))*IF('Job Info'!$B$38="Yes",'Job Info'!$B$37,0))</f>
        <v/>
      </c>
    </row>
    <row r="297" customFormat="false" ht="15" hidden="false" customHeight="false" outlineLevel="0" collapsed="false">
      <c r="A297" s="13" t="str">
        <f aca="false">IF(F297="","",ROW()-5)</f>
        <v/>
      </c>
      <c r="B297" s="14"/>
      <c r="C297" s="14"/>
      <c r="D297" s="14"/>
      <c r="E297" s="14"/>
      <c r="F297" s="36"/>
      <c r="G297" s="37"/>
      <c r="H297" s="14"/>
      <c r="I297" s="38"/>
      <c r="J297" s="38"/>
      <c r="K297" s="33"/>
      <c r="L297" s="33"/>
      <c r="M297" s="34" t="str">
        <f aca="false">IF(F297="","",N(I297)/(1-IF(K297="",'Job Info'!$B$39,K297))*(1+IF('Job Info'!$B$38="Yes",'Job Info'!$B$37,0)))</f>
        <v/>
      </c>
      <c r="N297" s="34" t="str">
        <f aca="false">IF(F297="","",N(J297)/(1-IF(L297="",'Job Info'!$B$40,L297)))</f>
        <v/>
      </c>
      <c r="O297" s="34" t="str">
        <f aca="false">IF(F297="","",M297+N297)</f>
        <v/>
      </c>
      <c r="P297" s="34" t="str">
        <f aca="false">IF(F297="","",N(G297)*M297)</f>
        <v/>
      </c>
      <c r="Q297" s="34" t="str">
        <f aca="false">IF(F297="","",N(G297)*N297)</f>
        <v/>
      </c>
      <c r="R297" s="35" t="str">
        <f aca="false">IF(F297="","",P297+Q297)</f>
        <v/>
      </c>
      <c r="S297" s="36"/>
      <c r="T297" s="36"/>
      <c r="U297" s="34" t="str">
        <f aca="false">IF(F297="","",N(G297)*N(I297))</f>
        <v/>
      </c>
      <c r="V297" s="34" t="str">
        <f aca="false">IF(F297="","",N(G297)*N(J297))</f>
        <v/>
      </c>
      <c r="W297" s="13" t="str">
        <f aca="false">IF(F297="","",IF(B297="Excluded","",COUNTIFS($F$6:F297,"?*",$B$6:B297,"&lt;&gt;Excluded")))</f>
        <v/>
      </c>
      <c r="X297" s="34" t="str">
        <f aca="false">IF(F297="","",N(G297)*N(I297)/(1-IF(K297="",'Job Info'!$B$39,K297))*IF('Job Info'!$B$38="Yes",'Job Info'!$B$37,0))</f>
        <v/>
      </c>
    </row>
    <row r="298" customFormat="false" ht="15" hidden="false" customHeight="false" outlineLevel="0" collapsed="false">
      <c r="A298" s="13" t="str">
        <f aca="false">IF(F298="","",ROW()-5)</f>
        <v/>
      </c>
      <c r="B298" s="14"/>
      <c r="C298" s="14"/>
      <c r="D298" s="14"/>
      <c r="E298" s="14"/>
      <c r="F298" s="36"/>
      <c r="G298" s="37"/>
      <c r="H298" s="14"/>
      <c r="I298" s="38"/>
      <c r="J298" s="38"/>
      <c r="K298" s="33"/>
      <c r="L298" s="33"/>
      <c r="M298" s="34" t="str">
        <f aca="false">IF(F298="","",N(I298)/(1-IF(K298="",'Job Info'!$B$39,K298))*(1+IF('Job Info'!$B$38="Yes",'Job Info'!$B$37,0)))</f>
        <v/>
      </c>
      <c r="N298" s="34" t="str">
        <f aca="false">IF(F298="","",N(J298)/(1-IF(L298="",'Job Info'!$B$40,L298)))</f>
        <v/>
      </c>
      <c r="O298" s="34" t="str">
        <f aca="false">IF(F298="","",M298+N298)</f>
        <v/>
      </c>
      <c r="P298" s="34" t="str">
        <f aca="false">IF(F298="","",N(G298)*M298)</f>
        <v/>
      </c>
      <c r="Q298" s="34" t="str">
        <f aca="false">IF(F298="","",N(G298)*N298)</f>
        <v/>
      </c>
      <c r="R298" s="35" t="str">
        <f aca="false">IF(F298="","",P298+Q298)</f>
        <v/>
      </c>
      <c r="S298" s="36"/>
      <c r="T298" s="36"/>
      <c r="U298" s="34" t="str">
        <f aca="false">IF(F298="","",N(G298)*N(I298))</f>
        <v/>
      </c>
      <c r="V298" s="34" t="str">
        <f aca="false">IF(F298="","",N(G298)*N(J298))</f>
        <v/>
      </c>
      <c r="W298" s="13" t="str">
        <f aca="false">IF(F298="","",IF(B298="Excluded","",COUNTIFS($F$6:F298,"?*",$B$6:B298,"&lt;&gt;Excluded")))</f>
        <v/>
      </c>
      <c r="X298" s="34" t="str">
        <f aca="false">IF(F298="","",N(G298)*N(I298)/(1-IF(K298="",'Job Info'!$B$39,K298))*IF('Job Info'!$B$38="Yes",'Job Info'!$B$37,0))</f>
        <v/>
      </c>
    </row>
    <row r="299" customFormat="false" ht="15" hidden="false" customHeight="false" outlineLevel="0" collapsed="false">
      <c r="A299" s="13" t="str">
        <f aca="false">IF(F299="","",ROW()-5)</f>
        <v/>
      </c>
      <c r="B299" s="14"/>
      <c r="C299" s="14"/>
      <c r="D299" s="14"/>
      <c r="E299" s="14"/>
      <c r="F299" s="36"/>
      <c r="G299" s="37"/>
      <c r="H299" s="14"/>
      <c r="I299" s="38"/>
      <c r="J299" s="38"/>
      <c r="K299" s="33"/>
      <c r="L299" s="33"/>
      <c r="M299" s="34" t="str">
        <f aca="false">IF(F299="","",N(I299)/(1-IF(K299="",'Job Info'!$B$39,K299))*(1+IF('Job Info'!$B$38="Yes",'Job Info'!$B$37,0)))</f>
        <v/>
      </c>
      <c r="N299" s="34" t="str">
        <f aca="false">IF(F299="","",N(J299)/(1-IF(L299="",'Job Info'!$B$40,L299)))</f>
        <v/>
      </c>
      <c r="O299" s="34" t="str">
        <f aca="false">IF(F299="","",M299+N299)</f>
        <v/>
      </c>
      <c r="P299" s="34" t="str">
        <f aca="false">IF(F299="","",N(G299)*M299)</f>
        <v/>
      </c>
      <c r="Q299" s="34" t="str">
        <f aca="false">IF(F299="","",N(G299)*N299)</f>
        <v/>
      </c>
      <c r="R299" s="35" t="str">
        <f aca="false">IF(F299="","",P299+Q299)</f>
        <v/>
      </c>
      <c r="S299" s="36"/>
      <c r="T299" s="36"/>
      <c r="U299" s="34" t="str">
        <f aca="false">IF(F299="","",N(G299)*N(I299))</f>
        <v/>
      </c>
      <c r="V299" s="34" t="str">
        <f aca="false">IF(F299="","",N(G299)*N(J299))</f>
        <v/>
      </c>
      <c r="W299" s="13" t="str">
        <f aca="false">IF(F299="","",IF(B299="Excluded","",COUNTIFS($F$6:F299,"?*",$B$6:B299,"&lt;&gt;Excluded")))</f>
        <v/>
      </c>
      <c r="X299" s="34" t="str">
        <f aca="false">IF(F299="","",N(G299)*N(I299)/(1-IF(K299="",'Job Info'!$B$39,K299))*IF('Job Info'!$B$38="Yes",'Job Info'!$B$37,0))</f>
        <v/>
      </c>
    </row>
    <row r="300" customFormat="false" ht="15" hidden="false" customHeight="false" outlineLevel="0" collapsed="false">
      <c r="A300" s="13" t="str">
        <f aca="false">IF(F300="","",ROW()-5)</f>
        <v/>
      </c>
      <c r="B300" s="14"/>
      <c r="C300" s="14"/>
      <c r="D300" s="14"/>
      <c r="E300" s="14"/>
      <c r="F300" s="36"/>
      <c r="G300" s="37"/>
      <c r="H300" s="14"/>
      <c r="I300" s="38"/>
      <c r="J300" s="38"/>
      <c r="K300" s="33"/>
      <c r="L300" s="33"/>
      <c r="M300" s="34" t="str">
        <f aca="false">IF(F300="","",N(I300)/(1-IF(K300="",'Job Info'!$B$39,K300))*(1+IF('Job Info'!$B$38="Yes",'Job Info'!$B$37,0)))</f>
        <v/>
      </c>
      <c r="N300" s="34" t="str">
        <f aca="false">IF(F300="","",N(J300)/(1-IF(L300="",'Job Info'!$B$40,L300)))</f>
        <v/>
      </c>
      <c r="O300" s="34" t="str">
        <f aca="false">IF(F300="","",M300+N300)</f>
        <v/>
      </c>
      <c r="P300" s="34" t="str">
        <f aca="false">IF(F300="","",N(G300)*M300)</f>
        <v/>
      </c>
      <c r="Q300" s="34" t="str">
        <f aca="false">IF(F300="","",N(G300)*N300)</f>
        <v/>
      </c>
      <c r="R300" s="35" t="str">
        <f aca="false">IF(F300="","",P300+Q300)</f>
        <v/>
      </c>
      <c r="S300" s="36"/>
      <c r="T300" s="36"/>
      <c r="U300" s="34" t="str">
        <f aca="false">IF(F300="","",N(G300)*N(I300))</f>
        <v/>
      </c>
      <c r="V300" s="34" t="str">
        <f aca="false">IF(F300="","",N(G300)*N(J300))</f>
        <v/>
      </c>
      <c r="W300" s="13" t="str">
        <f aca="false">IF(F300="","",IF(B300="Excluded","",COUNTIFS($F$6:F300,"?*",$B$6:B300,"&lt;&gt;Excluded")))</f>
        <v/>
      </c>
      <c r="X300" s="34" t="str">
        <f aca="false">IF(F300="","",N(G300)*N(I300)/(1-IF(K300="",'Job Info'!$B$39,K300))*IF('Job Info'!$B$38="Yes",'Job Info'!$B$37,0))</f>
        <v/>
      </c>
    </row>
    <row r="301" customFormat="false" ht="15" hidden="false" customHeight="false" outlineLevel="0" collapsed="false">
      <c r="A301" s="13" t="str">
        <f aca="false">IF(F301="","",ROW()-5)</f>
        <v/>
      </c>
      <c r="B301" s="14"/>
      <c r="C301" s="14"/>
      <c r="D301" s="14"/>
      <c r="E301" s="14"/>
      <c r="F301" s="36"/>
      <c r="G301" s="37"/>
      <c r="H301" s="14"/>
      <c r="I301" s="38"/>
      <c r="J301" s="38"/>
      <c r="K301" s="33"/>
      <c r="L301" s="33"/>
      <c r="M301" s="34" t="str">
        <f aca="false">IF(F301="","",N(I301)/(1-IF(K301="",'Job Info'!$B$39,K301))*(1+IF('Job Info'!$B$38="Yes",'Job Info'!$B$37,0)))</f>
        <v/>
      </c>
      <c r="N301" s="34" t="str">
        <f aca="false">IF(F301="","",N(J301)/(1-IF(L301="",'Job Info'!$B$40,L301)))</f>
        <v/>
      </c>
      <c r="O301" s="34" t="str">
        <f aca="false">IF(F301="","",M301+N301)</f>
        <v/>
      </c>
      <c r="P301" s="34" t="str">
        <f aca="false">IF(F301="","",N(G301)*M301)</f>
        <v/>
      </c>
      <c r="Q301" s="34" t="str">
        <f aca="false">IF(F301="","",N(G301)*N301)</f>
        <v/>
      </c>
      <c r="R301" s="35" t="str">
        <f aca="false">IF(F301="","",P301+Q301)</f>
        <v/>
      </c>
      <c r="S301" s="36"/>
      <c r="T301" s="36"/>
      <c r="U301" s="34" t="str">
        <f aca="false">IF(F301="","",N(G301)*N(I301))</f>
        <v/>
      </c>
      <c r="V301" s="34" t="str">
        <f aca="false">IF(F301="","",N(G301)*N(J301))</f>
        <v/>
      </c>
      <c r="W301" s="13" t="str">
        <f aca="false">IF(F301="","",IF(B301="Excluded","",COUNTIFS($F$6:F301,"?*",$B$6:B301,"&lt;&gt;Excluded")))</f>
        <v/>
      </c>
      <c r="X301" s="34" t="str">
        <f aca="false">IF(F301="","",N(G301)*N(I301)/(1-IF(K301="",'Job Info'!$B$39,K301))*IF('Job Info'!$B$38="Yes",'Job Info'!$B$37,0))</f>
        <v/>
      </c>
    </row>
    <row r="302" customFormat="false" ht="15" hidden="false" customHeight="false" outlineLevel="0" collapsed="false">
      <c r="A302" s="13" t="str">
        <f aca="false">IF(F302="","",ROW()-5)</f>
        <v/>
      </c>
      <c r="B302" s="14"/>
      <c r="C302" s="14"/>
      <c r="D302" s="14"/>
      <c r="E302" s="14"/>
      <c r="F302" s="36"/>
      <c r="G302" s="37"/>
      <c r="H302" s="14"/>
      <c r="I302" s="38"/>
      <c r="J302" s="38"/>
      <c r="K302" s="33"/>
      <c r="L302" s="33"/>
      <c r="M302" s="34" t="str">
        <f aca="false">IF(F302="","",N(I302)/(1-IF(K302="",'Job Info'!$B$39,K302))*(1+IF('Job Info'!$B$38="Yes",'Job Info'!$B$37,0)))</f>
        <v/>
      </c>
      <c r="N302" s="34" t="str">
        <f aca="false">IF(F302="","",N(J302)/(1-IF(L302="",'Job Info'!$B$40,L302)))</f>
        <v/>
      </c>
      <c r="O302" s="34" t="str">
        <f aca="false">IF(F302="","",M302+N302)</f>
        <v/>
      </c>
      <c r="P302" s="34" t="str">
        <f aca="false">IF(F302="","",N(G302)*M302)</f>
        <v/>
      </c>
      <c r="Q302" s="34" t="str">
        <f aca="false">IF(F302="","",N(G302)*N302)</f>
        <v/>
      </c>
      <c r="R302" s="35" t="str">
        <f aca="false">IF(F302="","",P302+Q302)</f>
        <v/>
      </c>
      <c r="S302" s="36"/>
      <c r="T302" s="36"/>
      <c r="U302" s="34" t="str">
        <f aca="false">IF(F302="","",N(G302)*N(I302))</f>
        <v/>
      </c>
      <c r="V302" s="34" t="str">
        <f aca="false">IF(F302="","",N(G302)*N(J302))</f>
        <v/>
      </c>
      <c r="W302" s="13" t="str">
        <f aca="false">IF(F302="","",IF(B302="Excluded","",COUNTIFS($F$6:F302,"?*",$B$6:B302,"&lt;&gt;Excluded")))</f>
        <v/>
      </c>
      <c r="X302" s="34" t="str">
        <f aca="false">IF(F302="","",N(G302)*N(I302)/(1-IF(K302="",'Job Info'!$B$39,K302))*IF('Job Info'!$B$38="Yes",'Job Info'!$B$37,0))</f>
        <v/>
      </c>
    </row>
    <row r="303" customFormat="false" ht="15" hidden="false" customHeight="false" outlineLevel="0" collapsed="false">
      <c r="A303" s="13" t="str">
        <f aca="false">IF(F303="","",ROW()-5)</f>
        <v/>
      </c>
      <c r="B303" s="14"/>
      <c r="C303" s="14"/>
      <c r="D303" s="14"/>
      <c r="E303" s="14"/>
      <c r="F303" s="36"/>
      <c r="G303" s="37"/>
      <c r="H303" s="14"/>
      <c r="I303" s="38"/>
      <c r="J303" s="38"/>
      <c r="K303" s="33"/>
      <c r="L303" s="33"/>
      <c r="M303" s="34" t="str">
        <f aca="false">IF(F303="","",N(I303)/(1-IF(K303="",'Job Info'!$B$39,K303))*(1+IF('Job Info'!$B$38="Yes",'Job Info'!$B$37,0)))</f>
        <v/>
      </c>
      <c r="N303" s="34" t="str">
        <f aca="false">IF(F303="","",N(J303)/(1-IF(L303="",'Job Info'!$B$40,L303)))</f>
        <v/>
      </c>
      <c r="O303" s="34" t="str">
        <f aca="false">IF(F303="","",M303+N303)</f>
        <v/>
      </c>
      <c r="P303" s="34" t="str">
        <f aca="false">IF(F303="","",N(G303)*M303)</f>
        <v/>
      </c>
      <c r="Q303" s="34" t="str">
        <f aca="false">IF(F303="","",N(G303)*N303)</f>
        <v/>
      </c>
      <c r="R303" s="35" t="str">
        <f aca="false">IF(F303="","",P303+Q303)</f>
        <v/>
      </c>
      <c r="S303" s="36"/>
      <c r="T303" s="36"/>
      <c r="U303" s="34" t="str">
        <f aca="false">IF(F303="","",N(G303)*N(I303))</f>
        <v/>
      </c>
      <c r="V303" s="34" t="str">
        <f aca="false">IF(F303="","",N(G303)*N(J303))</f>
        <v/>
      </c>
      <c r="W303" s="13" t="str">
        <f aca="false">IF(F303="","",IF(B303="Excluded","",COUNTIFS($F$6:F303,"?*",$B$6:B303,"&lt;&gt;Excluded")))</f>
        <v/>
      </c>
      <c r="X303" s="34" t="str">
        <f aca="false">IF(F303="","",N(G303)*N(I303)/(1-IF(K303="",'Job Info'!$B$39,K303))*IF('Job Info'!$B$38="Yes",'Job Info'!$B$37,0))</f>
        <v/>
      </c>
    </row>
    <row r="304" customFormat="false" ht="15" hidden="false" customHeight="false" outlineLevel="0" collapsed="false">
      <c r="A304" s="13" t="str">
        <f aca="false">IF(F304="","",ROW()-5)</f>
        <v/>
      </c>
      <c r="B304" s="14"/>
      <c r="C304" s="14"/>
      <c r="D304" s="14"/>
      <c r="E304" s="14"/>
      <c r="F304" s="36"/>
      <c r="G304" s="37"/>
      <c r="H304" s="14"/>
      <c r="I304" s="38"/>
      <c r="J304" s="38"/>
      <c r="K304" s="33"/>
      <c r="L304" s="33"/>
      <c r="M304" s="34" t="str">
        <f aca="false">IF(F304="","",N(I304)/(1-IF(K304="",'Job Info'!$B$39,K304))*(1+IF('Job Info'!$B$38="Yes",'Job Info'!$B$37,0)))</f>
        <v/>
      </c>
      <c r="N304" s="34" t="str">
        <f aca="false">IF(F304="","",N(J304)/(1-IF(L304="",'Job Info'!$B$40,L304)))</f>
        <v/>
      </c>
      <c r="O304" s="34" t="str">
        <f aca="false">IF(F304="","",M304+N304)</f>
        <v/>
      </c>
      <c r="P304" s="34" t="str">
        <f aca="false">IF(F304="","",N(G304)*M304)</f>
        <v/>
      </c>
      <c r="Q304" s="34" t="str">
        <f aca="false">IF(F304="","",N(G304)*N304)</f>
        <v/>
      </c>
      <c r="R304" s="35" t="str">
        <f aca="false">IF(F304="","",P304+Q304)</f>
        <v/>
      </c>
      <c r="S304" s="36"/>
      <c r="T304" s="36"/>
      <c r="U304" s="34" t="str">
        <f aca="false">IF(F304="","",N(G304)*N(I304))</f>
        <v/>
      </c>
      <c r="V304" s="34" t="str">
        <f aca="false">IF(F304="","",N(G304)*N(J304))</f>
        <v/>
      </c>
      <c r="W304" s="13" t="str">
        <f aca="false">IF(F304="","",IF(B304="Excluded","",COUNTIFS($F$6:F304,"?*",$B$6:B304,"&lt;&gt;Excluded")))</f>
        <v/>
      </c>
      <c r="X304" s="34" t="str">
        <f aca="false">IF(F304="","",N(G304)*N(I304)/(1-IF(K304="",'Job Info'!$B$39,K304))*IF('Job Info'!$B$38="Yes",'Job Info'!$B$37,0))</f>
        <v/>
      </c>
    </row>
    <row r="305" customFormat="false" ht="15" hidden="false" customHeight="false" outlineLevel="0" collapsed="false">
      <c r="A305" s="13" t="str">
        <f aca="false">IF(F305="","",ROW()-5)</f>
        <v/>
      </c>
      <c r="B305" s="14"/>
      <c r="C305" s="14"/>
      <c r="D305" s="14"/>
      <c r="E305" s="14"/>
      <c r="F305" s="36"/>
      <c r="G305" s="37"/>
      <c r="H305" s="14"/>
      <c r="I305" s="38"/>
      <c r="J305" s="38"/>
      <c r="K305" s="33"/>
      <c r="L305" s="33"/>
      <c r="M305" s="34" t="str">
        <f aca="false">IF(F305="","",N(I305)/(1-IF(K305="",'Job Info'!$B$39,K305))*(1+IF('Job Info'!$B$38="Yes",'Job Info'!$B$37,0)))</f>
        <v/>
      </c>
      <c r="N305" s="34" t="str">
        <f aca="false">IF(F305="","",N(J305)/(1-IF(L305="",'Job Info'!$B$40,L305)))</f>
        <v/>
      </c>
      <c r="O305" s="34" t="str">
        <f aca="false">IF(F305="","",M305+N305)</f>
        <v/>
      </c>
      <c r="P305" s="34" t="str">
        <f aca="false">IF(F305="","",N(G305)*M305)</f>
        <v/>
      </c>
      <c r="Q305" s="34" t="str">
        <f aca="false">IF(F305="","",N(G305)*N305)</f>
        <v/>
      </c>
      <c r="R305" s="35" t="str">
        <f aca="false">IF(F305="","",P305+Q305)</f>
        <v/>
      </c>
      <c r="S305" s="36"/>
      <c r="T305" s="36"/>
      <c r="U305" s="34" t="str">
        <f aca="false">IF(F305="","",N(G305)*N(I305))</f>
        <v/>
      </c>
      <c r="V305" s="34" t="str">
        <f aca="false">IF(F305="","",N(G305)*N(J305))</f>
        <v/>
      </c>
      <c r="W305" s="13" t="str">
        <f aca="false">IF(F305="","",IF(B305="Excluded","",COUNTIFS($F$6:F305,"?*",$B$6:B305,"&lt;&gt;Excluded")))</f>
        <v/>
      </c>
      <c r="X305" s="34" t="str">
        <f aca="false">IF(F305="","",N(G305)*N(I305)/(1-IF(K305="",'Job Info'!$B$39,K305))*IF('Job Info'!$B$38="Yes",'Job Info'!$B$37,0))</f>
        <v/>
      </c>
    </row>
    <row r="306" customFormat="false" ht="15" hidden="false" customHeight="false" outlineLevel="0" collapsed="false">
      <c r="A306" s="13" t="str">
        <f aca="false">IF(F306="","",ROW()-5)</f>
        <v/>
      </c>
      <c r="B306" s="14"/>
      <c r="C306" s="14"/>
      <c r="D306" s="14"/>
      <c r="E306" s="14"/>
      <c r="F306" s="36"/>
      <c r="G306" s="37"/>
      <c r="H306" s="14"/>
      <c r="I306" s="38"/>
      <c r="J306" s="38"/>
      <c r="K306" s="33"/>
      <c r="L306" s="33"/>
      <c r="M306" s="34" t="str">
        <f aca="false">IF(F306="","",N(I306)/(1-IF(K306="",'Job Info'!$B$39,K306))*(1+IF('Job Info'!$B$38="Yes",'Job Info'!$B$37,0)))</f>
        <v/>
      </c>
      <c r="N306" s="34" t="str">
        <f aca="false">IF(F306="","",N(J306)/(1-IF(L306="",'Job Info'!$B$40,L306)))</f>
        <v/>
      </c>
      <c r="O306" s="34" t="str">
        <f aca="false">IF(F306="","",M306+N306)</f>
        <v/>
      </c>
      <c r="P306" s="34" t="str">
        <f aca="false">IF(F306="","",N(G306)*M306)</f>
        <v/>
      </c>
      <c r="Q306" s="34" t="str">
        <f aca="false">IF(F306="","",N(G306)*N306)</f>
        <v/>
      </c>
      <c r="R306" s="35" t="str">
        <f aca="false">IF(F306="","",P306+Q306)</f>
        <v/>
      </c>
      <c r="S306" s="36"/>
      <c r="T306" s="36"/>
      <c r="U306" s="34" t="str">
        <f aca="false">IF(F306="","",N(G306)*N(I306))</f>
        <v/>
      </c>
      <c r="V306" s="34" t="str">
        <f aca="false">IF(F306="","",N(G306)*N(J306))</f>
        <v/>
      </c>
      <c r="W306" s="13" t="str">
        <f aca="false">IF(F306="","",IF(B306="Excluded","",COUNTIFS($F$6:F306,"?*",$B$6:B306,"&lt;&gt;Excluded")))</f>
        <v/>
      </c>
      <c r="X306" s="34" t="str">
        <f aca="false">IF(F306="","",N(G306)*N(I306)/(1-IF(K306="",'Job Info'!$B$39,K306))*IF('Job Info'!$B$38="Yes",'Job Info'!$B$37,0))</f>
        <v/>
      </c>
    </row>
    <row r="307" customFormat="false" ht="15" hidden="false" customHeight="false" outlineLevel="0" collapsed="false">
      <c r="A307" s="13" t="str">
        <f aca="false">IF(F307="","",ROW()-5)</f>
        <v/>
      </c>
      <c r="B307" s="14"/>
      <c r="C307" s="14"/>
      <c r="D307" s="14"/>
      <c r="E307" s="14"/>
      <c r="F307" s="36"/>
      <c r="G307" s="37"/>
      <c r="H307" s="14"/>
      <c r="I307" s="38"/>
      <c r="J307" s="38"/>
      <c r="K307" s="33"/>
      <c r="L307" s="33"/>
      <c r="M307" s="34" t="str">
        <f aca="false">IF(F307="","",N(I307)/(1-IF(K307="",'Job Info'!$B$39,K307))*(1+IF('Job Info'!$B$38="Yes",'Job Info'!$B$37,0)))</f>
        <v/>
      </c>
      <c r="N307" s="34" t="str">
        <f aca="false">IF(F307="","",N(J307)/(1-IF(L307="",'Job Info'!$B$40,L307)))</f>
        <v/>
      </c>
      <c r="O307" s="34" t="str">
        <f aca="false">IF(F307="","",M307+N307)</f>
        <v/>
      </c>
      <c r="P307" s="34" t="str">
        <f aca="false">IF(F307="","",N(G307)*M307)</f>
        <v/>
      </c>
      <c r="Q307" s="34" t="str">
        <f aca="false">IF(F307="","",N(G307)*N307)</f>
        <v/>
      </c>
      <c r="R307" s="35" t="str">
        <f aca="false">IF(F307="","",P307+Q307)</f>
        <v/>
      </c>
      <c r="S307" s="36"/>
      <c r="T307" s="36"/>
      <c r="U307" s="34" t="str">
        <f aca="false">IF(F307="","",N(G307)*N(I307))</f>
        <v/>
      </c>
      <c r="V307" s="34" t="str">
        <f aca="false">IF(F307="","",N(G307)*N(J307))</f>
        <v/>
      </c>
      <c r="W307" s="13" t="str">
        <f aca="false">IF(F307="","",IF(B307="Excluded","",COUNTIFS($F$6:F307,"?*",$B$6:B307,"&lt;&gt;Excluded")))</f>
        <v/>
      </c>
      <c r="X307" s="34" t="str">
        <f aca="false">IF(F307="","",N(G307)*N(I307)/(1-IF(K307="",'Job Info'!$B$39,K307))*IF('Job Info'!$B$38="Yes",'Job Info'!$B$37,0))</f>
        <v/>
      </c>
    </row>
    <row r="308" customFormat="false" ht="15" hidden="false" customHeight="false" outlineLevel="0" collapsed="false">
      <c r="A308" s="13" t="str">
        <f aca="false">IF(F308="","",ROW()-5)</f>
        <v/>
      </c>
      <c r="B308" s="14"/>
      <c r="C308" s="14"/>
      <c r="D308" s="14"/>
      <c r="E308" s="14"/>
      <c r="F308" s="36"/>
      <c r="G308" s="37"/>
      <c r="H308" s="14"/>
      <c r="I308" s="38"/>
      <c r="J308" s="38"/>
      <c r="K308" s="33"/>
      <c r="L308" s="33"/>
      <c r="M308" s="34" t="str">
        <f aca="false">IF(F308="","",N(I308)/(1-IF(K308="",'Job Info'!$B$39,K308))*(1+IF('Job Info'!$B$38="Yes",'Job Info'!$B$37,0)))</f>
        <v/>
      </c>
      <c r="N308" s="34" t="str">
        <f aca="false">IF(F308="","",N(J308)/(1-IF(L308="",'Job Info'!$B$40,L308)))</f>
        <v/>
      </c>
      <c r="O308" s="34" t="str">
        <f aca="false">IF(F308="","",M308+N308)</f>
        <v/>
      </c>
      <c r="P308" s="34" t="str">
        <f aca="false">IF(F308="","",N(G308)*M308)</f>
        <v/>
      </c>
      <c r="Q308" s="34" t="str">
        <f aca="false">IF(F308="","",N(G308)*N308)</f>
        <v/>
      </c>
      <c r="R308" s="35" t="str">
        <f aca="false">IF(F308="","",P308+Q308)</f>
        <v/>
      </c>
      <c r="S308" s="36"/>
      <c r="T308" s="36"/>
      <c r="U308" s="34" t="str">
        <f aca="false">IF(F308="","",N(G308)*N(I308))</f>
        <v/>
      </c>
      <c r="V308" s="34" t="str">
        <f aca="false">IF(F308="","",N(G308)*N(J308))</f>
        <v/>
      </c>
      <c r="W308" s="13" t="str">
        <f aca="false">IF(F308="","",IF(B308="Excluded","",COUNTIFS($F$6:F308,"?*",$B$6:B308,"&lt;&gt;Excluded")))</f>
        <v/>
      </c>
      <c r="X308" s="34" t="str">
        <f aca="false">IF(F308="","",N(G308)*N(I308)/(1-IF(K308="",'Job Info'!$B$39,K308))*IF('Job Info'!$B$38="Yes",'Job Info'!$B$37,0))</f>
        <v/>
      </c>
    </row>
    <row r="309" customFormat="false" ht="15" hidden="false" customHeight="false" outlineLevel="0" collapsed="false">
      <c r="A309" s="13" t="str">
        <f aca="false">IF(F309="","",ROW()-5)</f>
        <v/>
      </c>
      <c r="B309" s="14"/>
      <c r="C309" s="14"/>
      <c r="D309" s="14"/>
      <c r="E309" s="14"/>
      <c r="F309" s="36"/>
      <c r="G309" s="37"/>
      <c r="H309" s="14"/>
      <c r="I309" s="38"/>
      <c r="J309" s="38"/>
      <c r="K309" s="33"/>
      <c r="L309" s="33"/>
      <c r="M309" s="34" t="str">
        <f aca="false">IF(F309="","",N(I309)/(1-IF(K309="",'Job Info'!$B$39,K309))*(1+IF('Job Info'!$B$38="Yes",'Job Info'!$B$37,0)))</f>
        <v/>
      </c>
      <c r="N309" s="34" t="str">
        <f aca="false">IF(F309="","",N(J309)/(1-IF(L309="",'Job Info'!$B$40,L309)))</f>
        <v/>
      </c>
      <c r="O309" s="34" t="str">
        <f aca="false">IF(F309="","",M309+N309)</f>
        <v/>
      </c>
      <c r="P309" s="34" t="str">
        <f aca="false">IF(F309="","",N(G309)*M309)</f>
        <v/>
      </c>
      <c r="Q309" s="34" t="str">
        <f aca="false">IF(F309="","",N(G309)*N309)</f>
        <v/>
      </c>
      <c r="R309" s="35" t="str">
        <f aca="false">IF(F309="","",P309+Q309)</f>
        <v/>
      </c>
      <c r="S309" s="36"/>
      <c r="T309" s="36"/>
      <c r="U309" s="34" t="str">
        <f aca="false">IF(F309="","",N(G309)*N(I309))</f>
        <v/>
      </c>
      <c r="V309" s="34" t="str">
        <f aca="false">IF(F309="","",N(G309)*N(J309))</f>
        <v/>
      </c>
      <c r="W309" s="13" t="str">
        <f aca="false">IF(F309="","",IF(B309="Excluded","",COUNTIFS($F$6:F309,"?*",$B$6:B309,"&lt;&gt;Excluded")))</f>
        <v/>
      </c>
      <c r="X309" s="34" t="str">
        <f aca="false">IF(F309="","",N(G309)*N(I309)/(1-IF(K309="",'Job Info'!$B$39,K309))*IF('Job Info'!$B$38="Yes",'Job Info'!$B$37,0))</f>
        <v/>
      </c>
    </row>
    <row r="310" customFormat="false" ht="15" hidden="false" customHeight="false" outlineLevel="0" collapsed="false">
      <c r="A310" s="13" t="str">
        <f aca="false">IF(F310="","",ROW()-5)</f>
        <v/>
      </c>
      <c r="B310" s="14"/>
      <c r="C310" s="14"/>
      <c r="D310" s="14"/>
      <c r="E310" s="14"/>
      <c r="F310" s="36"/>
      <c r="G310" s="37"/>
      <c r="H310" s="14"/>
      <c r="I310" s="38"/>
      <c r="J310" s="38"/>
      <c r="K310" s="33"/>
      <c r="L310" s="33"/>
      <c r="M310" s="34" t="str">
        <f aca="false">IF(F310="","",N(I310)/(1-IF(K310="",'Job Info'!$B$39,K310))*(1+IF('Job Info'!$B$38="Yes",'Job Info'!$B$37,0)))</f>
        <v/>
      </c>
      <c r="N310" s="34" t="str">
        <f aca="false">IF(F310="","",N(J310)/(1-IF(L310="",'Job Info'!$B$40,L310)))</f>
        <v/>
      </c>
      <c r="O310" s="34" t="str">
        <f aca="false">IF(F310="","",M310+N310)</f>
        <v/>
      </c>
      <c r="P310" s="34" t="str">
        <f aca="false">IF(F310="","",N(G310)*M310)</f>
        <v/>
      </c>
      <c r="Q310" s="34" t="str">
        <f aca="false">IF(F310="","",N(G310)*N310)</f>
        <v/>
      </c>
      <c r="R310" s="35" t="str">
        <f aca="false">IF(F310="","",P310+Q310)</f>
        <v/>
      </c>
      <c r="S310" s="36"/>
      <c r="T310" s="36"/>
      <c r="U310" s="34" t="str">
        <f aca="false">IF(F310="","",N(G310)*N(I310))</f>
        <v/>
      </c>
      <c r="V310" s="34" t="str">
        <f aca="false">IF(F310="","",N(G310)*N(J310))</f>
        <v/>
      </c>
      <c r="W310" s="13" t="str">
        <f aca="false">IF(F310="","",IF(B310="Excluded","",COUNTIFS($F$6:F310,"?*",$B$6:B310,"&lt;&gt;Excluded")))</f>
        <v/>
      </c>
      <c r="X310" s="34" t="str">
        <f aca="false">IF(F310="","",N(G310)*N(I310)/(1-IF(K310="",'Job Info'!$B$39,K310))*IF('Job Info'!$B$38="Yes",'Job Info'!$B$37,0))</f>
        <v/>
      </c>
    </row>
    <row r="311" customFormat="false" ht="15" hidden="false" customHeight="false" outlineLevel="0" collapsed="false">
      <c r="A311" s="13" t="str">
        <f aca="false">IF(F311="","",ROW()-5)</f>
        <v/>
      </c>
      <c r="B311" s="14"/>
      <c r="C311" s="14"/>
      <c r="D311" s="14"/>
      <c r="E311" s="14"/>
      <c r="F311" s="36"/>
      <c r="G311" s="37"/>
      <c r="H311" s="14"/>
      <c r="I311" s="38"/>
      <c r="J311" s="38"/>
      <c r="K311" s="33"/>
      <c r="L311" s="33"/>
      <c r="M311" s="34" t="str">
        <f aca="false">IF(F311="","",N(I311)/(1-IF(K311="",'Job Info'!$B$39,K311))*(1+IF('Job Info'!$B$38="Yes",'Job Info'!$B$37,0)))</f>
        <v/>
      </c>
      <c r="N311" s="34" t="str">
        <f aca="false">IF(F311="","",N(J311)/(1-IF(L311="",'Job Info'!$B$40,L311)))</f>
        <v/>
      </c>
      <c r="O311" s="34" t="str">
        <f aca="false">IF(F311="","",M311+N311)</f>
        <v/>
      </c>
      <c r="P311" s="34" t="str">
        <f aca="false">IF(F311="","",N(G311)*M311)</f>
        <v/>
      </c>
      <c r="Q311" s="34" t="str">
        <f aca="false">IF(F311="","",N(G311)*N311)</f>
        <v/>
      </c>
      <c r="R311" s="35" t="str">
        <f aca="false">IF(F311="","",P311+Q311)</f>
        <v/>
      </c>
      <c r="S311" s="36"/>
      <c r="T311" s="36"/>
      <c r="U311" s="34" t="str">
        <f aca="false">IF(F311="","",N(G311)*N(I311))</f>
        <v/>
      </c>
      <c r="V311" s="34" t="str">
        <f aca="false">IF(F311="","",N(G311)*N(J311))</f>
        <v/>
      </c>
      <c r="W311" s="13" t="str">
        <f aca="false">IF(F311="","",IF(B311="Excluded","",COUNTIFS($F$6:F311,"?*",$B$6:B311,"&lt;&gt;Excluded")))</f>
        <v/>
      </c>
      <c r="X311" s="34" t="str">
        <f aca="false">IF(F311="","",N(G311)*N(I311)/(1-IF(K311="",'Job Info'!$B$39,K311))*IF('Job Info'!$B$38="Yes",'Job Info'!$B$37,0))</f>
        <v/>
      </c>
    </row>
    <row r="312" customFormat="false" ht="15" hidden="false" customHeight="false" outlineLevel="0" collapsed="false">
      <c r="A312" s="13" t="str">
        <f aca="false">IF(F312="","",ROW()-5)</f>
        <v/>
      </c>
      <c r="B312" s="14"/>
      <c r="C312" s="14"/>
      <c r="D312" s="14"/>
      <c r="E312" s="14"/>
      <c r="F312" s="36"/>
      <c r="G312" s="37"/>
      <c r="H312" s="14"/>
      <c r="I312" s="38"/>
      <c r="J312" s="38"/>
      <c r="K312" s="33"/>
      <c r="L312" s="33"/>
      <c r="M312" s="34" t="str">
        <f aca="false">IF(F312="","",N(I312)/(1-IF(K312="",'Job Info'!$B$39,K312))*(1+IF('Job Info'!$B$38="Yes",'Job Info'!$B$37,0)))</f>
        <v/>
      </c>
      <c r="N312" s="34" t="str">
        <f aca="false">IF(F312="","",N(J312)/(1-IF(L312="",'Job Info'!$B$40,L312)))</f>
        <v/>
      </c>
      <c r="O312" s="34" t="str">
        <f aca="false">IF(F312="","",M312+N312)</f>
        <v/>
      </c>
      <c r="P312" s="34" t="str">
        <f aca="false">IF(F312="","",N(G312)*M312)</f>
        <v/>
      </c>
      <c r="Q312" s="34" t="str">
        <f aca="false">IF(F312="","",N(G312)*N312)</f>
        <v/>
      </c>
      <c r="R312" s="35" t="str">
        <f aca="false">IF(F312="","",P312+Q312)</f>
        <v/>
      </c>
      <c r="S312" s="36"/>
      <c r="T312" s="36"/>
      <c r="U312" s="34" t="str">
        <f aca="false">IF(F312="","",N(G312)*N(I312))</f>
        <v/>
      </c>
      <c r="V312" s="34" t="str">
        <f aca="false">IF(F312="","",N(G312)*N(J312))</f>
        <v/>
      </c>
      <c r="W312" s="13" t="str">
        <f aca="false">IF(F312="","",IF(B312="Excluded","",COUNTIFS($F$6:F312,"?*",$B$6:B312,"&lt;&gt;Excluded")))</f>
        <v/>
      </c>
      <c r="X312" s="34" t="str">
        <f aca="false">IF(F312="","",N(G312)*N(I312)/(1-IF(K312="",'Job Info'!$B$39,K312))*IF('Job Info'!$B$38="Yes",'Job Info'!$B$37,0))</f>
        <v/>
      </c>
    </row>
    <row r="313" customFormat="false" ht="15" hidden="false" customHeight="false" outlineLevel="0" collapsed="false">
      <c r="A313" s="13" t="str">
        <f aca="false">IF(F313="","",ROW()-5)</f>
        <v/>
      </c>
      <c r="B313" s="14"/>
      <c r="C313" s="14"/>
      <c r="D313" s="14"/>
      <c r="E313" s="14"/>
      <c r="F313" s="36"/>
      <c r="G313" s="37"/>
      <c r="H313" s="14"/>
      <c r="I313" s="38"/>
      <c r="J313" s="38"/>
      <c r="K313" s="33"/>
      <c r="L313" s="33"/>
      <c r="M313" s="34" t="str">
        <f aca="false">IF(F313="","",N(I313)/(1-IF(K313="",'Job Info'!$B$39,K313))*(1+IF('Job Info'!$B$38="Yes",'Job Info'!$B$37,0)))</f>
        <v/>
      </c>
      <c r="N313" s="34" t="str">
        <f aca="false">IF(F313="","",N(J313)/(1-IF(L313="",'Job Info'!$B$40,L313)))</f>
        <v/>
      </c>
      <c r="O313" s="34" t="str">
        <f aca="false">IF(F313="","",M313+N313)</f>
        <v/>
      </c>
      <c r="P313" s="34" t="str">
        <f aca="false">IF(F313="","",N(G313)*M313)</f>
        <v/>
      </c>
      <c r="Q313" s="34" t="str">
        <f aca="false">IF(F313="","",N(G313)*N313)</f>
        <v/>
      </c>
      <c r="R313" s="35" t="str">
        <f aca="false">IF(F313="","",P313+Q313)</f>
        <v/>
      </c>
      <c r="S313" s="36"/>
      <c r="T313" s="36"/>
      <c r="U313" s="34" t="str">
        <f aca="false">IF(F313="","",N(G313)*N(I313))</f>
        <v/>
      </c>
      <c r="V313" s="34" t="str">
        <f aca="false">IF(F313="","",N(G313)*N(J313))</f>
        <v/>
      </c>
      <c r="W313" s="13" t="str">
        <f aca="false">IF(F313="","",IF(B313="Excluded","",COUNTIFS($F$6:F313,"?*",$B$6:B313,"&lt;&gt;Excluded")))</f>
        <v/>
      </c>
      <c r="X313" s="34" t="str">
        <f aca="false">IF(F313="","",N(G313)*N(I313)/(1-IF(K313="",'Job Info'!$B$39,K313))*IF('Job Info'!$B$38="Yes",'Job Info'!$B$37,0))</f>
        <v/>
      </c>
    </row>
    <row r="314" customFormat="false" ht="15" hidden="false" customHeight="false" outlineLevel="0" collapsed="false">
      <c r="A314" s="13" t="str">
        <f aca="false">IF(F314="","",ROW()-5)</f>
        <v/>
      </c>
      <c r="B314" s="14"/>
      <c r="C314" s="14"/>
      <c r="D314" s="14"/>
      <c r="E314" s="14"/>
      <c r="F314" s="36"/>
      <c r="G314" s="37"/>
      <c r="H314" s="14"/>
      <c r="I314" s="38"/>
      <c r="J314" s="38"/>
      <c r="K314" s="33"/>
      <c r="L314" s="33"/>
      <c r="M314" s="34" t="str">
        <f aca="false">IF(F314="","",N(I314)/(1-IF(K314="",'Job Info'!$B$39,K314))*(1+IF('Job Info'!$B$38="Yes",'Job Info'!$B$37,0)))</f>
        <v/>
      </c>
      <c r="N314" s="34" t="str">
        <f aca="false">IF(F314="","",N(J314)/(1-IF(L314="",'Job Info'!$B$40,L314)))</f>
        <v/>
      </c>
      <c r="O314" s="34" t="str">
        <f aca="false">IF(F314="","",M314+N314)</f>
        <v/>
      </c>
      <c r="P314" s="34" t="str">
        <f aca="false">IF(F314="","",N(G314)*M314)</f>
        <v/>
      </c>
      <c r="Q314" s="34" t="str">
        <f aca="false">IF(F314="","",N(G314)*N314)</f>
        <v/>
      </c>
      <c r="R314" s="35" t="str">
        <f aca="false">IF(F314="","",P314+Q314)</f>
        <v/>
      </c>
      <c r="S314" s="36"/>
      <c r="T314" s="36"/>
      <c r="U314" s="34" t="str">
        <f aca="false">IF(F314="","",N(G314)*N(I314))</f>
        <v/>
      </c>
      <c r="V314" s="34" t="str">
        <f aca="false">IF(F314="","",N(G314)*N(J314))</f>
        <v/>
      </c>
      <c r="W314" s="13" t="str">
        <f aca="false">IF(F314="","",IF(B314="Excluded","",COUNTIFS($F$6:F314,"?*",$B$6:B314,"&lt;&gt;Excluded")))</f>
        <v/>
      </c>
      <c r="X314" s="34" t="str">
        <f aca="false">IF(F314="","",N(G314)*N(I314)/(1-IF(K314="",'Job Info'!$B$39,K314))*IF('Job Info'!$B$38="Yes",'Job Info'!$B$37,0))</f>
        <v/>
      </c>
    </row>
    <row r="315" customFormat="false" ht="15" hidden="false" customHeight="false" outlineLevel="0" collapsed="false">
      <c r="A315" s="13" t="str">
        <f aca="false">IF(F315="","",ROW()-5)</f>
        <v/>
      </c>
      <c r="B315" s="14"/>
      <c r="C315" s="14"/>
      <c r="D315" s="14"/>
      <c r="E315" s="14"/>
      <c r="F315" s="36"/>
      <c r="G315" s="37"/>
      <c r="H315" s="14"/>
      <c r="I315" s="38"/>
      <c r="J315" s="38"/>
      <c r="K315" s="33"/>
      <c r="L315" s="33"/>
      <c r="M315" s="34" t="str">
        <f aca="false">IF(F315="","",N(I315)/(1-IF(K315="",'Job Info'!$B$39,K315))*(1+IF('Job Info'!$B$38="Yes",'Job Info'!$B$37,0)))</f>
        <v/>
      </c>
      <c r="N315" s="34" t="str">
        <f aca="false">IF(F315="","",N(J315)/(1-IF(L315="",'Job Info'!$B$40,L315)))</f>
        <v/>
      </c>
      <c r="O315" s="34" t="str">
        <f aca="false">IF(F315="","",M315+N315)</f>
        <v/>
      </c>
      <c r="P315" s="34" t="str">
        <f aca="false">IF(F315="","",N(G315)*M315)</f>
        <v/>
      </c>
      <c r="Q315" s="34" t="str">
        <f aca="false">IF(F315="","",N(G315)*N315)</f>
        <v/>
      </c>
      <c r="R315" s="35" t="str">
        <f aca="false">IF(F315="","",P315+Q315)</f>
        <v/>
      </c>
      <c r="S315" s="36"/>
      <c r="T315" s="36"/>
      <c r="U315" s="34" t="str">
        <f aca="false">IF(F315="","",N(G315)*N(I315))</f>
        <v/>
      </c>
      <c r="V315" s="34" t="str">
        <f aca="false">IF(F315="","",N(G315)*N(J315))</f>
        <v/>
      </c>
      <c r="W315" s="13" t="str">
        <f aca="false">IF(F315="","",IF(B315="Excluded","",COUNTIFS($F$6:F315,"?*",$B$6:B315,"&lt;&gt;Excluded")))</f>
        <v/>
      </c>
      <c r="X315" s="34" t="str">
        <f aca="false">IF(F315="","",N(G315)*N(I315)/(1-IF(K315="",'Job Info'!$B$39,K315))*IF('Job Info'!$B$38="Yes",'Job Info'!$B$37,0))</f>
        <v/>
      </c>
    </row>
    <row r="316" customFormat="false" ht="15" hidden="false" customHeight="false" outlineLevel="0" collapsed="false">
      <c r="A316" s="13" t="str">
        <f aca="false">IF(F316="","",ROW()-5)</f>
        <v/>
      </c>
      <c r="B316" s="14"/>
      <c r="C316" s="14"/>
      <c r="D316" s="14"/>
      <c r="E316" s="14"/>
      <c r="F316" s="36"/>
      <c r="G316" s="37"/>
      <c r="H316" s="14"/>
      <c r="I316" s="38"/>
      <c r="J316" s="38"/>
      <c r="K316" s="33"/>
      <c r="L316" s="33"/>
      <c r="M316" s="34" t="str">
        <f aca="false">IF(F316="","",N(I316)/(1-IF(K316="",'Job Info'!$B$39,K316))*(1+IF('Job Info'!$B$38="Yes",'Job Info'!$B$37,0)))</f>
        <v/>
      </c>
      <c r="N316" s="34" t="str">
        <f aca="false">IF(F316="","",N(J316)/(1-IF(L316="",'Job Info'!$B$40,L316)))</f>
        <v/>
      </c>
      <c r="O316" s="34" t="str">
        <f aca="false">IF(F316="","",M316+N316)</f>
        <v/>
      </c>
      <c r="P316" s="34" t="str">
        <f aca="false">IF(F316="","",N(G316)*M316)</f>
        <v/>
      </c>
      <c r="Q316" s="34" t="str">
        <f aca="false">IF(F316="","",N(G316)*N316)</f>
        <v/>
      </c>
      <c r="R316" s="35" t="str">
        <f aca="false">IF(F316="","",P316+Q316)</f>
        <v/>
      </c>
      <c r="S316" s="36"/>
      <c r="T316" s="36"/>
      <c r="U316" s="34" t="str">
        <f aca="false">IF(F316="","",N(G316)*N(I316))</f>
        <v/>
      </c>
      <c r="V316" s="34" t="str">
        <f aca="false">IF(F316="","",N(G316)*N(J316))</f>
        <v/>
      </c>
      <c r="W316" s="13" t="str">
        <f aca="false">IF(F316="","",IF(B316="Excluded","",COUNTIFS($F$6:F316,"?*",$B$6:B316,"&lt;&gt;Excluded")))</f>
        <v/>
      </c>
      <c r="X316" s="34" t="str">
        <f aca="false">IF(F316="","",N(G316)*N(I316)/(1-IF(K316="",'Job Info'!$B$39,K316))*IF('Job Info'!$B$38="Yes",'Job Info'!$B$37,0))</f>
        <v/>
      </c>
    </row>
    <row r="317" customFormat="false" ht="15" hidden="false" customHeight="false" outlineLevel="0" collapsed="false">
      <c r="A317" s="13" t="str">
        <f aca="false">IF(F317="","",ROW()-5)</f>
        <v/>
      </c>
      <c r="B317" s="14"/>
      <c r="C317" s="14"/>
      <c r="D317" s="14"/>
      <c r="E317" s="14"/>
      <c r="F317" s="36"/>
      <c r="G317" s="37"/>
      <c r="H317" s="14"/>
      <c r="I317" s="38"/>
      <c r="J317" s="38"/>
      <c r="K317" s="33"/>
      <c r="L317" s="33"/>
      <c r="M317" s="34" t="str">
        <f aca="false">IF(F317="","",N(I317)/(1-IF(K317="",'Job Info'!$B$39,K317))*(1+IF('Job Info'!$B$38="Yes",'Job Info'!$B$37,0)))</f>
        <v/>
      </c>
      <c r="N317" s="34" t="str">
        <f aca="false">IF(F317="","",N(J317)/(1-IF(L317="",'Job Info'!$B$40,L317)))</f>
        <v/>
      </c>
      <c r="O317" s="34" t="str">
        <f aca="false">IF(F317="","",M317+N317)</f>
        <v/>
      </c>
      <c r="P317" s="34" t="str">
        <f aca="false">IF(F317="","",N(G317)*M317)</f>
        <v/>
      </c>
      <c r="Q317" s="34" t="str">
        <f aca="false">IF(F317="","",N(G317)*N317)</f>
        <v/>
      </c>
      <c r="R317" s="35" t="str">
        <f aca="false">IF(F317="","",P317+Q317)</f>
        <v/>
      </c>
      <c r="S317" s="36"/>
      <c r="T317" s="36"/>
      <c r="U317" s="34" t="str">
        <f aca="false">IF(F317="","",N(G317)*N(I317))</f>
        <v/>
      </c>
      <c r="V317" s="34" t="str">
        <f aca="false">IF(F317="","",N(G317)*N(J317))</f>
        <v/>
      </c>
      <c r="W317" s="13" t="str">
        <f aca="false">IF(F317="","",IF(B317="Excluded","",COUNTIFS($F$6:F317,"?*",$B$6:B317,"&lt;&gt;Excluded")))</f>
        <v/>
      </c>
      <c r="X317" s="34" t="str">
        <f aca="false">IF(F317="","",N(G317)*N(I317)/(1-IF(K317="",'Job Info'!$B$39,K317))*IF('Job Info'!$B$38="Yes",'Job Info'!$B$37,0))</f>
        <v/>
      </c>
    </row>
    <row r="318" customFormat="false" ht="15" hidden="false" customHeight="false" outlineLevel="0" collapsed="false">
      <c r="A318" s="13" t="str">
        <f aca="false">IF(F318="","",ROW()-5)</f>
        <v/>
      </c>
      <c r="B318" s="14"/>
      <c r="C318" s="14"/>
      <c r="D318" s="14"/>
      <c r="E318" s="14"/>
      <c r="F318" s="36"/>
      <c r="G318" s="37"/>
      <c r="H318" s="14"/>
      <c r="I318" s="38"/>
      <c r="J318" s="38"/>
      <c r="K318" s="33"/>
      <c r="L318" s="33"/>
      <c r="M318" s="34" t="str">
        <f aca="false">IF(F318="","",N(I318)/(1-IF(K318="",'Job Info'!$B$39,K318))*(1+IF('Job Info'!$B$38="Yes",'Job Info'!$B$37,0)))</f>
        <v/>
      </c>
      <c r="N318" s="34" t="str">
        <f aca="false">IF(F318="","",N(J318)/(1-IF(L318="",'Job Info'!$B$40,L318)))</f>
        <v/>
      </c>
      <c r="O318" s="34" t="str">
        <f aca="false">IF(F318="","",M318+N318)</f>
        <v/>
      </c>
      <c r="P318" s="34" t="str">
        <f aca="false">IF(F318="","",N(G318)*M318)</f>
        <v/>
      </c>
      <c r="Q318" s="34" t="str">
        <f aca="false">IF(F318="","",N(G318)*N318)</f>
        <v/>
      </c>
      <c r="R318" s="35" t="str">
        <f aca="false">IF(F318="","",P318+Q318)</f>
        <v/>
      </c>
      <c r="S318" s="36"/>
      <c r="T318" s="36"/>
      <c r="U318" s="34" t="str">
        <f aca="false">IF(F318="","",N(G318)*N(I318))</f>
        <v/>
      </c>
      <c r="V318" s="34" t="str">
        <f aca="false">IF(F318="","",N(G318)*N(J318))</f>
        <v/>
      </c>
      <c r="W318" s="13" t="str">
        <f aca="false">IF(F318="","",IF(B318="Excluded","",COUNTIFS($F$6:F318,"?*",$B$6:B318,"&lt;&gt;Excluded")))</f>
        <v/>
      </c>
      <c r="X318" s="34" t="str">
        <f aca="false">IF(F318="","",N(G318)*N(I318)/(1-IF(K318="",'Job Info'!$B$39,K318))*IF('Job Info'!$B$38="Yes",'Job Info'!$B$37,0))</f>
        <v/>
      </c>
    </row>
    <row r="319" customFormat="false" ht="15" hidden="false" customHeight="false" outlineLevel="0" collapsed="false">
      <c r="A319" s="13" t="str">
        <f aca="false">IF(F319="","",ROW()-5)</f>
        <v/>
      </c>
      <c r="B319" s="14"/>
      <c r="C319" s="14"/>
      <c r="D319" s="14"/>
      <c r="E319" s="14"/>
      <c r="F319" s="36"/>
      <c r="G319" s="37"/>
      <c r="H319" s="14"/>
      <c r="I319" s="38"/>
      <c r="J319" s="38"/>
      <c r="K319" s="33"/>
      <c r="L319" s="33"/>
      <c r="M319" s="34" t="str">
        <f aca="false">IF(F319="","",N(I319)/(1-IF(K319="",'Job Info'!$B$39,K319))*(1+IF('Job Info'!$B$38="Yes",'Job Info'!$B$37,0)))</f>
        <v/>
      </c>
      <c r="N319" s="34" t="str">
        <f aca="false">IF(F319="","",N(J319)/(1-IF(L319="",'Job Info'!$B$40,L319)))</f>
        <v/>
      </c>
      <c r="O319" s="34" t="str">
        <f aca="false">IF(F319="","",M319+N319)</f>
        <v/>
      </c>
      <c r="P319" s="34" t="str">
        <f aca="false">IF(F319="","",N(G319)*M319)</f>
        <v/>
      </c>
      <c r="Q319" s="34" t="str">
        <f aca="false">IF(F319="","",N(G319)*N319)</f>
        <v/>
      </c>
      <c r="R319" s="35" t="str">
        <f aca="false">IF(F319="","",P319+Q319)</f>
        <v/>
      </c>
      <c r="S319" s="36"/>
      <c r="T319" s="36"/>
      <c r="U319" s="34" t="str">
        <f aca="false">IF(F319="","",N(G319)*N(I319))</f>
        <v/>
      </c>
      <c r="V319" s="34" t="str">
        <f aca="false">IF(F319="","",N(G319)*N(J319))</f>
        <v/>
      </c>
      <c r="W319" s="13" t="str">
        <f aca="false">IF(F319="","",IF(B319="Excluded","",COUNTIFS($F$6:F319,"?*",$B$6:B319,"&lt;&gt;Excluded")))</f>
        <v/>
      </c>
      <c r="X319" s="34" t="str">
        <f aca="false">IF(F319="","",N(G319)*N(I319)/(1-IF(K319="",'Job Info'!$B$39,K319))*IF('Job Info'!$B$38="Yes",'Job Info'!$B$37,0))</f>
        <v/>
      </c>
    </row>
    <row r="320" customFormat="false" ht="15" hidden="false" customHeight="false" outlineLevel="0" collapsed="false">
      <c r="A320" s="13" t="str">
        <f aca="false">IF(F320="","",ROW()-5)</f>
        <v/>
      </c>
      <c r="B320" s="14"/>
      <c r="C320" s="14"/>
      <c r="D320" s="14"/>
      <c r="E320" s="14"/>
      <c r="F320" s="36"/>
      <c r="G320" s="37"/>
      <c r="H320" s="14"/>
      <c r="I320" s="38"/>
      <c r="J320" s="38"/>
      <c r="K320" s="33"/>
      <c r="L320" s="33"/>
      <c r="M320" s="34" t="str">
        <f aca="false">IF(F320="","",N(I320)/(1-IF(K320="",'Job Info'!$B$39,K320))*(1+IF('Job Info'!$B$38="Yes",'Job Info'!$B$37,0)))</f>
        <v/>
      </c>
      <c r="N320" s="34" t="str">
        <f aca="false">IF(F320="","",N(J320)/(1-IF(L320="",'Job Info'!$B$40,L320)))</f>
        <v/>
      </c>
      <c r="O320" s="34" t="str">
        <f aca="false">IF(F320="","",M320+N320)</f>
        <v/>
      </c>
      <c r="P320" s="34" t="str">
        <f aca="false">IF(F320="","",N(G320)*M320)</f>
        <v/>
      </c>
      <c r="Q320" s="34" t="str">
        <f aca="false">IF(F320="","",N(G320)*N320)</f>
        <v/>
      </c>
      <c r="R320" s="35" t="str">
        <f aca="false">IF(F320="","",P320+Q320)</f>
        <v/>
      </c>
      <c r="S320" s="36"/>
      <c r="T320" s="36"/>
      <c r="U320" s="34" t="str">
        <f aca="false">IF(F320="","",N(G320)*N(I320))</f>
        <v/>
      </c>
      <c r="V320" s="34" t="str">
        <f aca="false">IF(F320="","",N(G320)*N(J320))</f>
        <v/>
      </c>
      <c r="W320" s="13" t="str">
        <f aca="false">IF(F320="","",IF(B320="Excluded","",COUNTIFS($F$6:F320,"?*",$B$6:B320,"&lt;&gt;Excluded")))</f>
        <v/>
      </c>
      <c r="X320" s="34" t="str">
        <f aca="false">IF(F320="","",N(G320)*N(I320)/(1-IF(K320="",'Job Info'!$B$39,K320))*IF('Job Info'!$B$38="Yes",'Job Info'!$B$37,0))</f>
        <v/>
      </c>
    </row>
    <row r="321" customFormat="false" ht="15" hidden="false" customHeight="false" outlineLevel="0" collapsed="false">
      <c r="A321" s="13" t="str">
        <f aca="false">IF(F321="","",ROW()-5)</f>
        <v/>
      </c>
      <c r="B321" s="14"/>
      <c r="C321" s="14"/>
      <c r="D321" s="14"/>
      <c r="E321" s="14"/>
      <c r="F321" s="36"/>
      <c r="G321" s="37"/>
      <c r="H321" s="14"/>
      <c r="I321" s="38"/>
      <c r="J321" s="38"/>
      <c r="K321" s="33"/>
      <c r="L321" s="33"/>
      <c r="M321" s="34" t="str">
        <f aca="false">IF(F321="","",N(I321)/(1-IF(K321="",'Job Info'!$B$39,K321))*(1+IF('Job Info'!$B$38="Yes",'Job Info'!$B$37,0)))</f>
        <v/>
      </c>
      <c r="N321" s="34" t="str">
        <f aca="false">IF(F321="","",N(J321)/(1-IF(L321="",'Job Info'!$B$40,L321)))</f>
        <v/>
      </c>
      <c r="O321" s="34" t="str">
        <f aca="false">IF(F321="","",M321+N321)</f>
        <v/>
      </c>
      <c r="P321" s="34" t="str">
        <f aca="false">IF(F321="","",N(G321)*M321)</f>
        <v/>
      </c>
      <c r="Q321" s="34" t="str">
        <f aca="false">IF(F321="","",N(G321)*N321)</f>
        <v/>
      </c>
      <c r="R321" s="35" t="str">
        <f aca="false">IF(F321="","",P321+Q321)</f>
        <v/>
      </c>
      <c r="S321" s="36"/>
      <c r="T321" s="36"/>
      <c r="U321" s="34" t="str">
        <f aca="false">IF(F321="","",N(G321)*N(I321))</f>
        <v/>
      </c>
      <c r="V321" s="34" t="str">
        <f aca="false">IF(F321="","",N(G321)*N(J321))</f>
        <v/>
      </c>
      <c r="W321" s="13" t="str">
        <f aca="false">IF(F321="","",IF(B321="Excluded","",COUNTIFS($F$6:F321,"?*",$B$6:B321,"&lt;&gt;Excluded")))</f>
        <v/>
      </c>
      <c r="X321" s="34" t="str">
        <f aca="false">IF(F321="","",N(G321)*N(I321)/(1-IF(K321="",'Job Info'!$B$39,K321))*IF('Job Info'!$B$38="Yes",'Job Info'!$B$37,0))</f>
        <v/>
      </c>
    </row>
    <row r="322" customFormat="false" ht="15" hidden="false" customHeight="false" outlineLevel="0" collapsed="false">
      <c r="A322" s="13" t="str">
        <f aca="false">IF(F322="","",ROW()-5)</f>
        <v/>
      </c>
      <c r="B322" s="14"/>
      <c r="C322" s="14"/>
      <c r="D322" s="14"/>
      <c r="E322" s="14"/>
      <c r="F322" s="36"/>
      <c r="G322" s="37"/>
      <c r="H322" s="14"/>
      <c r="I322" s="38"/>
      <c r="J322" s="38"/>
      <c r="K322" s="33"/>
      <c r="L322" s="33"/>
      <c r="M322" s="34" t="str">
        <f aca="false">IF(F322="","",N(I322)/(1-IF(K322="",'Job Info'!$B$39,K322))*(1+IF('Job Info'!$B$38="Yes",'Job Info'!$B$37,0)))</f>
        <v/>
      </c>
      <c r="N322" s="34" t="str">
        <f aca="false">IF(F322="","",N(J322)/(1-IF(L322="",'Job Info'!$B$40,L322)))</f>
        <v/>
      </c>
      <c r="O322" s="34" t="str">
        <f aca="false">IF(F322="","",M322+N322)</f>
        <v/>
      </c>
      <c r="P322" s="34" t="str">
        <f aca="false">IF(F322="","",N(G322)*M322)</f>
        <v/>
      </c>
      <c r="Q322" s="34" t="str">
        <f aca="false">IF(F322="","",N(G322)*N322)</f>
        <v/>
      </c>
      <c r="R322" s="35" t="str">
        <f aca="false">IF(F322="","",P322+Q322)</f>
        <v/>
      </c>
      <c r="S322" s="36"/>
      <c r="T322" s="36"/>
      <c r="U322" s="34" t="str">
        <f aca="false">IF(F322="","",N(G322)*N(I322))</f>
        <v/>
      </c>
      <c r="V322" s="34" t="str">
        <f aca="false">IF(F322="","",N(G322)*N(J322))</f>
        <v/>
      </c>
      <c r="W322" s="13" t="str">
        <f aca="false">IF(F322="","",IF(B322="Excluded","",COUNTIFS($F$6:F322,"?*",$B$6:B322,"&lt;&gt;Excluded")))</f>
        <v/>
      </c>
      <c r="X322" s="34" t="str">
        <f aca="false">IF(F322="","",N(G322)*N(I322)/(1-IF(K322="",'Job Info'!$B$39,K322))*IF('Job Info'!$B$38="Yes",'Job Info'!$B$37,0))</f>
        <v/>
      </c>
    </row>
    <row r="323" customFormat="false" ht="15" hidden="false" customHeight="false" outlineLevel="0" collapsed="false">
      <c r="A323" s="13" t="str">
        <f aca="false">IF(F323="","",ROW()-5)</f>
        <v/>
      </c>
      <c r="B323" s="14"/>
      <c r="C323" s="14"/>
      <c r="D323" s="14"/>
      <c r="E323" s="14"/>
      <c r="F323" s="36"/>
      <c r="G323" s="37"/>
      <c r="H323" s="14"/>
      <c r="I323" s="38"/>
      <c r="J323" s="38"/>
      <c r="K323" s="33"/>
      <c r="L323" s="33"/>
      <c r="M323" s="34" t="str">
        <f aca="false">IF(F323="","",N(I323)/(1-IF(K323="",'Job Info'!$B$39,K323))*(1+IF('Job Info'!$B$38="Yes",'Job Info'!$B$37,0)))</f>
        <v/>
      </c>
      <c r="N323" s="34" t="str">
        <f aca="false">IF(F323="","",N(J323)/(1-IF(L323="",'Job Info'!$B$40,L323)))</f>
        <v/>
      </c>
      <c r="O323" s="34" t="str">
        <f aca="false">IF(F323="","",M323+N323)</f>
        <v/>
      </c>
      <c r="P323" s="34" t="str">
        <f aca="false">IF(F323="","",N(G323)*M323)</f>
        <v/>
      </c>
      <c r="Q323" s="34" t="str">
        <f aca="false">IF(F323="","",N(G323)*N323)</f>
        <v/>
      </c>
      <c r="R323" s="35" t="str">
        <f aca="false">IF(F323="","",P323+Q323)</f>
        <v/>
      </c>
      <c r="S323" s="36"/>
      <c r="T323" s="36"/>
      <c r="U323" s="34" t="str">
        <f aca="false">IF(F323="","",N(G323)*N(I323))</f>
        <v/>
      </c>
      <c r="V323" s="34" t="str">
        <f aca="false">IF(F323="","",N(G323)*N(J323))</f>
        <v/>
      </c>
      <c r="W323" s="13" t="str">
        <f aca="false">IF(F323="","",IF(B323="Excluded","",COUNTIFS($F$6:F323,"?*",$B$6:B323,"&lt;&gt;Excluded")))</f>
        <v/>
      </c>
      <c r="X323" s="34" t="str">
        <f aca="false">IF(F323="","",N(G323)*N(I323)/(1-IF(K323="",'Job Info'!$B$39,K323))*IF('Job Info'!$B$38="Yes",'Job Info'!$B$37,0))</f>
        <v/>
      </c>
    </row>
    <row r="324" customFormat="false" ht="15" hidden="false" customHeight="false" outlineLevel="0" collapsed="false">
      <c r="A324" s="13" t="str">
        <f aca="false">IF(F324="","",ROW()-5)</f>
        <v/>
      </c>
      <c r="B324" s="14"/>
      <c r="C324" s="14"/>
      <c r="D324" s="14"/>
      <c r="E324" s="14"/>
      <c r="F324" s="36"/>
      <c r="G324" s="37"/>
      <c r="H324" s="14"/>
      <c r="I324" s="38"/>
      <c r="J324" s="38"/>
      <c r="K324" s="33"/>
      <c r="L324" s="33"/>
      <c r="M324" s="34" t="str">
        <f aca="false">IF(F324="","",N(I324)/(1-IF(K324="",'Job Info'!$B$39,K324))*(1+IF('Job Info'!$B$38="Yes",'Job Info'!$B$37,0)))</f>
        <v/>
      </c>
      <c r="N324" s="34" t="str">
        <f aca="false">IF(F324="","",N(J324)/(1-IF(L324="",'Job Info'!$B$40,L324)))</f>
        <v/>
      </c>
      <c r="O324" s="34" t="str">
        <f aca="false">IF(F324="","",M324+N324)</f>
        <v/>
      </c>
      <c r="P324" s="34" t="str">
        <f aca="false">IF(F324="","",N(G324)*M324)</f>
        <v/>
      </c>
      <c r="Q324" s="34" t="str">
        <f aca="false">IF(F324="","",N(G324)*N324)</f>
        <v/>
      </c>
      <c r="R324" s="35" t="str">
        <f aca="false">IF(F324="","",P324+Q324)</f>
        <v/>
      </c>
      <c r="S324" s="36"/>
      <c r="T324" s="36"/>
      <c r="U324" s="34" t="str">
        <f aca="false">IF(F324="","",N(G324)*N(I324))</f>
        <v/>
      </c>
      <c r="V324" s="34" t="str">
        <f aca="false">IF(F324="","",N(G324)*N(J324))</f>
        <v/>
      </c>
      <c r="W324" s="13" t="str">
        <f aca="false">IF(F324="","",IF(B324="Excluded","",COUNTIFS($F$6:F324,"?*",$B$6:B324,"&lt;&gt;Excluded")))</f>
        <v/>
      </c>
      <c r="X324" s="34" t="str">
        <f aca="false">IF(F324="","",N(G324)*N(I324)/(1-IF(K324="",'Job Info'!$B$39,K324))*IF('Job Info'!$B$38="Yes",'Job Info'!$B$37,0))</f>
        <v/>
      </c>
    </row>
    <row r="325" customFormat="false" ht="15" hidden="false" customHeight="false" outlineLevel="0" collapsed="false">
      <c r="A325" s="13" t="str">
        <f aca="false">IF(F325="","",ROW()-5)</f>
        <v/>
      </c>
      <c r="B325" s="14"/>
      <c r="C325" s="14"/>
      <c r="D325" s="14"/>
      <c r="E325" s="14"/>
      <c r="F325" s="36"/>
      <c r="G325" s="37"/>
      <c r="H325" s="14"/>
      <c r="I325" s="38"/>
      <c r="J325" s="38"/>
      <c r="K325" s="33"/>
      <c r="L325" s="33"/>
      <c r="M325" s="34" t="str">
        <f aca="false">IF(F325="","",N(I325)/(1-IF(K325="",'Job Info'!$B$39,K325))*(1+IF('Job Info'!$B$38="Yes",'Job Info'!$B$37,0)))</f>
        <v/>
      </c>
      <c r="N325" s="34" t="str">
        <f aca="false">IF(F325="","",N(J325)/(1-IF(L325="",'Job Info'!$B$40,L325)))</f>
        <v/>
      </c>
      <c r="O325" s="34" t="str">
        <f aca="false">IF(F325="","",M325+N325)</f>
        <v/>
      </c>
      <c r="P325" s="34" t="str">
        <f aca="false">IF(F325="","",N(G325)*M325)</f>
        <v/>
      </c>
      <c r="Q325" s="34" t="str">
        <f aca="false">IF(F325="","",N(G325)*N325)</f>
        <v/>
      </c>
      <c r="R325" s="35" t="str">
        <f aca="false">IF(F325="","",P325+Q325)</f>
        <v/>
      </c>
      <c r="S325" s="36"/>
      <c r="T325" s="36"/>
      <c r="U325" s="34" t="str">
        <f aca="false">IF(F325="","",N(G325)*N(I325))</f>
        <v/>
      </c>
      <c r="V325" s="34" t="str">
        <f aca="false">IF(F325="","",N(G325)*N(J325))</f>
        <v/>
      </c>
      <c r="W325" s="13" t="str">
        <f aca="false">IF(F325="","",IF(B325="Excluded","",COUNTIFS($F$6:F325,"?*",$B$6:B325,"&lt;&gt;Excluded")))</f>
        <v/>
      </c>
      <c r="X325" s="34" t="str">
        <f aca="false">IF(F325="","",N(G325)*N(I325)/(1-IF(K325="",'Job Info'!$B$39,K325))*IF('Job Info'!$B$38="Yes",'Job Info'!$B$37,0))</f>
        <v/>
      </c>
    </row>
    <row r="326" customFormat="false" ht="15" hidden="false" customHeight="false" outlineLevel="0" collapsed="false">
      <c r="A326" s="13" t="str">
        <f aca="false">IF(F326="","",ROW()-5)</f>
        <v/>
      </c>
      <c r="B326" s="14"/>
      <c r="C326" s="14"/>
      <c r="D326" s="14"/>
      <c r="E326" s="14"/>
      <c r="F326" s="36"/>
      <c r="G326" s="37"/>
      <c r="H326" s="14"/>
      <c r="I326" s="38"/>
      <c r="J326" s="38"/>
      <c r="K326" s="33"/>
      <c r="L326" s="33"/>
      <c r="M326" s="34" t="str">
        <f aca="false">IF(F326="","",N(I326)/(1-IF(K326="",'Job Info'!$B$39,K326))*(1+IF('Job Info'!$B$38="Yes",'Job Info'!$B$37,0)))</f>
        <v/>
      </c>
      <c r="N326" s="34" t="str">
        <f aca="false">IF(F326="","",N(J326)/(1-IF(L326="",'Job Info'!$B$40,L326)))</f>
        <v/>
      </c>
      <c r="O326" s="34" t="str">
        <f aca="false">IF(F326="","",M326+N326)</f>
        <v/>
      </c>
      <c r="P326" s="34" t="str">
        <f aca="false">IF(F326="","",N(G326)*M326)</f>
        <v/>
      </c>
      <c r="Q326" s="34" t="str">
        <f aca="false">IF(F326="","",N(G326)*N326)</f>
        <v/>
      </c>
      <c r="R326" s="35" t="str">
        <f aca="false">IF(F326="","",P326+Q326)</f>
        <v/>
      </c>
      <c r="S326" s="36"/>
      <c r="T326" s="36"/>
      <c r="U326" s="34" t="str">
        <f aca="false">IF(F326="","",N(G326)*N(I326))</f>
        <v/>
      </c>
      <c r="V326" s="34" t="str">
        <f aca="false">IF(F326="","",N(G326)*N(J326))</f>
        <v/>
      </c>
      <c r="W326" s="13" t="str">
        <f aca="false">IF(F326="","",IF(B326="Excluded","",COUNTIFS($F$6:F326,"?*",$B$6:B326,"&lt;&gt;Excluded")))</f>
        <v/>
      </c>
      <c r="X326" s="34" t="str">
        <f aca="false">IF(F326="","",N(G326)*N(I326)/(1-IF(K326="",'Job Info'!$B$39,K326))*IF('Job Info'!$B$38="Yes",'Job Info'!$B$37,0))</f>
        <v/>
      </c>
    </row>
    <row r="327" customFormat="false" ht="15" hidden="false" customHeight="false" outlineLevel="0" collapsed="false">
      <c r="A327" s="13" t="str">
        <f aca="false">IF(F327="","",ROW()-5)</f>
        <v/>
      </c>
      <c r="B327" s="14"/>
      <c r="C327" s="14"/>
      <c r="D327" s="14"/>
      <c r="E327" s="14"/>
      <c r="F327" s="36"/>
      <c r="G327" s="37"/>
      <c r="H327" s="14"/>
      <c r="I327" s="38"/>
      <c r="J327" s="38"/>
      <c r="K327" s="33"/>
      <c r="L327" s="33"/>
      <c r="M327" s="34" t="str">
        <f aca="false">IF(F327="","",N(I327)/(1-IF(K327="",'Job Info'!$B$39,K327))*(1+IF('Job Info'!$B$38="Yes",'Job Info'!$B$37,0)))</f>
        <v/>
      </c>
      <c r="N327" s="34" t="str">
        <f aca="false">IF(F327="","",N(J327)/(1-IF(L327="",'Job Info'!$B$40,L327)))</f>
        <v/>
      </c>
      <c r="O327" s="34" t="str">
        <f aca="false">IF(F327="","",M327+N327)</f>
        <v/>
      </c>
      <c r="P327" s="34" t="str">
        <f aca="false">IF(F327="","",N(G327)*M327)</f>
        <v/>
      </c>
      <c r="Q327" s="34" t="str">
        <f aca="false">IF(F327="","",N(G327)*N327)</f>
        <v/>
      </c>
      <c r="R327" s="35" t="str">
        <f aca="false">IF(F327="","",P327+Q327)</f>
        <v/>
      </c>
      <c r="S327" s="36"/>
      <c r="T327" s="36"/>
      <c r="U327" s="34" t="str">
        <f aca="false">IF(F327="","",N(G327)*N(I327))</f>
        <v/>
      </c>
      <c r="V327" s="34" t="str">
        <f aca="false">IF(F327="","",N(G327)*N(J327))</f>
        <v/>
      </c>
      <c r="W327" s="13" t="str">
        <f aca="false">IF(F327="","",IF(B327="Excluded","",COUNTIFS($F$6:F327,"?*",$B$6:B327,"&lt;&gt;Excluded")))</f>
        <v/>
      </c>
      <c r="X327" s="34" t="str">
        <f aca="false">IF(F327="","",N(G327)*N(I327)/(1-IF(K327="",'Job Info'!$B$39,K327))*IF('Job Info'!$B$38="Yes",'Job Info'!$B$37,0))</f>
        <v/>
      </c>
    </row>
    <row r="328" customFormat="false" ht="15" hidden="false" customHeight="false" outlineLevel="0" collapsed="false">
      <c r="A328" s="13" t="str">
        <f aca="false">IF(F328="","",ROW()-5)</f>
        <v/>
      </c>
      <c r="B328" s="14"/>
      <c r="C328" s="14"/>
      <c r="D328" s="14"/>
      <c r="E328" s="14"/>
      <c r="F328" s="36"/>
      <c r="G328" s="37"/>
      <c r="H328" s="14"/>
      <c r="I328" s="38"/>
      <c r="J328" s="38"/>
      <c r="K328" s="33"/>
      <c r="L328" s="33"/>
      <c r="M328" s="34" t="str">
        <f aca="false">IF(F328="","",N(I328)/(1-IF(K328="",'Job Info'!$B$39,K328))*(1+IF('Job Info'!$B$38="Yes",'Job Info'!$B$37,0)))</f>
        <v/>
      </c>
      <c r="N328" s="34" t="str">
        <f aca="false">IF(F328="","",N(J328)/(1-IF(L328="",'Job Info'!$B$40,L328)))</f>
        <v/>
      </c>
      <c r="O328" s="34" t="str">
        <f aca="false">IF(F328="","",M328+N328)</f>
        <v/>
      </c>
      <c r="P328" s="34" t="str">
        <f aca="false">IF(F328="","",N(G328)*M328)</f>
        <v/>
      </c>
      <c r="Q328" s="34" t="str">
        <f aca="false">IF(F328="","",N(G328)*N328)</f>
        <v/>
      </c>
      <c r="R328" s="35" t="str">
        <f aca="false">IF(F328="","",P328+Q328)</f>
        <v/>
      </c>
      <c r="S328" s="36"/>
      <c r="T328" s="36"/>
      <c r="U328" s="34" t="str">
        <f aca="false">IF(F328="","",N(G328)*N(I328))</f>
        <v/>
      </c>
      <c r="V328" s="34" t="str">
        <f aca="false">IF(F328="","",N(G328)*N(J328))</f>
        <v/>
      </c>
      <c r="W328" s="13" t="str">
        <f aca="false">IF(F328="","",IF(B328="Excluded","",COUNTIFS($F$6:F328,"?*",$B$6:B328,"&lt;&gt;Excluded")))</f>
        <v/>
      </c>
      <c r="X328" s="34" t="str">
        <f aca="false">IF(F328="","",N(G328)*N(I328)/(1-IF(K328="",'Job Info'!$B$39,K328))*IF('Job Info'!$B$38="Yes",'Job Info'!$B$37,0))</f>
        <v/>
      </c>
    </row>
    <row r="329" customFormat="false" ht="15" hidden="false" customHeight="false" outlineLevel="0" collapsed="false">
      <c r="A329" s="13" t="str">
        <f aca="false">IF(F329="","",ROW()-5)</f>
        <v/>
      </c>
      <c r="B329" s="14"/>
      <c r="C329" s="14"/>
      <c r="D329" s="14"/>
      <c r="E329" s="14"/>
      <c r="F329" s="36"/>
      <c r="G329" s="37"/>
      <c r="H329" s="14"/>
      <c r="I329" s="38"/>
      <c r="J329" s="38"/>
      <c r="K329" s="33"/>
      <c r="L329" s="33"/>
      <c r="M329" s="34" t="str">
        <f aca="false">IF(F329="","",N(I329)/(1-IF(K329="",'Job Info'!$B$39,K329))*(1+IF('Job Info'!$B$38="Yes",'Job Info'!$B$37,0)))</f>
        <v/>
      </c>
      <c r="N329" s="34" t="str">
        <f aca="false">IF(F329="","",N(J329)/(1-IF(L329="",'Job Info'!$B$40,L329)))</f>
        <v/>
      </c>
      <c r="O329" s="34" t="str">
        <f aca="false">IF(F329="","",M329+N329)</f>
        <v/>
      </c>
      <c r="P329" s="34" t="str">
        <f aca="false">IF(F329="","",N(G329)*M329)</f>
        <v/>
      </c>
      <c r="Q329" s="34" t="str">
        <f aca="false">IF(F329="","",N(G329)*N329)</f>
        <v/>
      </c>
      <c r="R329" s="35" t="str">
        <f aca="false">IF(F329="","",P329+Q329)</f>
        <v/>
      </c>
      <c r="S329" s="36"/>
      <c r="T329" s="36"/>
      <c r="U329" s="34" t="str">
        <f aca="false">IF(F329="","",N(G329)*N(I329))</f>
        <v/>
      </c>
      <c r="V329" s="34" t="str">
        <f aca="false">IF(F329="","",N(G329)*N(J329))</f>
        <v/>
      </c>
      <c r="W329" s="13" t="str">
        <f aca="false">IF(F329="","",IF(B329="Excluded","",COUNTIFS($F$6:F329,"?*",$B$6:B329,"&lt;&gt;Excluded")))</f>
        <v/>
      </c>
      <c r="X329" s="34" t="str">
        <f aca="false">IF(F329="","",N(G329)*N(I329)/(1-IF(K329="",'Job Info'!$B$39,K329))*IF('Job Info'!$B$38="Yes",'Job Info'!$B$37,0))</f>
        <v/>
      </c>
    </row>
    <row r="330" customFormat="false" ht="15" hidden="false" customHeight="false" outlineLevel="0" collapsed="false">
      <c r="A330" s="13" t="str">
        <f aca="false">IF(F330="","",ROW()-5)</f>
        <v/>
      </c>
      <c r="B330" s="14"/>
      <c r="C330" s="14"/>
      <c r="D330" s="14"/>
      <c r="E330" s="14"/>
      <c r="F330" s="36"/>
      <c r="G330" s="37"/>
      <c r="H330" s="14"/>
      <c r="I330" s="38"/>
      <c r="J330" s="38"/>
      <c r="K330" s="33"/>
      <c r="L330" s="33"/>
      <c r="M330" s="34" t="str">
        <f aca="false">IF(F330="","",N(I330)/(1-IF(K330="",'Job Info'!$B$39,K330))*(1+IF('Job Info'!$B$38="Yes",'Job Info'!$B$37,0)))</f>
        <v/>
      </c>
      <c r="N330" s="34" t="str">
        <f aca="false">IF(F330="","",N(J330)/(1-IF(L330="",'Job Info'!$B$40,L330)))</f>
        <v/>
      </c>
      <c r="O330" s="34" t="str">
        <f aca="false">IF(F330="","",M330+N330)</f>
        <v/>
      </c>
      <c r="P330" s="34" t="str">
        <f aca="false">IF(F330="","",N(G330)*M330)</f>
        <v/>
      </c>
      <c r="Q330" s="34" t="str">
        <f aca="false">IF(F330="","",N(G330)*N330)</f>
        <v/>
      </c>
      <c r="R330" s="35" t="str">
        <f aca="false">IF(F330="","",P330+Q330)</f>
        <v/>
      </c>
      <c r="S330" s="36"/>
      <c r="T330" s="36"/>
      <c r="U330" s="34" t="str">
        <f aca="false">IF(F330="","",N(G330)*N(I330))</f>
        <v/>
      </c>
      <c r="V330" s="34" t="str">
        <f aca="false">IF(F330="","",N(G330)*N(J330))</f>
        <v/>
      </c>
      <c r="W330" s="13" t="str">
        <f aca="false">IF(F330="","",IF(B330="Excluded","",COUNTIFS($F$6:F330,"?*",$B$6:B330,"&lt;&gt;Excluded")))</f>
        <v/>
      </c>
      <c r="X330" s="34" t="str">
        <f aca="false">IF(F330="","",N(G330)*N(I330)/(1-IF(K330="",'Job Info'!$B$39,K330))*IF('Job Info'!$B$38="Yes",'Job Info'!$B$37,0))</f>
        <v/>
      </c>
    </row>
    <row r="331" customFormat="false" ht="15" hidden="false" customHeight="false" outlineLevel="0" collapsed="false">
      <c r="A331" s="13" t="str">
        <f aca="false">IF(F331="","",ROW()-5)</f>
        <v/>
      </c>
      <c r="B331" s="14"/>
      <c r="C331" s="14"/>
      <c r="D331" s="14"/>
      <c r="E331" s="14"/>
      <c r="F331" s="36"/>
      <c r="G331" s="37"/>
      <c r="H331" s="14"/>
      <c r="I331" s="38"/>
      <c r="J331" s="38"/>
      <c r="K331" s="33"/>
      <c r="L331" s="33"/>
      <c r="M331" s="34" t="str">
        <f aca="false">IF(F331="","",N(I331)/(1-IF(K331="",'Job Info'!$B$39,K331))*(1+IF('Job Info'!$B$38="Yes",'Job Info'!$B$37,0)))</f>
        <v/>
      </c>
      <c r="N331" s="34" t="str">
        <f aca="false">IF(F331="","",N(J331)/(1-IF(L331="",'Job Info'!$B$40,L331)))</f>
        <v/>
      </c>
      <c r="O331" s="34" t="str">
        <f aca="false">IF(F331="","",M331+N331)</f>
        <v/>
      </c>
      <c r="P331" s="34" t="str">
        <f aca="false">IF(F331="","",N(G331)*M331)</f>
        <v/>
      </c>
      <c r="Q331" s="34" t="str">
        <f aca="false">IF(F331="","",N(G331)*N331)</f>
        <v/>
      </c>
      <c r="R331" s="35" t="str">
        <f aca="false">IF(F331="","",P331+Q331)</f>
        <v/>
      </c>
      <c r="S331" s="36"/>
      <c r="T331" s="36"/>
      <c r="U331" s="34" t="str">
        <f aca="false">IF(F331="","",N(G331)*N(I331))</f>
        <v/>
      </c>
      <c r="V331" s="34" t="str">
        <f aca="false">IF(F331="","",N(G331)*N(J331))</f>
        <v/>
      </c>
      <c r="W331" s="13" t="str">
        <f aca="false">IF(F331="","",IF(B331="Excluded","",COUNTIFS($F$6:F331,"?*",$B$6:B331,"&lt;&gt;Excluded")))</f>
        <v/>
      </c>
      <c r="X331" s="34" t="str">
        <f aca="false">IF(F331="","",N(G331)*N(I331)/(1-IF(K331="",'Job Info'!$B$39,K331))*IF('Job Info'!$B$38="Yes",'Job Info'!$B$37,0))</f>
        <v/>
      </c>
    </row>
    <row r="332" customFormat="false" ht="15" hidden="false" customHeight="false" outlineLevel="0" collapsed="false">
      <c r="A332" s="13" t="str">
        <f aca="false">IF(F332="","",ROW()-5)</f>
        <v/>
      </c>
      <c r="B332" s="14"/>
      <c r="C332" s="14"/>
      <c r="D332" s="14"/>
      <c r="E332" s="14"/>
      <c r="F332" s="36"/>
      <c r="G332" s="37"/>
      <c r="H332" s="14"/>
      <c r="I332" s="38"/>
      <c r="J332" s="38"/>
      <c r="K332" s="33"/>
      <c r="L332" s="33"/>
      <c r="M332" s="34" t="str">
        <f aca="false">IF(F332="","",N(I332)/(1-IF(K332="",'Job Info'!$B$39,K332))*(1+IF('Job Info'!$B$38="Yes",'Job Info'!$B$37,0)))</f>
        <v/>
      </c>
      <c r="N332" s="34" t="str">
        <f aca="false">IF(F332="","",N(J332)/(1-IF(L332="",'Job Info'!$B$40,L332)))</f>
        <v/>
      </c>
      <c r="O332" s="34" t="str">
        <f aca="false">IF(F332="","",M332+N332)</f>
        <v/>
      </c>
      <c r="P332" s="34" t="str">
        <f aca="false">IF(F332="","",N(G332)*M332)</f>
        <v/>
      </c>
      <c r="Q332" s="34" t="str">
        <f aca="false">IF(F332="","",N(G332)*N332)</f>
        <v/>
      </c>
      <c r="R332" s="35" t="str">
        <f aca="false">IF(F332="","",P332+Q332)</f>
        <v/>
      </c>
      <c r="S332" s="36"/>
      <c r="T332" s="36"/>
      <c r="U332" s="34" t="str">
        <f aca="false">IF(F332="","",N(G332)*N(I332))</f>
        <v/>
      </c>
      <c r="V332" s="34" t="str">
        <f aca="false">IF(F332="","",N(G332)*N(J332))</f>
        <v/>
      </c>
      <c r="W332" s="13" t="str">
        <f aca="false">IF(F332="","",IF(B332="Excluded","",COUNTIFS($F$6:F332,"?*",$B$6:B332,"&lt;&gt;Excluded")))</f>
        <v/>
      </c>
      <c r="X332" s="34" t="str">
        <f aca="false">IF(F332="","",N(G332)*N(I332)/(1-IF(K332="",'Job Info'!$B$39,K332))*IF('Job Info'!$B$38="Yes",'Job Info'!$B$37,0))</f>
        <v/>
      </c>
    </row>
    <row r="333" customFormat="false" ht="15" hidden="false" customHeight="false" outlineLevel="0" collapsed="false">
      <c r="A333" s="13" t="str">
        <f aca="false">IF(F333="","",ROW()-5)</f>
        <v/>
      </c>
      <c r="B333" s="14"/>
      <c r="C333" s="14"/>
      <c r="D333" s="14"/>
      <c r="E333" s="14"/>
      <c r="F333" s="36"/>
      <c r="G333" s="37"/>
      <c r="H333" s="14"/>
      <c r="I333" s="38"/>
      <c r="J333" s="38"/>
      <c r="K333" s="33"/>
      <c r="L333" s="33"/>
      <c r="M333" s="34" t="str">
        <f aca="false">IF(F333="","",N(I333)/(1-IF(K333="",'Job Info'!$B$39,K333))*(1+IF('Job Info'!$B$38="Yes",'Job Info'!$B$37,0)))</f>
        <v/>
      </c>
      <c r="N333" s="34" t="str">
        <f aca="false">IF(F333="","",N(J333)/(1-IF(L333="",'Job Info'!$B$40,L333)))</f>
        <v/>
      </c>
      <c r="O333" s="34" t="str">
        <f aca="false">IF(F333="","",M333+N333)</f>
        <v/>
      </c>
      <c r="P333" s="34" t="str">
        <f aca="false">IF(F333="","",N(G333)*M333)</f>
        <v/>
      </c>
      <c r="Q333" s="34" t="str">
        <f aca="false">IF(F333="","",N(G333)*N333)</f>
        <v/>
      </c>
      <c r="R333" s="35" t="str">
        <f aca="false">IF(F333="","",P333+Q333)</f>
        <v/>
      </c>
      <c r="S333" s="36"/>
      <c r="T333" s="36"/>
      <c r="U333" s="34" t="str">
        <f aca="false">IF(F333="","",N(G333)*N(I333))</f>
        <v/>
      </c>
      <c r="V333" s="34" t="str">
        <f aca="false">IF(F333="","",N(G333)*N(J333))</f>
        <v/>
      </c>
      <c r="W333" s="13" t="str">
        <f aca="false">IF(F333="","",IF(B333="Excluded","",COUNTIFS($F$6:F333,"?*",$B$6:B333,"&lt;&gt;Excluded")))</f>
        <v/>
      </c>
      <c r="X333" s="34" t="str">
        <f aca="false">IF(F333="","",N(G333)*N(I333)/(1-IF(K333="",'Job Info'!$B$39,K333))*IF('Job Info'!$B$38="Yes",'Job Info'!$B$37,0))</f>
        <v/>
      </c>
    </row>
    <row r="334" customFormat="false" ht="15" hidden="false" customHeight="false" outlineLevel="0" collapsed="false">
      <c r="A334" s="13" t="str">
        <f aca="false">IF(F334="","",ROW()-5)</f>
        <v/>
      </c>
      <c r="B334" s="14"/>
      <c r="C334" s="14"/>
      <c r="D334" s="14"/>
      <c r="E334" s="14"/>
      <c r="F334" s="36"/>
      <c r="G334" s="37"/>
      <c r="H334" s="14"/>
      <c r="I334" s="38"/>
      <c r="J334" s="38"/>
      <c r="K334" s="33"/>
      <c r="L334" s="33"/>
      <c r="M334" s="34" t="str">
        <f aca="false">IF(F334="","",N(I334)/(1-IF(K334="",'Job Info'!$B$39,K334))*(1+IF('Job Info'!$B$38="Yes",'Job Info'!$B$37,0)))</f>
        <v/>
      </c>
      <c r="N334" s="34" t="str">
        <f aca="false">IF(F334="","",N(J334)/(1-IF(L334="",'Job Info'!$B$40,L334)))</f>
        <v/>
      </c>
      <c r="O334" s="34" t="str">
        <f aca="false">IF(F334="","",M334+N334)</f>
        <v/>
      </c>
      <c r="P334" s="34" t="str">
        <f aca="false">IF(F334="","",N(G334)*M334)</f>
        <v/>
      </c>
      <c r="Q334" s="34" t="str">
        <f aca="false">IF(F334="","",N(G334)*N334)</f>
        <v/>
      </c>
      <c r="R334" s="35" t="str">
        <f aca="false">IF(F334="","",P334+Q334)</f>
        <v/>
      </c>
      <c r="S334" s="36"/>
      <c r="T334" s="36"/>
      <c r="U334" s="34" t="str">
        <f aca="false">IF(F334="","",N(G334)*N(I334))</f>
        <v/>
      </c>
      <c r="V334" s="34" t="str">
        <f aca="false">IF(F334="","",N(G334)*N(J334))</f>
        <v/>
      </c>
      <c r="W334" s="13" t="str">
        <f aca="false">IF(F334="","",IF(B334="Excluded","",COUNTIFS($F$6:F334,"?*",$B$6:B334,"&lt;&gt;Excluded")))</f>
        <v/>
      </c>
      <c r="X334" s="34" t="str">
        <f aca="false">IF(F334="","",N(G334)*N(I334)/(1-IF(K334="",'Job Info'!$B$39,K334))*IF('Job Info'!$B$38="Yes",'Job Info'!$B$37,0))</f>
        <v/>
      </c>
    </row>
    <row r="335" customFormat="false" ht="15" hidden="false" customHeight="false" outlineLevel="0" collapsed="false">
      <c r="A335" s="13" t="str">
        <f aca="false">IF(F335="","",ROW()-5)</f>
        <v/>
      </c>
      <c r="B335" s="14"/>
      <c r="C335" s="14"/>
      <c r="D335" s="14"/>
      <c r="E335" s="14"/>
      <c r="F335" s="36"/>
      <c r="G335" s="37"/>
      <c r="H335" s="14"/>
      <c r="I335" s="38"/>
      <c r="J335" s="38"/>
      <c r="K335" s="33"/>
      <c r="L335" s="33"/>
      <c r="M335" s="34" t="str">
        <f aca="false">IF(F335="","",N(I335)/(1-IF(K335="",'Job Info'!$B$39,K335))*(1+IF('Job Info'!$B$38="Yes",'Job Info'!$B$37,0)))</f>
        <v/>
      </c>
      <c r="N335" s="34" t="str">
        <f aca="false">IF(F335="","",N(J335)/(1-IF(L335="",'Job Info'!$B$40,L335)))</f>
        <v/>
      </c>
      <c r="O335" s="34" t="str">
        <f aca="false">IF(F335="","",M335+N335)</f>
        <v/>
      </c>
      <c r="P335" s="34" t="str">
        <f aca="false">IF(F335="","",N(G335)*M335)</f>
        <v/>
      </c>
      <c r="Q335" s="34" t="str">
        <f aca="false">IF(F335="","",N(G335)*N335)</f>
        <v/>
      </c>
      <c r="R335" s="35" t="str">
        <f aca="false">IF(F335="","",P335+Q335)</f>
        <v/>
      </c>
      <c r="S335" s="36"/>
      <c r="T335" s="36"/>
      <c r="U335" s="34" t="str">
        <f aca="false">IF(F335="","",N(G335)*N(I335))</f>
        <v/>
      </c>
      <c r="V335" s="34" t="str">
        <f aca="false">IF(F335="","",N(G335)*N(J335))</f>
        <v/>
      </c>
      <c r="W335" s="13" t="str">
        <f aca="false">IF(F335="","",IF(B335="Excluded","",COUNTIFS($F$6:F335,"?*",$B$6:B335,"&lt;&gt;Excluded")))</f>
        <v/>
      </c>
      <c r="X335" s="34" t="str">
        <f aca="false">IF(F335="","",N(G335)*N(I335)/(1-IF(K335="",'Job Info'!$B$39,K335))*IF('Job Info'!$B$38="Yes",'Job Info'!$B$37,0))</f>
        <v/>
      </c>
    </row>
    <row r="336" customFormat="false" ht="15" hidden="false" customHeight="false" outlineLevel="0" collapsed="false">
      <c r="A336" s="13" t="str">
        <f aca="false">IF(F336="","",ROW()-5)</f>
        <v/>
      </c>
      <c r="B336" s="14"/>
      <c r="C336" s="14"/>
      <c r="D336" s="14"/>
      <c r="E336" s="14"/>
      <c r="F336" s="36"/>
      <c r="G336" s="37"/>
      <c r="H336" s="14"/>
      <c r="I336" s="38"/>
      <c r="J336" s="38"/>
      <c r="K336" s="33"/>
      <c r="L336" s="33"/>
      <c r="M336" s="34" t="str">
        <f aca="false">IF(F336="","",N(I336)/(1-IF(K336="",'Job Info'!$B$39,K336))*(1+IF('Job Info'!$B$38="Yes",'Job Info'!$B$37,0)))</f>
        <v/>
      </c>
      <c r="N336" s="34" t="str">
        <f aca="false">IF(F336="","",N(J336)/(1-IF(L336="",'Job Info'!$B$40,L336)))</f>
        <v/>
      </c>
      <c r="O336" s="34" t="str">
        <f aca="false">IF(F336="","",M336+N336)</f>
        <v/>
      </c>
      <c r="P336" s="34" t="str">
        <f aca="false">IF(F336="","",N(G336)*M336)</f>
        <v/>
      </c>
      <c r="Q336" s="34" t="str">
        <f aca="false">IF(F336="","",N(G336)*N336)</f>
        <v/>
      </c>
      <c r="R336" s="35" t="str">
        <f aca="false">IF(F336="","",P336+Q336)</f>
        <v/>
      </c>
      <c r="S336" s="36"/>
      <c r="T336" s="36"/>
      <c r="U336" s="34" t="str">
        <f aca="false">IF(F336="","",N(G336)*N(I336))</f>
        <v/>
      </c>
      <c r="V336" s="34" t="str">
        <f aca="false">IF(F336="","",N(G336)*N(J336))</f>
        <v/>
      </c>
      <c r="W336" s="13" t="str">
        <f aca="false">IF(F336="","",IF(B336="Excluded","",COUNTIFS($F$6:F336,"?*",$B$6:B336,"&lt;&gt;Excluded")))</f>
        <v/>
      </c>
      <c r="X336" s="34" t="str">
        <f aca="false">IF(F336="","",N(G336)*N(I336)/(1-IF(K336="",'Job Info'!$B$39,K336))*IF('Job Info'!$B$38="Yes",'Job Info'!$B$37,0))</f>
        <v/>
      </c>
    </row>
    <row r="337" customFormat="false" ht="15" hidden="false" customHeight="false" outlineLevel="0" collapsed="false">
      <c r="A337" s="13" t="str">
        <f aca="false">IF(F337="","",ROW()-5)</f>
        <v/>
      </c>
      <c r="B337" s="14"/>
      <c r="C337" s="14"/>
      <c r="D337" s="14"/>
      <c r="E337" s="14"/>
      <c r="F337" s="36"/>
      <c r="G337" s="37"/>
      <c r="H337" s="14"/>
      <c r="I337" s="38"/>
      <c r="J337" s="38"/>
      <c r="K337" s="33"/>
      <c r="L337" s="33"/>
      <c r="M337" s="34" t="str">
        <f aca="false">IF(F337="","",N(I337)/(1-IF(K337="",'Job Info'!$B$39,K337))*(1+IF('Job Info'!$B$38="Yes",'Job Info'!$B$37,0)))</f>
        <v/>
      </c>
      <c r="N337" s="34" t="str">
        <f aca="false">IF(F337="","",N(J337)/(1-IF(L337="",'Job Info'!$B$40,L337)))</f>
        <v/>
      </c>
      <c r="O337" s="34" t="str">
        <f aca="false">IF(F337="","",M337+N337)</f>
        <v/>
      </c>
      <c r="P337" s="34" t="str">
        <f aca="false">IF(F337="","",N(G337)*M337)</f>
        <v/>
      </c>
      <c r="Q337" s="34" t="str">
        <f aca="false">IF(F337="","",N(G337)*N337)</f>
        <v/>
      </c>
      <c r="R337" s="35" t="str">
        <f aca="false">IF(F337="","",P337+Q337)</f>
        <v/>
      </c>
      <c r="S337" s="36"/>
      <c r="T337" s="36"/>
      <c r="U337" s="34" t="str">
        <f aca="false">IF(F337="","",N(G337)*N(I337))</f>
        <v/>
      </c>
      <c r="V337" s="34" t="str">
        <f aca="false">IF(F337="","",N(G337)*N(J337))</f>
        <v/>
      </c>
      <c r="W337" s="13" t="str">
        <f aca="false">IF(F337="","",IF(B337="Excluded","",COUNTIFS($F$6:F337,"?*",$B$6:B337,"&lt;&gt;Excluded")))</f>
        <v/>
      </c>
      <c r="X337" s="34" t="str">
        <f aca="false">IF(F337="","",N(G337)*N(I337)/(1-IF(K337="",'Job Info'!$B$39,K337))*IF('Job Info'!$B$38="Yes",'Job Info'!$B$37,0))</f>
        <v/>
      </c>
    </row>
    <row r="338" customFormat="false" ht="15" hidden="false" customHeight="false" outlineLevel="0" collapsed="false">
      <c r="A338" s="13" t="str">
        <f aca="false">IF(F338="","",ROW()-5)</f>
        <v/>
      </c>
      <c r="B338" s="14"/>
      <c r="C338" s="14"/>
      <c r="D338" s="14"/>
      <c r="E338" s="14"/>
      <c r="F338" s="36"/>
      <c r="G338" s="37"/>
      <c r="H338" s="14"/>
      <c r="I338" s="38"/>
      <c r="J338" s="38"/>
      <c r="K338" s="33"/>
      <c r="L338" s="33"/>
      <c r="M338" s="34" t="str">
        <f aca="false">IF(F338="","",N(I338)/(1-IF(K338="",'Job Info'!$B$39,K338))*(1+IF('Job Info'!$B$38="Yes",'Job Info'!$B$37,0)))</f>
        <v/>
      </c>
      <c r="N338" s="34" t="str">
        <f aca="false">IF(F338="","",N(J338)/(1-IF(L338="",'Job Info'!$B$40,L338)))</f>
        <v/>
      </c>
      <c r="O338" s="34" t="str">
        <f aca="false">IF(F338="","",M338+N338)</f>
        <v/>
      </c>
      <c r="P338" s="34" t="str">
        <f aca="false">IF(F338="","",N(G338)*M338)</f>
        <v/>
      </c>
      <c r="Q338" s="34" t="str">
        <f aca="false">IF(F338="","",N(G338)*N338)</f>
        <v/>
      </c>
      <c r="R338" s="35" t="str">
        <f aca="false">IF(F338="","",P338+Q338)</f>
        <v/>
      </c>
      <c r="S338" s="36"/>
      <c r="T338" s="36"/>
      <c r="U338" s="34" t="str">
        <f aca="false">IF(F338="","",N(G338)*N(I338))</f>
        <v/>
      </c>
      <c r="V338" s="34" t="str">
        <f aca="false">IF(F338="","",N(G338)*N(J338))</f>
        <v/>
      </c>
      <c r="W338" s="13" t="str">
        <f aca="false">IF(F338="","",IF(B338="Excluded","",COUNTIFS($F$6:F338,"?*",$B$6:B338,"&lt;&gt;Excluded")))</f>
        <v/>
      </c>
      <c r="X338" s="34" t="str">
        <f aca="false">IF(F338="","",N(G338)*N(I338)/(1-IF(K338="",'Job Info'!$B$39,K338))*IF('Job Info'!$B$38="Yes",'Job Info'!$B$37,0))</f>
        <v/>
      </c>
    </row>
    <row r="339" customFormat="false" ht="15" hidden="false" customHeight="false" outlineLevel="0" collapsed="false">
      <c r="A339" s="13" t="str">
        <f aca="false">IF(F339="","",ROW()-5)</f>
        <v/>
      </c>
      <c r="B339" s="14"/>
      <c r="C339" s="14"/>
      <c r="D339" s="14"/>
      <c r="E339" s="14"/>
      <c r="F339" s="36"/>
      <c r="G339" s="37"/>
      <c r="H339" s="14"/>
      <c r="I339" s="38"/>
      <c r="J339" s="38"/>
      <c r="K339" s="33"/>
      <c r="L339" s="33"/>
      <c r="M339" s="34" t="str">
        <f aca="false">IF(F339="","",N(I339)/(1-IF(K339="",'Job Info'!$B$39,K339))*(1+IF('Job Info'!$B$38="Yes",'Job Info'!$B$37,0)))</f>
        <v/>
      </c>
      <c r="N339" s="34" t="str">
        <f aca="false">IF(F339="","",N(J339)/(1-IF(L339="",'Job Info'!$B$40,L339)))</f>
        <v/>
      </c>
      <c r="O339" s="34" t="str">
        <f aca="false">IF(F339="","",M339+N339)</f>
        <v/>
      </c>
      <c r="P339" s="34" t="str">
        <f aca="false">IF(F339="","",N(G339)*M339)</f>
        <v/>
      </c>
      <c r="Q339" s="34" t="str">
        <f aca="false">IF(F339="","",N(G339)*N339)</f>
        <v/>
      </c>
      <c r="R339" s="35" t="str">
        <f aca="false">IF(F339="","",P339+Q339)</f>
        <v/>
      </c>
      <c r="S339" s="36"/>
      <c r="T339" s="36"/>
      <c r="U339" s="34" t="str">
        <f aca="false">IF(F339="","",N(G339)*N(I339))</f>
        <v/>
      </c>
      <c r="V339" s="34" t="str">
        <f aca="false">IF(F339="","",N(G339)*N(J339))</f>
        <v/>
      </c>
      <c r="W339" s="13" t="str">
        <f aca="false">IF(F339="","",IF(B339="Excluded","",COUNTIFS($F$6:F339,"?*",$B$6:B339,"&lt;&gt;Excluded")))</f>
        <v/>
      </c>
      <c r="X339" s="34" t="str">
        <f aca="false">IF(F339="","",N(G339)*N(I339)/(1-IF(K339="",'Job Info'!$B$39,K339))*IF('Job Info'!$B$38="Yes",'Job Info'!$B$37,0))</f>
        <v/>
      </c>
    </row>
    <row r="340" customFormat="false" ht="15" hidden="false" customHeight="false" outlineLevel="0" collapsed="false">
      <c r="A340" s="13" t="str">
        <f aca="false">IF(F340="","",ROW()-5)</f>
        <v/>
      </c>
      <c r="B340" s="14"/>
      <c r="C340" s="14"/>
      <c r="D340" s="14"/>
      <c r="E340" s="14"/>
      <c r="F340" s="36"/>
      <c r="G340" s="37"/>
      <c r="H340" s="14"/>
      <c r="I340" s="38"/>
      <c r="J340" s="38"/>
      <c r="K340" s="33"/>
      <c r="L340" s="33"/>
      <c r="M340" s="34" t="str">
        <f aca="false">IF(F340="","",N(I340)/(1-IF(K340="",'Job Info'!$B$39,K340))*(1+IF('Job Info'!$B$38="Yes",'Job Info'!$B$37,0)))</f>
        <v/>
      </c>
      <c r="N340" s="34" t="str">
        <f aca="false">IF(F340="","",N(J340)/(1-IF(L340="",'Job Info'!$B$40,L340)))</f>
        <v/>
      </c>
      <c r="O340" s="34" t="str">
        <f aca="false">IF(F340="","",M340+N340)</f>
        <v/>
      </c>
      <c r="P340" s="34" t="str">
        <f aca="false">IF(F340="","",N(G340)*M340)</f>
        <v/>
      </c>
      <c r="Q340" s="34" t="str">
        <f aca="false">IF(F340="","",N(G340)*N340)</f>
        <v/>
      </c>
      <c r="R340" s="35" t="str">
        <f aca="false">IF(F340="","",P340+Q340)</f>
        <v/>
      </c>
      <c r="S340" s="36"/>
      <c r="T340" s="36"/>
      <c r="U340" s="34" t="str">
        <f aca="false">IF(F340="","",N(G340)*N(I340))</f>
        <v/>
      </c>
      <c r="V340" s="34" t="str">
        <f aca="false">IF(F340="","",N(G340)*N(J340))</f>
        <v/>
      </c>
      <c r="W340" s="13" t="str">
        <f aca="false">IF(F340="","",IF(B340="Excluded","",COUNTIFS($F$6:F340,"?*",$B$6:B340,"&lt;&gt;Excluded")))</f>
        <v/>
      </c>
      <c r="X340" s="34" t="str">
        <f aca="false">IF(F340="","",N(G340)*N(I340)/(1-IF(K340="",'Job Info'!$B$39,K340))*IF('Job Info'!$B$38="Yes",'Job Info'!$B$37,0))</f>
        <v/>
      </c>
    </row>
    <row r="341" customFormat="false" ht="15" hidden="false" customHeight="false" outlineLevel="0" collapsed="false">
      <c r="A341" s="13" t="str">
        <f aca="false">IF(F341="","",ROW()-5)</f>
        <v/>
      </c>
      <c r="B341" s="14"/>
      <c r="C341" s="14"/>
      <c r="D341" s="14"/>
      <c r="E341" s="14"/>
      <c r="F341" s="36"/>
      <c r="G341" s="37"/>
      <c r="H341" s="14"/>
      <c r="I341" s="38"/>
      <c r="J341" s="38"/>
      <c r="K341" s="33"/>
      <c r="L341" s="33"/>
      <c r="M341" s="34" t="str">
        <f aca="false">IF(F341="","",N(I341)/(1-IF(K341="",'Job Info'!$B$39,K341))*(1+IF('Job Info'!$B$38="Yes",'Job Info'!$B$37,0)))</f>
        <v/>
      </c>
      <c r="N341" s="34" t="str">
        <f aca="false">IF(F341="","",N(J341)/(1-IF(L341="",'Job Info'!$B$40,L341)))</f>
        <v/>
      </c>
      <c r="O341" s="34" t="str">
        <f aca="false">IF(F341="","",M341+N341)</f>
        <v/>
      </c>
      <c r="P341" s="34" t="str">
        <f aca="false">IF(F341="","",N(G341)*M341)</f>
        <v/>
      </c>
      <c r="Q341" s="34" t="str">
        <f aca="false">IF(F341="","",N(G341)*N341)</f>
        <v/>
      </c>
      <c r="R341" s="35" t="str">
        <f aca="false">IF(F341="","",P341+Q341)</f>
        <v/>
      </c>
      <c r="S341" s="36"/>
      <c r="T341" s="36"/>
      <c r="U341" s="34" t="str">
        <f aca="false">IF(F341="","",N(G341)*N(I341))</f>
        <v/>
      </c>
      <c r="V341" s="34" t="str">
        <f aca="false">IF(F341="","",N(G341)*N(J341))</f>
        <v/>
      </c>
      <c r="W341" s="13" t="str">
        <f aca="false">IF(F341="","",IF(B341="Excluded","",COUNTIFS($F$6:F341,"?*",$B$6:B341,"&lt;&gt;Excluded")))</f>
        <v/>
      </c>
      <c r="X341" s="34" t="str">
        <f aca="false">IF(F341="","",N(G341)*N(I341)/(1-IF(K341="",'Job Info'!$B$39,K341))*IF('Job Info'!$B$38="Yes",'Job Info'!$B$37,0))</f>
        <v/>
      </c>
    </row>
    <row r="342" customFormat="false" ht="15" hidden="false" customHeight="false" outlineLevel="0" collapsed="false">
      <c r="A342" s="13" t="str">
        <f aca="false">IF(F342="","",ROW()-5)</f>
        <v/>
      </c>
      <c r="B342" s="14"/>
      <c r="C342" s="14"/>
      <c r="D342" s="14"/>
      <c r="E342" s="14"/>
      <c r="F342" s="36"/>
      <c r="G342" s="37"/>
      <c r="H342" s="14"/>
      <c r="I342" s="38"/>
      <c r="J342" s="38"/>
      <c r="K342" s="33"/>
      <c r="L342" s="33"/>
      <c r="M342" s="34" t="str">
        <f aca="false">IF(F342="","",N(I342)/(1-IF(K342="",'Job Info'!$B$39,K342))*(1+IF('Job Info'!$B$38="Yes",'Job Info'!$B$37,0)))</f>
        <v/>
      </c>
      <c r="N342" s="34" t="str">
        <f aca="false">IF(F342="","",N(J342)/(1-IF(L342="",'Job Info'!$B$40,L342)))</f>
        <v/>
      </c>
      <c r="O342" s="34" t="str">
        <f aca="false">IF(F342="","",M342+N342)</f>
        <v/>
      </c>
      <c r="P342" s="34" t="str">
        <f aca="false">IF(F342="","",N(G342)*M342)</f>
        <v/>
      </c>
      <c r="Q342" s="34" t="str">
        <f aca="false">IF(F342="","",N(G342)*N342)</f>
        <v/>
      </c>
      <c r="R342" s="35" t="str">
        <f aca="false">IF(F342="","",P342+Q342)</f>
        <v/>
      </c>
      <c r="S342" s="36"/>
      <c r="T342" s="36"/>
      <c r="U342" s="34" t="str">
        <f aca="false">IF(F342="","",N(G342)*N(I342))</f>
        <v/>
      </c>
      <c r="V342" s="34" t="str">
        <f aca="false">IF(F342="","",N(G342)*N(J342))</f>
        <v/>
      </c>
      <c r="W342" s="13" t="str">
        <f aca="false">IF(F342="","",IF(B342="Excluded","",COUNTIFS($F$6:F342,"?*",$B$6:B342,"&lt;&gt;Excluded")))</f>
        <v/>
      </c>
      <c r="X342" s="34" t="str">
        <f aca="false">IF(F342="","",N(G342)*N(I342)/(1-IF(K342="",'Job Info'!$B$39,K342))*IF('Job Info'!$B$38="Yes",'Job Info'!$B$37,0))</f>
        <v/>
      </c>
    </row>
    <row r="343" customFormat="false" ht="15" hidden="false" customHeight="false" outlineLevel="0" collapsed="false">
      <c r="A343" s="13" t="str">
        <f aca="false">IF(F343="","",ROW()-5)</f>
        <v/>
      </c>
      <c r="B343" s="14"/>
      <c r="C343" s="14"/>
      <c r="D343" s="14"/>
      <c r="E343" s="14"/>
      <c r="F343" s="36"/>
      <c r="G343" s="37"/>
      <c r="H343" s="14"/>
      <c r="I343" s="38"/>
      <c r="J343" s="38"/>
      <c r="K343" s="33"/>
      <c r="L343" s="33"/>
      <c r="M343" s="34" t="str">
        <f aca="false">IF(F343="","",N(I343)/(1-IF(K343="",'Job Info'!$B$39,K343))*(1+IF('Job Info'!$B$38="Yes",'Job Info'!$B$37,0)))</f>
        <v/>
      </c>
      <c r="N343" s="34" t="str">
        <f aca="false">IF(F343="","",N(J343)/(1-IF(L343="",'Job Info'!$B$40,L343)))</f>
        <v/>
      </c>
      <c r="O343" s="34" t="str">
        <f aca="false">IF(F343="","",M343+N343)</f>
        <v/>
      </c>
      <c r="P343" s="34" t="str">
        <f aca="false">IF(F343="","",N(G343)*M343)</f>
        <v/>
      </c>
      <c r="Q343" s="34" t="str">
        <f aca="false">IF(F343="","",N(G343)*N343)</f>
        <v/>
      </c>
      <c r="R343" s="35" t="str">
        <f aca="false">IF(F343="","",P343+Q343)</f>
        <v/>
      </c>
      <c r="S343" s="36"/>
      <c r="T343" s="36"/>
      <c r="U343" s="34" t="str">
        <f aca="false">IF(F343="","",N(G343)*N(I343))</f>
        <v/>
      </c>
      <c r="V343" s="34" t="str">
        <f aca="false">IF(F343="","",N(G343)*N(J343))</f>
        <v/>
      </c>
      <c r="W343" s="13" t="str">
        <f aca="false">IF(F343="","",IF(B343="Excluded","",COUNTIFS($F$6:F343,"?*",$B$6:B343,"&lt;&gt;Excluded")))</f>
        <v/>
      </c>
      <c r="X343" s="34" t="str">
        <f aca="false">IF(F343="","",N(G343)*N(I343)/(1-IF(K343="",'Job Info'!$B$39,K343))*IF('Job Info'!$B$38="Yes",'Job Info'!$B$37,0))</f>
        <v/>
      </c>
    </row>
    <row r="344" customFormat="false" ht="15" hidden="false" customHeight="false" outlineLevel="0" collapsed="false">
      <c r="A344" s="13" t="str">
        <f aca="false">IF(F344="","",ROW()-5)</f>
        <v/>
      </c>
      <c r="B344" s="14"/>
      <c r="C344" s="14"/>
      <c r="D344" s="14"/>
      <c r="E344" s="14"/>
      <c r="F344" s="36"/>
      <c r="G344" s="37"/>
      <c r="H344" s="14"/>
      <c r="I344" s="38"/>
      <c r="J344" s="38"/>
      <c r="K344" s="33"/>
      <c r="L344" s="33"/>
      <c r="M344" s="34" t="str">
        <f aca="false">IF(F344="","",N(I344)/(1-IF(K344="",'Job Info'!$B$39,K344))*(1+IF('Job Info'!$B$38="Yes",'Job Info'!$B$37,0)))</f>
        <v/>
      </c>
      <c r="N344" s="34" t="str">
        <f aca="false">IF(F344="","",N(J344)/(1-IF(L344="",'Job Info'!$B$40,L344)))</f>
        <v/>
      </c>
      <c r="O344" s="34" t="str">
        <f aca="false">IF(F344="","",M344+N344)</f>
        <v/>
      </c>
      <c r="P344" s="34" t="str">
        <f aca="false">IF(F344="","",N(G344)*M344)</f>
        <v/>
      </c>
      <c r="Q344" s="34" t="str">
        <f aca="false">IF(F344="","",N(G344)*N344)</f>
        <v/>
      </c>
      <c r="R344" s="35" t="str">
        <f aca="false">IF(F344="","",P344+Q344)</f>
        <v/>
      </c>
      <c r="S344" s="36"/>
      <c r="T344" s="36"/>
      <c r="U344" s="34" t="str">
        <f aca="false">IF(F344="","",N(G344)*N(I344))</f>
        <v/>
      </c>
      <c r="V344" s="34" t="str">
        <f aca="false">IF(F344="","",N(G344)*N(J344))</f>
        <v/>
      </c>
      <c r="W344" s="13" t="str">
        <f aca="false">IF(F344="","",IF(B344="Excluded","",COUNTIFS($F$6:F344,"?*",$B$6:B344,"&lt;&gt;Excluded")))</f>
        <v/>
      </c>
      <c r="X344" s="34" t="str">
        <f aca="false">IF(F344="","",N(G344)*N(I344)/(1-IF(K344="",'Job Info'!$B$39,K344))*IF('Job Info'!$B$38="Yes",'Job Info'!$B$37,0))</f>
        <v/>
      </c>
    </row>
    <row r="345" customFormat="false" ht="15" hidden="false" customHeight="false" outlineLevel="0" collapsed="false">
      <c r="A345" s="13" t="str">
        <f aca="false">IF(F345="","",ROW()-5)</f>
        <v/>
      </c>
      <c r="B345" s="14"/>
      <c r="C345" s="14"/>
      <c r="D345" s="14"/>
      <c r="E345" s="14"/>
      <c r="F345" s="36"/>
      <c r="G345" s="37"/>
      <c r="H345" s="14"/>
      <c r="I345" s="38"/>
      <c r="J345" s="38"/>
      <c r="K345" s="33"/>
      <c r="L345" s="33"/>
      <c r="M345" s="34" t="str">
        <f aca="false">IF(F345="","",N(I345)/(1-IF(K345="",'Job Info'!$B$39,K345))*(1+IF('Job Info'!$B$38="Yes",'Job Info'!$B$37,0)))</f>
        <v/>
      </c>
      <c r="N345" s="34" t="str">
        <f aca="false">IF(F345="","",N(J345)/(1-IF(L345="",'Job Info'!$B$40,L345)))</f>
        <v/>
      </c>
      <c r="O345" s="34" t="str">
        <f aca="false">IF(F345="","",M345+N345)</f>
        <v/>
      </c>
      <c r="P345" s="34" t="str">
        <f aca="false">IF(F345="","",N(G345)*M345)</f>
        <v/>
      </c>
      <c r="Q345" s="34" t="str">
        <f aca="false">IF(F345="","",N(G345)*N345)</f>
        <v/>
      </c>
      <c r="R345" s="35" t="str">
        <f aca="false">IF(F345="","",P345+Q345)</f>
        <v/>
      </c>
      <c r="S345" s="36"/>
      <c r="T345" s="36"/>
      <c r="U345" s="34" t="str">
        <f aca="false">IF(F345="","",N(G345)*N(I345))</f>
        <v/>
      </c>
      <c r="V345" s="34" t="str">
        <f aca="false">IF(F345="","",N(G345)*N(J345))</f>
        <v/>
      </c>
      <c r="W345" s="13" t="str">
        <f aca="false">IF(F345="","",IF(B345="Excluded","",COUNTIFS($F$6:F345,"?*",$B$6:B345,"&lt;&gt;Excluded")))</f>
        <v/>
      </c>
      <c r="X345" s="34" t="str">
        <f aca="false">IF(F345="","",N(G345)*N(I345)/(1-IF(K345="",'Job Info'!$B$39,K345))*IF('Job Info'!$B$38="Yes",'Job Info'!$B$37,0))</f>
        <v/>
      </c>
    </row>
    <row r="346" customFormat="false" ht="15" hidden="false" customHeight="false" outlineLevel="0" collapsed="false">
      <c r="A346" s="13" t="str">
        <f aca="false">IF(F346="","",ROW()-5)</f>
        <v/>
      </c>
      <c r="B346" s="14"/>
      <c r="C346" s="14"/>
      <c r="D346" s="14"/>
      <c r="E346" s="14"/>
      <c r="F346" s="36"/>
      <c r="G346" s="37"/>
      <c r="H346" s="14"/>
      <c r="I346" s="38"/>
      <c r="J346" s="38"/>
      <c r="K346" s="33"/>
      <c r="L346" s="33"/>
      <c r="M346" s="34" t="str">
        <f aca="false">IF(F346="","",N(I346)/(1-IF(K346="",'Job Info'!$B$39,K346))*(1+IF('Job Info'!$B$38="Yes",'Job Info'!$B$37,0)))</f>
        <v/>
      </c>
      <c r="N346" s="34" t="str">
        <f aca="false">IF(F346="","",N(J346)/(1-IF(L346="",'Job Info'!$B$40,L346)))</f>
        <v/>
      </c>
      <c r="O346" s="34" t="str">
        <f aca="false">IF(F346="","",M346+N346)</f>
        <v/>
      </c>
      <c r="P346" s="34" t="str">
        <f aca="false">IF(F346="","",N(G346)*M346)</f>
        <v/>
      </c>
      <c r="Q346" s="34" t="str">
        <f aca="false">IF(F346="","",N(G346)*N346)</f>
        <v/>
      </c>
      <c r="R346" s="35" t="str">
        <f aca="false">IF(F346="","",P346+Q346)</f>
        <v/>
      </c>
      <c r="S346" s="36"/>
      <c r="T346" s="36"/>
      <c r="U346" s="34" t="str">
        <f aca="false">IF(F346="","",N(G346)*N(I346))</f>
        <v/>
      </c>
      <c r="V346" s="34" t="str">
        <f aca="false">IF(F346="","",N(G346)*N(J346))</f>
        <v/>
      </c>
      <c r="W346" s="13" t="str">
        <f aca="false">IF(F346="","",IF(B346="Excluded","",COUNTIFS($F$6:F346,"?*",$B$6:B346,"&lt;&gt;Excluded")))</f>
        <v/>
      </c>
      <c r="X346" s="34" t="str">
        <f aca="false">IF(F346="","",N(G346)*N(I346)/(1-IF(K346="",'Job Info'!$B$39,K346))*IF('Job Info'!$B$38="Yes",'Job Info'!$B$37,0))</f>
        <v/>
      </c>
    </row>
    <row r="347" customFormat="false" ht="15" hidden="false" customHeight="false" outlineLevel="0" collapsed="false">
      <c r="A347" s="13" t="str">
        <f aca="false">IF(F347="","",ROW()-5)</f>
        <v/>
      </c>
      <c r="B347" s="14"/>
      <c r="C347" s="14"/>
      <c r="D347" s="14"/>
      <c r="E347" s="14"/>
      <c r="F347" s="36"/>
      <c r="G347" s="37"/>
      <c r="H347" s="14"/>
      <c r="I347" s="38"/>
      <c r="J347" s="38"/>
      <c r="K347" s="33"/>
      <c r="L347" s="33"/>
      <c r="M347" s="34" t="str">
        <f aca="false">IF(F347="","",N(I347)/(1-IF(K347="",'Job Info'!$B$39,K347))*(1+IF('Job Info'!$B$38="Yes",'Job Info'!$B$37,0)))</f>
        <v/>
      </c>
      <c r="N347" s="34" t="str">
        <f aca="false">IF(F347="","",N(J347)/(1-IF(L347="",'Job Info'!$B$40,L347)))</f>
        <v/>
      </c>
      <c r="O347" s="34" t="str">
        <f aca="false">IF(F347="","",M347+N347)</f>
        <v/>
      </c>
      <c r="P347" s="34" t="str">
        <f aca="false">IF(F347="","",N(G347)*M347)</f>
        <v/>
      </c>
      <c r="Q347" s="34" t="str">
        <f aca="false">IF(F347="","",N(G347)*N347)</f>
        <v/>
      </c>
      <c r="R347" s="35" t="str">
        <f aca="false">IF(F347="","",P347+Q347)</f>
        <v/>
      </c>
      <c r="S347" s="36"/>
      <c r="T347" s="36"/>
      <c r="U347" s="34" t="str">
        <f aca="false">IF(F347="","",N(G347)*N(I347))</f>
        <v/>
      </c>
      <c r="V347" s="34" t="str">
        <f aca="false">IF(F347="","",N(G347)*N(J347))</f>
        <v/>
      </c>
      <c r="W347" s="13" t="str">
        <f aca="false">IF(F347="","",IF(B347="Excluded","",COUNTIFS($F$6:F347,"?*",$B$6:B347,"&lt;&gt;Excluded")))</f>
        <v/>
      </c>
      <c r="X347" s="34" t="str">
        <f aca="false">IF(F347="","",N(G347)*N(I347)/(1-IF(K347="",'Job Info'!$B$39,K347))*IF('Job Info'!$B$38="Yes",'Job Info'!$B$37,0))</f>
        <v/>
      </c>
    </row>
    <row r="348" customFormat="false" ht="15" hidden="false" customHeight="false" outlineLevel="0" collapsed="false">
      <c r="A348" s="13" t="str">
        <f aca="false">IF(F348="","",ROW()-5)</f>
        <v/>
      </c>
      <c r="B348" s="14"/>
      <c r="C348" s="14"/>
      <c r="D348" s="14"/>
      <c r="E348" s="14"/>
      <c r="F348" s="36"/>
      <c r="G348" s="37"/>
      <c r="H348" s="14"/>
      <c r="I348" s="38"/>
      <c r="J348" s="38"/>
      <c r="K348" s="33"/>
      <c r="L348" s="33"/>
      <c r="M348" s="34" t="str">
        <f aca="false">IF(F348="","",N(I348)/(1-IF(K348="",'Job Info'!$B$39,K348))*(1+IF('Job Info'!$B$38="Yes",'Job Info'!$B$37,0)))</f>
        <v/>
      </c>
      <c r="N348" s="34" t="str">
        <f aca="false">IF(F348="","",N(J348)/(1-IF(L348="",'Job Info'!$B$40,L348)))</f>
        <v/>
      </c>
      <c r="O348" s="34" t="str">
        <f aca="false">IF(F348="","",M348+N348)</f>
        <v/>
      </c>
      <c r="P348" s="34" t="str">
        <f aca="false">IF(F348="","",N(G348)*M348)</f>
        <v/>
      </c>
      <c r="Q348" s="34" t="str">
        <f aca="false">IF(F348="","",N(G348)*N348)</f>
        <v/>
      </c>
      <c r="R348" s="35" t="str">
        <f aca="false">IF(F348="","",P348+Q348)</f>
        <v/>
      </c>
      <c r="S348" s="36"/>
      <c r="T348" s="36"/>
      <c r="U348" s="34" t="str">
        <f aca="false">IF(F348="","",N(G348)*N(I348))</f>
        <v/>
      </c>
      <c r="V348" s="34" t="str">
        <f aca="false">IF(F348="","",N(G348)*N(J348))</f>
        <v/>
      </c>
      <c r="W348" s="13" t="str">
        <f aca="false">IF(F348="","",IF(B348="Excluded","",COUNTIFS($F$6:F348,"?*",$B$6:B348,"&lt;&gt;Excluded")))</f>
        <v/>
      </c>
      <c r="X348" s="34" t="str">
        <f aca="false">IF(F348="","",N(G348)*N(I348)/(1-IF(K348="",'Job Info'!$B$39,K348))*IF('Job Info'!$B$38="Yes",'Job Info'!$B$37,0))</f>
        <v/>
      </c>
    </row>
    <row r="349" customFormat="false" ht="15" hidden="false" customHeight="false" outlineLevel="0" collapsed="false">
      <c r="A349" s="13" t="str">
        <f aca="false">IF(F349="","",ROW()-5)</f>
        <v/>
      </c>
      <c r="B349" s="14"/>
      <c r="C349" s="14"/>
      <c r="D349" s="14"/>
      <c r="E349" s="14"/>
      <c r="F349" s="36"/>
      <c r="G349" s="37"/>
      <c r="H349" s="14"/>
      <c r="I349" s="38"/>
      <c r="J349" s="38"/>
      <c r="K349" s="33"/>
      <c r="L349" s="33"/>
      <c r="M349" s="34" t="str">
        <f aca="false">IF(F349="","",N(I349)/(1-IF(K349="",'Job Info'!$B$39,K349))*(1+IF('Job Info'!$B$38="Yes",'Job Info'!$B$37,0)))</f>
        <v/>
      </c>
      <c r="N349" s="34" t="str">
        <f aca="false">IF(F349="","",N(J349)/(1-IF(L349="",'Job Info'!$B$40,L349)))</f>
        <v/>
      </c>
      <c r="O349" s="34" t="str">
        <f aca="false">IF(F349="","",M349+N349)</f>
        <v/>
      </c>
      <c r="P349" s="34" t="str">
        <f aca="false">IF(F349="","",N(G349)*M349)</f>
        <v/>
      </c>
      <c r="Q349" s="34" t="str">
        <f aca="false">IF(F349="","",N(G349)*N349)</f>
        <v/>
      </c>
      <c r="R349" s="35" t="str">
        <f aca="false">IF(F349="","",P349+Q349)</f>
        <v/>
      </c>
      <c r="S349" s="36"/>
      <c r="T349" s="36"/>
      <c r="U349" s="34" t="str">
        <f aca="false">IF(F349="","",N(G349)*N(I349))</f>
        <v/>
      </c>
      <c r="V349" s="34" t="str">
        <f aca="false">IF(F349="","",N(G349)*N(J349))</f>
        <v/>
      </c>
      <c r="W349" s="13" t="str">
        <f aca="false">IF(F349="","",IF(B349="Excluded","",COUNTIFS($F$6:F349,"?*",$B$6:B349,"&lt;&gt;Excluded")))</f>
        <v/>
      </c>
      <c r="X349" s="34" t="str">
        <f aca="false">IF(F349="","",N(G349)*N(I349)/(1-IF(K349="",'Job Info'!$B$39,K349))*IF('Job Info'!$B$38="Yes",'Job Info'!$B$37,0))</f>
        <v/>
      </c>
    </row>
    <row r="350" customFormat="false" ht="15" hidden="false" customHeight="false" outlineLevel="0" collapsed="false">
      <c r="A350" s="13" t="str">
        <f aca="false">IF(F350="","",ROW()-5)</f>
        <v/>
      </c>
      <c r="B350" s="14"/>
      <c r="C350" s="14"/>
      <c r="D350" s="14"/>
      <c r="E350" s="14"/>
      <c r="F350" s="36"/>
      <c r="G350" s="37"/>
      <c r="H350" s="14"/>
      <c r="I350" s="38"/>
      <c r="J350" s="38"/>
      <c r="K350" s="33"/>
      <c r="L350" s="33"/>
      <c r="M350" s="34" t="str">
        <f aca="false">IF(F350="","",N(I350)/(1-IF(K350="",'Job Info'!$B$39,K350))*(1+IF('Job Info'!$B$38="Yes",'Job Info'!$B$37,0)))</f>
        <v/>
      </c>
      <c r="N350" s="34" t="str">
        <f aca="false">IF(F350="","",N(J350)/(1-IF(L350="",'Job Info'!$B$40,L350)))</f>
        <v/>
      </c>
      <c r="O350" s="34" t="str">
        <f aca="false">IF(F350="","",M350+N350)</f>
        <v/>
      </c>
      <c r="P350" s="34" t="str">
        <f aca="false">IF(F350="","",N(G350)*M350)</f>
        <v/>
      </c>
      <c r="Q350" s="34" t="str">
        <f aca="false">IF(F350="","",N(G350)*N350)</f>
        <v/>
      </c>
      <c r="R350" s="35" t="str">
        <f aca="false">IF(F350="","",P350+Q350)</f>
        <v/>
      </c>
      <c r="S350" s="36"/>
      <c r="T350" s="36"/>
      <c r="U350" s="34" t="str">
        <f aca="false">IF(F350="","",N(G350)*N(I350))</f>
        <v/>
      </c>
      <c r="V350" s="34" t="str">
        <f aca="false">IF(F350="","",N(G350)*N(J350))</f>
        <v/>
      </c>
      <c r="W350" s="13" t="str">
        <f aca="false">IF(F350="","",IF(B350="Excluded","",COUNTIFS($F$6:F350,"?*",$B$6:B350,"&lt;&gt;Excluded")))</f>
        <v/>
      </c>
      <c r="X350" s="34" t="str">
        <f aca="false">IF(F350="","",N(G350)*N(I350)/(1-IF(K350="",'Job Info'!$B$39,K350))*IF('Job Info'!$B$38="Yes",'Job Info'!$B$37,0))</f>
        <v/>
      </c>
    </row>
    <row r="351" customFormat="false" ht="15" hidden="false" customHeight="false" outlineLevel="0" collapsed="false">
      <c r="A351" s="13" t="str">
        <f aca="false">IF(F351="","",ROW()-5)</f>
        <v/>
      </c>
      <c r="B351" s="14"/>
      <c r="C351" s="14"/>
      <c r="D351" s="14"/>
      <c r="E351" s="14"/>
      <c r="F351" s="36"/>
      <c r="G351" s="37"/>
      <c r="H351" s="14"/>
      <c r="I351" s="38"/>
      <c r="J351" s="38"/>
      <c r="K351" s="33"/>
      <c r="L351" s="33"/>
      <c r="M351" s="34" t="str">
        <f aca="false">IF(F351="","",N(I351)/(1-IF(K351="",'Job Info'!$B$39,K351))*(1+IF('Job Info'!$B$38="Yes",'Job Info'!$B$37,0)))</f>
        <v/>
      </c>
      <c r="N351" s="34" t="str">
        <f aca="false">IF(F351="","",N(J351)/(1-IF(L351="",'Job Info'!$B$40,L351)))</f>
        <v/>
      </c>
      <c r="O351" s="34" t="str">
        <f aca="false">IF(F351="","",M351+N351)</f>
        <v/>
      </c>
      <c r="P351" s="34" t="str">
        <f aca="false">IF(F351="","",N(G351)*M351)</f>
        <v/>
      </c>
      <c r="Q351" s="34" t="str">
        <f aca="false">IF(F351="","",N(G351)*N351)</f>
        <v/>
      </c>
      <c r="R351" s="35" t="str">
        <f aca="false">IF(F351="","",P351+Q351)</f>
        <v/>
      </c>
      <c r="S351" s="36"/>
      <c r="T351" s="36"/>
      <c r="U351" s="34" t="str">
        <f aca="false">IF(F351="","",N(G351)*N(I351))</f>
        <v/>
      </c>
      <c r="V351" s="34" t="str">
        <f aca="false">IF(F351="","",N(G351)*N(J351))</f>
        <v/>
      </c>
      <c r="W351" s="13" t="str">
        <f aca="false">IF(F351="","",IF(B351="Excluded","",COUNTIFS($F$6:F351,"?*",$B$6:B351,"&lt;&gt;Excluded")))</f>
        <v/>
      </c>
      <c r="X351" s="34" t="str">
        <f aca="false">IF(F351="","",N(G351)*N(I351)/(1-IF(K351="",'Job Info'!$B$39,K351))*IF('Job Info'!$B$38="Yes",'Job Info'!$B$37,0))</f>
        <v/>
      </c>
    </row>
    <row r="352" customFormat="false" ht="15" hidden="false" customHeight="false" outlineLevel="0" collapsed="false">
      <c r="A352" s="13" t="str">
        <f aca="false">IF(F352="","",ROW()-5)</f>
        <v/>
      </c>
      <c r="B352" s="14"/>
      <c r="C352" s="14"/>
      <c r="D352" s="14"/>
      <c r="E352" s="14"/>
      <c r="F352" s="36"/>
      <c r="G352" s="37"/>
      <c r="H352" s="14"/>
      <c r="I352" s="38"/>
      <c r="J352" s="38"/>
      <c r="K352" s="33"/>
      <c r="L352" s="33"/>
      <c r="M352" s="34" t="str">
        <f aca="false">IF(F352="","",N(I352)/(1-IF(K352="",'Job Info'!$B$39,K352))*(1+IF('Job Info'!$B$38="Yes",'Job Info'!$B$37,0)))</f>
        <v/>
      </c>
      <c r="N352" s="34" t="str">
        <f aca="false">IF(F352="","",N(J352)/(1-IF(L352="",'Job Info'!$B$40,L352)))</f>
        <v/>
      </c>
      <c r="O352" s="34" t="str">
        <f aca="false">IF(F352="","",M352+N352)</f>
        <v/>
      </c>
      <c r="P352" s="34" t="str">
        <f aca="false">IF(F352="","",N(G352)*M352)</f>
        <v/>
      </c>
      <c r="Q352" s="34" t="str">
        <f aca="false">IF(F352="","",N(G352)*N352)</f>
        <v/>
      </c>
      <c r="R352" s="35" t="str">
        <f aca="false">IF(F352="","",P352+Q352)</f>
        <v/>
      </c>
      <c r="S352" s="36"/>
      <c r="T352" s="36"/>
      <c r="U352" s="34" t="str">
        <f aca="false">IF(F352="","",N(G352)*N(I352))</f>
        <v/>
      </c>
      <c r="V352" s="34" t="str">
        <f aca="false">IF(F352="","",N(G352)*N(J352))</f>
        <v/>
      </c>
      <c r="W352" s="13" t="str">
        <f aca="false">IF(F352="","",IF(B352="Excluded","",COUNTIFS($F$6:F352,"?*",$B$6:B352,"&lt;&gt;Excluded")))</f>
        <v/>
      </c>
      <c r="X352" s="34" t="str">
        <f aca="false">IF(F352="","",N(G352)*N(I352)/(1-IF(K352="",'Job Info'!$B$39,K352))*IF('Job Info'!$B$38="Yes",'Job Info'!$B$37,0))</f>
        <v/>
      </c>
    </row>
    <row r="353" customFormat="false" ht="15" hidden="false" customHeight="false" outlineLevel="0" collapsed="false">
      <c r="A353" s="13" t="str">
        <f aca="false">IF(F353="","",ROW()-5)</f>
        <v/>
      </c>
      <c r="B353" s="14"/>
      <c r="C353" s="14"/>
      <c r="D353" s="14"/>
      <c r="E353" s="14"/>
      <c r="F353" s="36"/>
      <c r="G353" s="37"/>
      <c r="H353" s="14"/>
      <c r="I353" s="38"/>
      <c r="J353" s="38"/>
      <c r="K353" s="33"/>
      <c r="L353" s="33"/>
      <c r="M353" s="34" t="str">
        <f aca="false">IF(F353="","",N(I353)/(1-IF(K353="",'Job Info'!$B$39,K353))*(1+IF('Job Info'!$B$38="Yes",'Job Info'!$B$37,0)))</f>
        <v/>
      </c>
      <c r="N353" s="34" t="str">
        <f aca="false">IF(F353="","",N(J353)/(1-IF(L353="",'Job Info'!$B$40,L353)))</f>
        <v/>
      </c>
      <c r="O353" s="34" t="str">
        <f aca="false">IF(F353="","",M353+N353)</f>
        <v/>
      </c>
      <c r="P353" s="34" t="str">
        <f aca="false">IF(F353="","",N(G353)*M353)</f>
        <v/>
      </c>
      <c r="Q353" s="34" t="str">
        <f aca="false">IF(F353="","",N(G353)*N353)</f>
        <v/>
      </c>
      <c r="R353" s="35" t="str">
        <f aca="false">IF(F353="","",P353+Q353)</f>
        <v/>
      </c>
      <c r="S353" s="36"/>
      <c r="T353" s="36"/>
      <c r="U353" s="34" t="str">
        <f aca="false">IF(F353="","",N(G353)*N(I353))</f>
        <v/>
      </c>
      <c r="V353" s="34" t="str">
        <f aca="false">IF(F353="","",N(G353)*N(J353))</f>
        <v/>
      </c>
      <c r="W353" s="13" t="str">
        <f aca="false">IF(F353="","",IF(B353="Excluded","",COUNTIFS($F$6:F353,"?*",$B$6:B353,"&lt;&gt;Excluded")))</f>
        <v/>
      </c>
      <c r="X353" s="34" t="str">
        <f aca="false">IF(F353="","",N(G353)*N(I353)/(1-IF(K353="",'Job Info'!$B$39,K353))*IF('Job Info'!$B$38="Yes",'Job Info'!$B$37,0))</f>
        <v/>
      </c>
    </row>
    <row r="354" customFormat="false" ht="15" hidden="false" customHeight="false" outlineLevel="0" collapsed="false">
      <c r="A354" s="13" t="str">
        <f aca="false">IF(F354="","",ROW()-5)</f>
        <v/>
      </c>
      <c r="B354" s="14"/>
      <c r="C354" s="14"/>
      <c r="D354" s="14"/>
      <c r="E354" s="14"/>
      <c r="F354" s="36"/>
      <c r="G354" s="37"/>
      <c r="H354" s="14"/>
      <c r="I354" s="38"/>
      <c r="J354" s="38"/>
      <c r="K354" s="33"/>
      <c r="L354" s="33"/>
      <c r="M354" s="34" t="str">
        <f aca="false">IF(F354="","",N(I354)/(1-IF(K354="",'Job Info'!$B$39,K354))*(1+IF('Job Info'!$B$38="Yes",'Job Info'!$B$37,0)))</f>
        <v/>
      </c>
      <c r="N354" s="34" t="str">
        <f aca="false">IF(F354="","",N(J354)/(1-IF(L354="",'Job Info'!$B$40,L354)))</f>
        <v/>
      </c>
      <c r="O354" s="34" t="str">
        <f aca="false">IF(F354="","",M354+N354)</f>
        <v/>
      </c>
      <c r="P354" s="34" t="str">
        <f aca="false">IF(F354="","",N(G354)*M354)</f>
        <v/>
      </c>
      <c r="Q354" s="34" t="str">
        <f aca="false">IF(F354="","",N(G354)*N354)</f>
        <v/>
      </c>
      <c r="R354" s="35" t="str">
        <f aca="false">IF(F354="","",P354+Q354)</f>
        <v/>
      </c>
      <c r="S354" s="36"/>
      <c r="T354" s="36"/>
      <c r="U354" s="34" t="str">
        <f aca="false">IF(F354="","",N(G354)*N(I354))</f>
        <v/>
      </c>
      <c r="V354" s="34" t="str">
        <f aca="false">IF(F354="","",N(G354)*N(J354))</f>
        <v/>
      </c>
      <c r="W354" s="13" t="str">
        <f aca="false">IF(F354="","",IF(B354="Excluded","",COUNTIFS($F$6:F354,"?*",$B$6:B354,"&lt;&gt;Excluded")))</f>
        <v/>
      </c>
      <c r="X354" s="34" t="str">
        <f aca="false">IF(F354="","",N(G354)*N(I354)/(1-IF(K354="",'Job Info'!$B$39,K354))*IF('Job Info'!$B$38="Yes",'Job Info'!$B$37,0))</f>
        <v/>
      </c>
    </row>
    <row r="355" customFormat="false" ht="15" hidden="false" customHeight="false" outlineLevel="0" collapsed="false">
      <c r="A355" s="13" t="str">
        <f aca="false">IF(F355="","",ROW()-5)</f>
        <v/>
      </c>
      <c r="B355" s="14"/>
      <c r="C355" s="14"/>
      <c r="D355" s="14"/>
      <c r="E355" s="14"/>
      <c r="F355" s="36"/>
      <c r="G355" s="37"/>
      <c r="H355" s="14"/>
      <c r="I355" s="38"/>
      <c r="J355" s="38"/>
      <c r="K355" s="33"/>
      <c r="L355" s="33"/>
      <c r="M355" s="34" t="str">
        <f aca="false">IF(F355="","",N(I355)/(1-IF(K355="",'Job Info'!$B$39,K355))*(1+IF('Job Info'!$B$38="Yes",'Job Info'!$B$37,0)))</f>
        <v/>
      </c>
      <c r="N355" s="34" t="str">
        <f aca="false">IF(F355="","",N(J355)/(1-IF(L355="",'Job Info'!$B$40,L355)))</f>
        <v/>
      </c>
      <c r="O355" s="34" t="str">
        <f aca="false">IF(F355="","",M355+N355)</f>
        <v/>
      </c>
      <c r="P355" s="34" t="str">
        <f aca="false">IF(F355="","",N(G355)*M355)</f>
        <v/>
      </c>
      <c r="Q355" s="34" t="str">
        <f aca="false">IF(F355="","",N(G355)*N355)</f>
        <v/>
      </c>
      <c r="R355" s="35" t="str">
        <f aca="false">IF(F355="","",P355+Q355)</f>
        <v/>
      </c>
      <c r="S355" s="36"/>
      <c r="T355" s="36"/>
      <c r="U355" s="34" t="str">
        <f aca="false">IF(F355="","",N(G355)*N(I355))</f>
        <v/>
      </c>
      <c r="V355" s="34" t="str">
        <f aca="false">IF(F355="","",N(G355)*N(J355))</f>
        <v/>
      </c>
      <c r="W355" s="13" t="str">
        <f aca="false">IF(F355="","",IF(B355="Excluded","",COUNTIFS($F$6:F355,"?*",$B$6:B355,"&lt;&gt;Excluded")))</f>
        <v/>
      </c>
      <c r="X355" s="34" t="str">
        <f aca="false">IF(F355="","",N(G355)*N(I355)/(1-IF(K355="",'Job Info'!$B$39,K355))*IF('Job Info'!$B$38="Yes",'Job Info'!$B$37,0))</f>
        <v/>
      </c>
    </row>
    <row r="356" customFormat="false" ht="15" hidden="false" customHeight="false" outlineLevel="0" collapsed="false">
      <c r="A356" s="13" t="str">
        <f aca="false">IF(F356="","",ROW()-5)</f>
        <v/>
      </c>
      <c r="B356" s="14"/>
      <c r="C356" s="14"/>
      <c r="D356" s="14"/>
      <c r="E356" s="14"/>
      <c r="F356" s="36"/>
      <c r="G356" s="37"/>
      <c r="H356" s="14"/>
      <c r="I356" s="38"/>
      <c r="J356" s="38"/>
      <c r="K356" s="33"/>
      <c r="L356" s="33"/>
      <c r="M356" s="34" t="str">
        <f aca="false">IF(F356="","",N(I356)/(1-IF(K356="",'Job Info'!$B$39,K356))*(1+IF('Job Info'!$B$38="Yes",'Job Info'!$B$37,0)))</f>
        <v/>
      </c>
      <c r="N356" s="34" t="str">
        <f aca="false">IF(F356="","",N(J356)/(1-IF(L356="",'Job Info'!$B$40,L356)))</f>
        <v/>
      </c>
      <c r="O356" s="34" t="str">
        <f aca="false">IF(F356="","",M356+N356)</f>
        <v/>
      </c>
      <c r="P356" s="34" t="str">
        <f aca="false">IF(F356="","",N(G356)*M356)</f>
        <v/>
      </c>
      <c r="Q356" s="34" t="str">
        <f aca="false">IF(F356="","",N(G356)*N356)</f>
        <v/>
      </c>
      <c r="R356" s="35" t="str">
        <f aca="false">IF(F356="","",P356+Q356)</f>
        <v/>
      </c>
      <c r="S356" s="36"/>
      <c r="T356" s="36"/>
      <c r="U356" s="34" t="str">
        <f aca="false">IF(F356="","",N(G356)*N(I356))</f>
        <v/>
      </c>
      <c r="V356" s="34" t="str">
        <f aca="false">IF(F356="","",N(G356)*N(J356))</f>
        <v/>
      </c>
      <c r="W356" s="13" t="str">
        <f aca="false">IF(F356="","",IF(B356="Excluded","",COUNTIFS($F$6:F356,"?*",$B$6:B356,"&lt;&gt;Excluded")))</f>
        <v/>
      </c>
      <c r="X356" s="34" t="str">
        <f aca="false">IF(F356="","",N(G356)*N(I356)/(1-IF(K356="",'Job Info'!$B$39,K356))*IF('Job Info'!$B$38="Yes",'Job Info'!$B$37,0))</f>
        <v/>
      </c>
    </row>
    <row r="357" customFormat="false" ht="15" hidden="false" customHeight="false" outlineLevel="0" collapsed="false">
      <c r="A357" s="13" t="str">
        <f aca="false">IF(F357="","",ROW()-5)</f>
        <v/>
      </c>
      <c r="B357" s="14"/>
      <c r="C357" s="14"/>
      <c r="D357" s="14"/>
      <c r="E357" s="14"/>
      <c r="F357" s="36"/>
      <c r="G357" s="37"/>
      <c r="H357" s="14"/>
      <c r="I357" s="38"/>
      <c r="J357" s="38"/>
      <c r="K357" s="33"/>
      <c r="L357" s="33"/>
      <c r="M357" s="34" t="str">
        <f aca="false">IF(F357="","",N(I357)/(1-IF(K357="",'Job Info'!$B$39,K357))*(1+IF('Job Info'!$B$38="Yes",'Job Info'!$B$37,0)))</f>
        <v/>
      </c>
      <c r="N357" s="34" t="str">
        <f aca="false">IF(F357="","",N(J357)/(1-IF(L357="",'Job Info'!$B$40,L357)))</f>
        <v/>
      </c>
      <c r="O357" s="34" t="str">
        <f aca="false">IF(F357="","",M357+N357)</f>
        <v/>
      </c>
      <c r="P357" s="34" t="str">
        <f aca="false">IF(F357="","",N(G357)*M357)</f>
        <v/>
      </c>
      <c r="Q357" s="34" t="str">
        <f aca="false">IF(F357="","",N(G357)*N357)</f>
        <v/>
      </c>
      <c r="R357" s="35" t="str">
        <f aca="false">IF(F357="","",P357+Q357)</f>
        <v/>
      </c>
      <c r="S357" s="36"/>
      <c r="T357" s="36"/>
      <c r="U357" s="34" t="str">
        <f aca="false">IF(F357="","",N(G357)*N(I357))</f>
        <v/>
      </c>
      <c r="V357" s="34" t="str">
        <f aca="false">IF(F357="","",N(G357)*N(J357))</f>
        <v/>
      </c>
      <c r="W357" s="13" t="str">
        <f aca="false">IF(F357="","",IF(B357="Excluded","",COUNTIFS($F$6:F357,"?*",$B$6:B357,"&lt;&gt;Excluded")))</f>
        <v/>
      </c>
      <c r="X357" s="34" t="str">
        <f aca="false">IF(F357="","",N(G357)*N(I357)/(1-IF(K357="",'Job Info'!$B$39,K357))*IF('Job Info'!$B$38="Yes",'Job Info'!$B$37,0))</f>
        <v/>
      </c>
    </row>
    <row r="358" customFormat="false" ht="15" hidden="false" customHeight="false" outlineLevel="0" collapsed="false">
      <c r="A358" s="13" t="str">
        <f aca="false">IF(F358="","",ROW()-5)</f>
        <v/>
      </c>
      <c r="B358" s="14"/>
      <c r="C358" s="14"/>
      <c r="D358" s="14"/>
      <c r="E358" s="14"/>
      <c r="F358" s="36"/>
      <c r="G358" s="37"/>
      <c r="H358" s="14"/>
      <c r="I358" s="38"/>
      <c r="J358" s="38"/>
      <c r="K358" s="33"/>
      <c r="L358" s="33"/>
      <c r="M358" s="34" t="str">
        <f aca="false">IF(F358="","",N(I358)/(1-IF(K358="",'Job Info'!$B$39,K358))*(1+IF('Job Info'!$B$38="Yes",'Job Info'!$B$37,0)))</f>
        <v/>
      </c>
      <c r="N358" s="34" t="str">
        <f aca="false">IF(F358="","",N(J358)/(1-IF(L358="",'Job Info'!$B$40,L358)))</f>
        <v/>
      </c>
      <c r="O358" s="34" t="str">
        <f aca="false">IF(F358="","",M358+N358)</f>
        <v/>
      </c>
      <c r="P358" s="34" t="str">
        <f aca="false">IF(F358="","",N(G358)*M358)</f>
        <v/>
      </c>
      <c r="Q358" s="34" t="str">
        <f aca="false">IF(F358="","",N(G358)*N358)</f>
        <v/>
      </c>
      <c r="R358" s="35" t="str">
        <f aca="false">IF(F358="","",P358+Q358)</f>
        <v/>
      </c>
      <c r="S358" s="36"/>
      <c r="T358" s="36"/>
      <c r="U358" s="34" t="str">
        <f aca="false">IF(F358="","",N(G358)*N(I358))</f>
        <v/>
      </c>
      <c r="V358" s="34" t="str">
        <f aca="false">IF(F358="","",N(G358)*N(J358))</f>
        <v/>
      </c>
      <c r="W358" s="13" t="str">
        <f aca="false">IF(F358="","",IF(B358="Excluded","",COUNTIFS($F$6:F358,"?*",$B$6:B358,"&lt;&gt;Excluded")))</f>
        <v/>
      </c>
      <c r="X358" s="34" t="str">
        <f aca="false">IF(F358="","",N(G358)*N(I358)/(1-IF(K358="",'Job Info'!$B$39,K358))*IF('Job Info'!$B$38="Yes",'Job Info'!$B$37,0))</f>
        <v/>
      </c>
    </row>
    <row r="359" customFormat="false" ht="15" hidden="false" customHeight="false" outlineLevel="0" collapsed="false">
      <c r="A359" s="13" t="str">
        <f aca="false">IF(F359="","",ROW()-5)</f>
        <v/>
      </c>
      <c r="B359" s="14"/>
      <c r="C359" s="14"/>
      <c r="D359" s="14"/>
      <c r="E359" s="14"/>
      <c r="F359" s="36"/>
      <c r="G359" s="37"/>
      <c r="H359" s="14"/>
      <c r="I359" s="38"/>
      <c r="J359" s="38"/>
      <c r="K359" s="33"/>
      <c r="L359" s="33"/>
      <c r="M359" s="34" t="str">
        <f aca="false">IF(F359="","",N(I359)/(1-IF(K359="",'Job Info'!$B$39,K359))*(1+IF('Job Info'!$B$38="Yes",'Job Info'!$B$37,0)))</f>
        <v/>
      </c>
      <c r="N359" s="34" t="str">
        <f aca="false">IF(F359="","",N(J359)/(1-IF(L359="",'Job Info'!$B$40,L359)))</f>
        <v/>
      </c>
      <c r="O359" s="34" t="str">
        <f aca="false">IF(F359="","",M359+N359)</f>
        <v/>
      </c>
      <c r="P359" s="34" t="str">
        <f aca="false">IF(F359="","",N(G359)*M359)</f>
        <v/>
      </c>
      <c r="Q359" s="34" t="str">
        <f aca="false">IF(F359="","",N(G359)*N359)</f>
        <v/>
      </c>
      <c r="R359" s="35" t="str">
        <f aca="false">IF(F359="","",P359+Q359)</f>
        <v/>
      </c>
      <c r="S359" s="36"/>
      <c r="T359" s="36"/>
      <c r="U359" s="34" t="str">
        <f aca="false">IF(F359="","",N(G359)*N(I359))</f>
        <v/>
      </c>
      <c r="V359" s="34" t="str">
        <f aca="false">IF(F359="","",N(G359)*N(J359))</f>
        <v/>
      </c>
      <c r="W359" s="13" t="str">
        <f aca="false">IF(F359="","",IF(B359="Excluded","",COUNTIFS($F$6:F359,"?*",$B$6:B359,"&lt;&gt;Excluded")))</f>
        <v/>
      </c>
      <c r="X359" s="34" t="str">
        <f aca="false">IF(F359="","",N(G359)*N(I359)/(1-IF(K359="",'Job Info'!$B$39,K359))*IF('Job Info'!$B$38="Yes",'Job Info'!$B$37,0))</f>
        <v/>
      </c>
    </row>
    <row r="360" customFormat="false" ht="15" hidden="false" customHeight="false" outlineLevel="0" collapsed="false">
      <c r="A360" s="13" t="str">
        <f aca="false">IF(F360="","",ROW()-5)</f>
        <v/>
      </c>
      <c r="B360" s="14"/>
      <c r="C360" s="14"/>
      <c r="D360" s="14"/>
      <c r="E360" s="14"/>
      <c r="F360" s="36"/>
      <c r="G360" s="37"/>
      <c r="H360" s="14"/>
      <c r="I360" s="38"/>
      <c r="J360" s="38"/>
      <c r="K360" s="33"/>
      <c r="L360" s="33"/>
      <c r="M360" s="34" t="str">
        <f aca="false">IF(F360="","",N(I360)/(1-IF(K360="",'Job Info'!$B$39,K360))*(1+IF('Job Info'!$B$38="Yes",'Job Info'!$B$37,0)))</f>
        <v/>
      </c>
      <c r="N360" s="34" t="str">
        <f aca="false">IF(F360="","",N(J360)/(1-IF(L360="",'Job Info'!$B$40,L360)))</f>
        <v/>
      </c>
      <c r="O360" s="34" t="str">
        <f aca="false">IF(F360="","",M360+N360)</f>
        <v/>
      </c>
      <c r="P360" s="34" t="str">
        <f aca="false">IF(F360="","",N(G360)*M360)</f>
        <v/>
      </c>
      <c r="Q360" s="34" t="str">
        <f aca="false">IF(F360="","",N(G360)*N360)</f>
        <v/>
      </c>
      <c r="R360" s="35" t="str">
        <f aca="false">IF(F360="","",P360+Q360)</f>
        <v/>
      </c>
      <c r="S360" s="36"/>
      <c r="T360" s="36"/>
      <c r="U360" s="34" t="str">
        <f aca="false">IF(F360="","",N(G360)*N(I360))</f>
        <v/>
      </c>
      <c r="V360" s="34" t="str">
        <f aca="false">IF(F360="","",N(G360)*N(J360))</f>
        <v/>
      </c>
      <c r="W360" s="13" t="str">
        <f aca="false">IF(F360="","",IF(B360="Excluded","",COUNTIFS($F$6:F360,"?*",$B$6:B360,"&lt;&gt;Excluded")))</f>
        <v/>
      </c>
      <c r="X360" s="34" t="str">
        <f aca="false">IF(F360="","",N(G360)*N(I360)/(1-IF(K360="",'Job Info'!$B$39,K360))*IF('Job Info'!$B$38="Yes",'Job Info'!$B$37,0))</f>
        <v/>
      </c>
    </row>
    <row r="361" customFormat="false" ht="15" hidden="false" customHeight="false" outlineLevel="0" collapsed="false">
      <c r="A361" s="13" t="str">
        <f aca="false">IF(F361="","",ROW()-5)</f>
        <v/>
      </c>
      <c r="B361" s="14"/>
      <c r="C361" s="14"/>
      <c r="D361" s="14"/>
      <c r="E361" s="14"/>
      <c r="F361" s="36"/>
      <c r="G361" s="37"/>
      <c r="H361" s="14"/>
      <c r="I361" s="38"/>
      <c r="J361" s="38"/>
      <c r="K361" s="33"/>
      <c r="L361" s="33"/>
      <c r="M361" s="34" t="str">
        <f aca="false">IF(F361="","",N(I361)/(1-IF(K361="",'Job Info'!$B$39,K361))*(1+IF('Job Info'!$B$38="Yes",'Job Info'!$B$37,0)))</f>
        <v/>
      </c>
      <c r="N361" s="34" t="str">
        <f aca="false">IF(F361="","",N(J361)/(1-IF(L361="",'Job Info'!$B$40,L361)))</f>
        <v/>
      </c>
      <c r="O361" s="34" t="str">
        <f aca="false">IF(F361="","",M361+N361)</f>
        <v/>
      </c>
      <c r="P361" s="34" t="str">
        <f aca="false">IF(F361="","",N(G361)*M361)</f>
        <v/>
      </c>
      <c r="Q361" s="34" t="str">
        <f aca="false">IF(F361="","",N(G361)*N361)</f>
        <v/>
      </c>
      <c r="R361" s="35" t="str">
        <f aca="false">IF(F361="","",P361+Q361)</f>
        <v/>
      </c>
      <c r="S361" s="36"/>
      <c r="T361" s="36"/>
      <c r="U361" s="34" t="str">
        <f aca="false">IF(F361="","",N(G361)*N(I361))</f>
        <v/>
      </c>
      <c r="V361" s="34" t="str">
        <f aca="false">IF(F361="","",N(G361)*N(J361))</f>
        <v/>
      </c>
      <c r="W361" s="13" t="str">
        <f aca="false">IF(F361="","",IF(B361="Excluded","",COUNTIFS($F$6:F361,"?*",$B$6:B361,"&lt;&gt;Excluded")))</f>
        <v/>
      </c>
      <c r="X361" s="34" t="str">
        <f aca="false">IF(F361="","",N(G361)*N(I361)/(1-IF(K361="",'Job Info'!$B$39,K361))*IF('Job Info'!$B$38="Yes",'Job Info'!$B$37,0))</f>
        <v/>
      </c>
    </row>
    <row r="362" customFormat="false" ht="15" hidden="false" customHeight="false" outlineLevel="0" collapsed="false">
      <c r="A362" s="13" t="str">
        <f aca="false">IF(F362="","",ROW()-5)</f>
        <v/>
      </c>
      <c r="B362" s="14"/>
      <c r="C362" s="14"/>
      <c r="D362" s="14"/>
      <c r="E362" s="14"/>
      <c r="F362" s="36"/>
      <c r="G362" s="37"/>
      <c r="H362" s="14"/>
      <c r="I362" s="38"/>
      <c r="J362" s="38"/>
      <c r="K362" s="33"/>
      <c r="L362" s="33"/>
      <c r="M362" s="34" t="str">
        <f aca="false">IF(F362="","",N(I362)/(1-IF(K362="",'Job Info'!$B$39,K362))*(1+IF('Job Info'!$B$38="Yes",'Job Info'!$B$37,0)))</f>
        <v/>
      </c>
      <c r="N362" s="34" t="str">
        <f aca="false">IF(F362="","",N(J362)/(1-IF(L362="",'Job Info'!$B$40,L362)))</f>
        <v/>
      </c>
      <c r="O362" s="34" t="str">
        <f aca="false">IF(F362="","",M362+N362)</f>
        <v/>
      </c>
      <c r="P362" s="34" t="str">
        <f aca="false">IF(F362="","",N(G362)*M362)</f>
        <v/>
      </c>
      <c r="Q362" s="34" t="str">
        <f aca="false">IF(F362="","",N(G362)*N362)</f>
        <v/>
      </c>
      <c r="R362" s="35" t="str">
        <f aca="false">IF(F362="","",P362+Q362)</f>
        <v/>
      </c>
      <c r="S362" s="36"/>
      <c r="T362" s="36"/>
      <c r="U362" s="34" t="str">
        <f aca="false">IF(F362="","",N(G362)*N(I362))</f>
        <v/>
      </c>
      <c r="V362" s="34" t="str">
        <f aca="false">IF(F362="","",N(G362)*N(J362))</f>
        <v/>
      </c>
      <c r="W362" s="13" t="str">
        <f aca="false">IF(F362="","",IF(B362="Excluded","",COUNTIFS($F$6:F362,"?*",$B$6:B362,"&lt;&gt;Excluded")))</f>
        <v/>
      </c>
      <c r="X362" s="34" t="str">
        <f aca="false">IF(F362="","",N(G362)*N(I362)/(1-IF(K362="",'Job Info'!$B$39,K362))*IF('Job Info'!$B$38="Yes",'Job Info'!$B$37,0))</f>
        <v/>
      </c>
    </row>
    <row r="363" customFormat="false" ht="15" hidden="false" customHeight="false" outlineLevel="0" collapsed="false">
      <c r="A363" s="13" t="str">
        <f aca="false">IF(F363="","",ROW()-5)</f>
        <v/>
      </c>
      <c r="B363" s="14"/>
      <c r="C363" s="14"/>
      <c r="D363" s="14"/>
      <c r="E363" s="14"/>
      <c r="F363" s="36"/>
      <c r="G363" s="37"/>
      <c r="H363" s="14"/>
      <c r="I363" s="38"/>
      <c r="J363" s="38"/>
      <c r="K363" s="33"/>
      <c r="L363" s="33"/>
      <c r="M363" s="34" t="str">
        <f aca="false">IF(F363="","",N(I363)/(1-IF(K363="",'Job Info'!$B$39,K363))*(1+IF('Job Info'!$B$38="Yes",'Job Info'!$B$37,0)))</f>
        <v/>
      </c>
      <c r="N363" s="34" t="str">
        <f aca="false">IF(F363="","",N(J363)/(1-IF(L363="",'Job Info'!$B$40,L363)))</f>
        <v/>
      </c>
      <c r="O363" s="34" t="str">
        <f aca="false">IF(F363="","",M363+N363)</f>
        <v/>
      </c>
      <c r="P363" s="34" t="str">
        <f aca="false">IF(F363="","",N(G363)*M363)</f>
        <v/>
      </c>
      <c r="Q363" s="34" t="str">
        <f aca="false">IF(F363="","",N(G363)*N363)</f>
        <v/>
      </c>
      <c r="R363" s="35" t="str">
        <f aca="false">IF(F363="","",P363+Q363)</f>
        <v/>
      </c>
      <c r="S363" s="36"/>
      <c r="T363" s="36"/>
      <c r="U363" s="34" t="str">
        <f aca="false">IF(F363="","",N(G363)*N(I363))</f>
        <v/>
      </c>
      <c r="V363" s="34" t="str">
        <f aca="false">IF(F363="","",N(G363)*N(J363))</f>
        <v/>
      </c>
      <c r="W363" s="13" t="str">
        <f aca="false">IF(F363="","",IF(B363="Excluded","",COUNTIFS($F$6:F363,"?*",$B$6:B363,"&lt;&gt;Excluded")))</f>
        <v/>
      </c>
      <c r="X363" s="34" t="str">
        <f aca="false">IF(F363="","",N(G363)*N(I363)/(1-IF(K363="",'Job Info'!$B$39,K363))*IF('Job Info'!$B$38="Yes",'Job Info'!$B$37,0))</f>
        <v/>
      </c>
    </row>
    <row r="364" customFormat="false" ht="15" hidden="false" customHeight="false" outlineLevel="0" collapsed="false">
      <c r="A364" s="13" t="str">
        <f aca="false">IF(F364="","",ROW()-5)</f>
        <v/>
      </c>
      <c r="B364" s="14"/>
      <c r="C364" s="14"/>
      <c r="D364" s="14"/>
      <c r="E364" s="14"/>
      <c r="F364" s="36"/>
      <c r="G364" s="37"/>
      <c r="H364" s="14"/>
      <c r="I364" s="38"/>
      <c r="J364" s="38"/>
      <c r="K364" s="33"/>
      <c r="L364" s="33"/>
      <c r="M364" s="34" t="str">
        <f aca="false">IF(F364="","",N(I364)/(1-IF(K364="",'Job Info'!$B$39,K364))*(1+IF('Job Info'!$B$38="Yes",'Job Info'!$B$37,0)))</f>
        <v/>
      </c>
      <c r="N364" s="34" t="str">
        <f aca="false">IF(F364="","",N(J364)/(1-IF(L364="",'Job Info'!$B$40,L364)))</f>
        <v/>
      </c>
      <c r="O364" s="34" t="str">
        <f aca="false">IF(F364="","",M364+N364)</f>
        <v/>
      </c>
      <c r="P364" s="34" t="str">
        <f aca="false">IF(F364="","",N(G364)*M364)</f>
        <v/>
      </c>
      <c r="Q364" s="34" t="str">
        <f aca="false">IF(F364="","",N(G364)*N364)</f>
        <v/>
      </c>
      <c r="R364" s="35" t="str">
        <f aca="false">IF(F364="","",P364+Q364)</f>
        <v/>
      </c>
      <c r="S364" s="36"/>
      <c r="T364" s="36"/>
      <c r="U364" s="34" t="str">
        <f aca="false">IF(F364="","",N(G364)*N(I364))</f>
        <v/>
      </c>
      <c r="V364" s="34" t="str">
        <f aca="false">IF(F364="","",N(G364)*N(J364))</f>
        <v/>
      </c>
      <c r="W364" s="13" t="str">
        <f aca="false">IF(F364="","",IF(B364="Excluded","",COUNTIFS($F$6:F364,"?*",$B$6:B364,"&lt;&gt;Excluded")))</f>
        <v/>
      </c>
      <c r="X364" s="34" t="str">
        <f aca="false">IF(F364="","",N(G364)*N(I364)/(1-IF(K364="",'Job Info'!$B$39,K364))*IF('Job Info'!$B$38="Yes",'Job Info'!$B$37,0))</f>
        <v/>
      </c>
    </row>
    <row r="365" customFormat="false" ht="15" hidden="false" customHeight="false" outlineLevel="0" collapsed="false">
      <c r="A365" s="13" t="str">
        <f aca="false">IF(F365="","",ROW()-5)</f>
        <v/>
      </c>
      <c r="B365" s="14"/>
      <c r="C365" s="14"/>
      <c r="D365" s="14"/>
      <c r="E365" s="14"/>
      <c r="F365" s="36"/>
      <c r="G365" s="37"/>
      <c r="H365" s="14"/>
      <c r="I365" s="38"/>
      <c r="J365" s="38"/>
      <c r="K365" s="33"/>
      <c r="L365" s="33"/>
      <c r="M365" s="34" t="str">
        <f aca="false">IF(F365="","",N(I365)/(1-IF(K365="",'Job Info'!$B$39,K365))*(1+IF('Job Info'!$B$38="Yes",'Job Info'!$B$37,0)))</f>
        <v/>
      </c>
      <c r="N365" s="34" t="str">
        <f aca="false">IF(F365="","",N(J365)/(1-IF(L365="",'Job Info'!$B$40,L365)))</f>
        <v/>
      </c>
      <c r="O365" s="34" t="str">
        <f aca="false">IF(F365="","",M365+N365)</f>
        <v/>
      </c>
      <c r="P365" s="34" t="str">
        <f aca="false">IF(F365="","",N(G365)*M365)</f>
        <v/>
      </c>
      <c r="Q365" s="34" t="str">
        <f aca="false">IF(F365="","",N(G365)*N365)</f>
        <v/>
      </c>
      <c r="R365" s="35" t="str">
        <f aca="false">IF(F365="","",P365+Q365)</f>
        <v/>
      </c>
      <c r="S365" s="36"/>
      <c r="T365" s="36"/>
      <c r="U365" s="34" t="str">
        <f aca="false">IF(F365="","",N(G365)*N(I365))</f>
        <v/>
      </c>
      <c r="V365" s="34" t="str">
        <f aca="false">IF(F365="","",N(G365)*N(J365))</f>
        <v/>
      </c>
      <c r="W365" s="13" t="str">
        <f aca="false">IF(F365="","",IF(B365="Excluded","",COUNTIFS($F$6:F365,"?*",$B$6:B365,"&lt;&gt;Excluded")))</f>
        <v/>
      </c>
      <c r="X365" s="34" t="str">
        <f aca="false">IF(F365="","",N(G365)*N(I365)/(1-IF(K365="",'Job Info'!$B$39,K365))*IF('Job Info'!$B$38="Yes",'Job Info'!$B$37,0))</f>
        <v/>
      </c>
    </row>
    <row r="366" customFormat="false" ht="15" hidden="false" customHeight="false" outlineLevel="0" collapsed="false">
      <c r="A366" s="13" t="str">
        <f aca="false">IF(F366="","",ROW()-5)</f>
        <v/>
      </c>
      <c r="B366" s="14"/>
      <c r="C366" s="14"/>
      <c r="D366" s="14"/>
      <c r="E366" s="14"/>
      <c r="F366" s="36"/>
      <c r="G366" s="37"/>
      <c r="H366" s="14"/>
      <c r="I366" s="38"/>
      <c r="J366" s="38"/>
      <c r="K366" s="33"/>
      <c r="L366" s="33"/>
      <c r="M366" s="34" t="str">
        <f aca="false">IF(F366="","",N(I366)/(1-IF(K366="",'Job Info'!$B$39,K366))*(1+IF('Job Info'!$B$38="Yes",'Job Info'!$B$37,0)))</f>
        <v/>
      </c>
      <c r="N366" s="34" t="str">
        <f aca="false">IF(F366="","",N(J366)/(1-IF(L366="",'Job Info'!$B$40,L366)))</f>
        <v/>
      </c>
      <c r="O366" s="34" t="str">
        <f aca="false">IF(F366="","",M366+N366)</f>
        <v/>
      </c>
      <c r="P366" s="34" t="str">
        <f aca="false">IF(F366="","",N(G366)*M366)</f>
        <v/>
      </c>
      <c r="Q366" s="34" t="str">
        <f aca="false">IF(F366="","",N(G366)*N366)</f>
        <v/>
      </c>
      <c r="R366" s="35" t="str">
        <f aca="false">IF(F366="","",P366+Q366)</f>
        <v/>
      </c>
      <c r="S366" s="36"/>
      <c r="T366" s="36"/>
      <c r="U366" s="34" t="str">
        <f aca="false">IF(F366="","",N(G366)*N(I366))</f>
        <v/>
      </c>
      <c r="V366" s="34" t="str">
        <f aca="false">IF(F366="","",N(G366)*N(J366))</f>
        <v/>
      </c>
      <c r="W366" s="13" t="str">
        <f aca="false">IF(F366="","",IF(B366="Excluded","",COUNTIFS($F$6:F366,"?*",$B$6:B366,"&lt;&gt;Excluded")))</f>
        <v/>
      </c>
      <c r="X366" s="34" t="str">
        <f aca="false">IF(F366="","",N(G366)*N(I366)/(1-IF(K366="",'Job Info'!$B$39,K366))*IF('Job Info'!$B$38="Yes",'Job Info'!$B$37,0))</f>
        <v/>
      </c>
    </row>
    <row r="367" customFormat="false" ht="15" hidden="false" customHeight="false" outlineLevel="0" collapsed="false">
      <c r="A367" s="13" t="str">
        <f aca="false">IF(F367="","",ROW()-5)</f>
        <v/>
      </c>
      <c r="B367" s="14"/>
      <c r="C367" s="14"/>
      <c r="D367" s="14"/>
      <c r="E367" s="14"/>
      <c r="F367" s="36"/>
      <c r="G367" s="37"/>
      <c r="H367" s="14"/>
      <c r="I367" s="38"/>
      <c r="J367" s="38"/>
      <c r="K367" s="33"/>
      <c r="L367" s="33"/>
      <c r="M367" s="34" t="str">
        <f aca="false">IF(F367="","",N(I367)/(1-IF(K367="",'Job Info'!$B$39,K367))*(1+IF('Job Info'!$B$38="Yes",'Job Info'!$B$37,0)))</f>
        <v/>
      </c>
      <c r="N367" s="34" t="str">
        <f aca="false">IF(F367="","",N(J367)/(1-IF(L367="",'Job Info'!$B$40,L367)))</f>
        <v/>
      </c>
      <c r="O367" s="34" t="str">
        <f aca="false">IF(F367="","",M367+N367)</f>
        <v/>
      </c>
      <c r="P367" s="34" t="str">
        <f aca="false">IF(F367="","",N(G367)*M367)</f>
        <v/>
      </c>
      <c r="Q367" s="34" t="str">
        <f aca="false">IF(F367="","",N(G367)*N367)</f>
        <v/>
      </c>
      <c r="R367" s="35" t="str">
        <f aca="false">IF(F367="","",P367+Q367)</f>
        <v/>
      </c>
      <c r="S367" s="36"/>
      <c r="T367" s="36"/>
      <c r="U367" s="34" t="str">
        <f aca="false">IF(F367="","",N(G367)*N(I367))</f>
        <v/>
      </c>
      <c r="V367" s="34" t="str">
        <f aca="false">IF(F367="","",N(G367)*N(J367))</f>
        <v/>
      </c>
      <c r="W367" s="13" t="str">
        <f aca="false">IF(F367="","",IF(B367="Excluded","",COUNTIFS($F$6:F367,"?*",$B$6:B367,"&lt;&gt;Excluded")))</f>
        <v/>
      </c>
      <c r="X367" s="34" t="str">
        <f aca="false">IF(F367="","",N(G367)*N(I367)/(1-IF(K367="",'Job Info'!$B$39,K367))*IF('Job Info'!$B$38="Yes",'Job Info'!$B$37,0))</f>
        <v/>
      </c>
    </row>
    <row r="368" customFormat="false" ht="15" hidden="false" customHeight="false" outlineLevel="0" collapsed="false">
      <c r="A368" s="13" t="str">
        <f aca="false">IF(F368="","",ROW()-5)</f>
        <v/>
      </c>
      <c r="B368" s="14"/>
      <c r="C368" s="14"/>
      <c r="D368" s="14"/>
      <c r="E368" s="14"/>
      <c r="F368" s="36"/>
      <c r="G368" s="37"/>
      <c r="H368" s="14"/>
      <c r="I368" s="38"/>
      <c r="J368" s="38"/>
      <c r="K368" s="33"/>
      <c r="L368" s="33"/>
      <c r="M368" s="34" t="str">
        <f aca="false">IF(F368="","",N(I368)/(1-IF(K368="",'Job Info'!$B$39,K368))*(1+IF('Job Info'!$B$38="Yes",'Job Info'!$B$37,0)))</f>
        <v/>
      </c>
      <c r="N368" s="34" t="str">
        <f aca="false">IF(F368="","",N(J368)/(1-IF(L368="",'Job Info'!$B$40,L368)))</f>
        <v/>
      </c>
      <c r="O368" s="34" t="str">
        <f aca="false">IF(F368="","",M368+N368)</f>
        <v/>
      </c>
      <c r="P368" s="34" t="str">
        <f aca="false">IF(F368="","",N(G368)*M368)</f>
        <v/>
      </c>
      <c r="Q368" s="34" t="str">
        <f aca="false">IF(F368="","",N(G368)*N368)</f>
        <v/>
      </c>
      <c r="R368" s="35" t="str">
        <f aca="false">IF(F368="","",P368+Q368)</f>
        <v/>
      </c>
      <c r="S368" s="36"/>
      <c r="T368" s="36"/>
      <c r="U368" s="34" t="str">
        <f aca="false">IF(F368="","",N(G368)*N(I368))</f>
        <v/>
      </c>
      <c r="V368" s="34" t="str">
        <f aca="false">IF(F368="","",N(G368)*N(J368))</f>
        <v/>
      </c>
      <c r="W368" s="13" t="str">
        <f aca="false">IF(F368="","",IF(B368="Excluded","",COUNTIFS($F$6:F368,"?*",$B$6:B368,"&lt;&gt;Excluded")))</f>
        <v/>
      </c>
      <c r="X368" s="34" t="str">
        <f aca="false">IF(F368="","",N(G368)*N(I368)/(1-IF(K368="",'Job Info'!$B$39,K368))*IF('Job Info'!$B$38="Yes",'Job Info'!$B$37,0))</f>
        <v/>
      </c>
    </row>
    <row r="369" customFormat="false" ht="15" hidden="false" customHeight="false" outlineLevel="0" collapsed="false">
      <c r="A369" s="13" t="str">
        <f aca="false">IF(F369="","",ROW()-5)</f>
        <v/>
      </c>
      <c r="B369" s="14"/>
      <c r="C369" s="14"/>
      <c r="D369" s="14"/>
      <c r="E369" s="14"/>
      <c r="F369" s="36"/>
      <c r="G369" s="37"/>
      <c r="H369" s="14"/>
      <c r="I369" s="38"/>
      <c r="J369" s="38"/>
      <c r="K369" s="33"/>
      <c r="L369" s="33"/>
      <c r="M369" s="34" t="str">
        <f aca="false">IF(F369="","",N(I369)/(1-IF(K369="",'Job Info'!$B$39,K369))*(1+IF('Job Info'!$B$38="Yes",'Job Info'!$B$37,0)))</f>
        <v/>
      </c>
      <c r="N369" s="34" t="str">
        <f aca="false">IF(F369="","",N(J369)/(1-IF(L369="",'Job Info'!$B$40,L369)))</f>
        <v/>
      </c>
      <c r="O369" s="34" t="str">
        <f aca="false">IF(F369="","",M369+N369)</f>
        <v/>
      </c>
      <c r="P369" s="34" t="str">
        <f aca="false">IF(F369="","",N(G369)*M369)</f>
        <v/>
      </c>
      <c r="Q369" s="34" t="str">
        <f aca="false">IF(F369="","",N(G369)*N369)</f>
        <v/>
      </c>
      <c r="R369" s="35" t="str">
        <f aca="false">IF(F369="","",P369+Q369)</f>
        <v/>
      </c>
      <c r="S369" s="36"/>
      <c r="T369" s="36"/>
      <c r="U369" s="34" t="str">
        <f aca="false">IF(F369="","",N(G369)*N(I369))</f>
        <v/>
      </c>
      <c r="V369" s="34" t="str">
        <f aca="false">IF(F369="","",N(G369)*N(J369))</f>
        <v/>
      </c>
      <c r="W369" s="13" t="str">
        <f aca="false">IF(F369="","",IF(B369="Excluded","",COUNTIFS($F$6:F369,"?*",$B$6:B369,"&lt;&gt;Excluded")))</f>
        <v/>
      </c>
      <c r="X369" s="34" t="str">
        <f aca="false">IF(F369="","",N(G369)*N(I369)/(1-IF(K369="",'Job Info'!$B$39,K369))*IF('Job Info'!$B$38="Yes",'Job Info'!$B$37,0))</f>
        <v/>
      </c>
    </row>
    <row r="370" customFormat="false" ht="15" hidden="false" customHeight="false" outlineLevel="0" collapsed="false">
      <c r="A370" s="13" t="str">
        <f aca="false">IF(F370="","",ROW()-5)</f>
        <v/>
      </c>
      <c r="B370" s="14"/>
      <c r="C370" s="14"/>
      <c r="D370" s="14"/>
      <c r="E370" s="14"/>
      <c r="F370" s="36"/>
      <c r="G370" s="37"/>
      <c r="H370" s="14"/>
      <c r="I370" s="38"/>
      <c r="J370" s="38"/>
      <c r="K370" s="33"/>
      <c r="L370" s="33"/>
      <c r="M370" s="34" t="str">
        <f aca="false">IF(F370="","",N(I370)/(1-IF(K370="",'Job Info'!$B$39,K370))*(1+IF('Job Info'!$B$38="Yes",'Job Info'!$B$37,0)))</f>
        <v/>
      </c>
      <c r="N370" s="34" t="str">
        <f aca="false">IF(F370="","",N(J370)/(1-IF(L370="",'Job Info'!$B$40,L370)))</f>
        <v/>
      </c>
      <c r="O370" s="34" t="str">
        <f aca="false">IF(F370="","",M370+N370)</f>
        <v/>
      </c>
      <c r="P370" s="34" t="str">
        <f aca="false">IF(F370="","",N(G370)*M370)</f>
        <v/>
      </c>
      <c r="Q370" s="34" t="str">
        <f aca="false">IF(F370="","",N(G370)*N370)</f>
        <v/>
      </c>
      <c r="R370" s="35" t="str">
        <f aca="false">IF(F370="","",P370+Q370)</f>
        <v/>
      </c>
      <c r="S370" s="36"/>
      <c r="T370" s="36"/>
      <c r="U370" s="34" t="str">
        <f aca="false">IF(F370="","",N(G370)*N(I370))</f>
        <v/>
      </c>
      <c r="V370" s="34" t="str">
        <f aca="false">IF(F370="","",N(G370)*N(J370))</f>
        <v/>
      </c>
      <c r="W370" s="13" t="str">
        <f aca="false">IF(F370="","",IF(B370="Excluded","",COUNTIFS($F$6:F370,"?*",$B$6:B370,"&lt;&gt;Excluded")))</f>
        <v/>
      </c>
      <c r="X370" s="34" t="str">
        <f aca="false">IF(F370="","",N(G370)*N(I370)/(1-IF(K370="",'Job Info'!$B$39,K370))*IF('Job Info'!$B$38="Yes",'Job Info'!$B$37,0))</f>
        <v/>
      </c>
    </row>
    <row r="371" customFormat="false" ht="15" hidden="false" customHeight="false" outlineLevel="0" collapsed="false">
      <c r="A371" s="13" t="str">
        <f aca="false">IF(F371="","",ROW()-5)</f>
        <v/>
      </c>
      <c r="B371" s="14"/>
      <c r="C371" s="14"/>
      <c r="D371" s="14"/>
      <c r="E371" s="14"/>
      <c r="F371" s="36"/>
      <c r="G371" s="37"/>
      <c r="H371" s="14"/>
      <c r="I371" s="38"/>
      <c r="J371" s="38"/>
      <c r="K371" s="33"/>
      <c r="L371" s="33"/>
      <c r="M371" s="34" t="str">
        <f aca="false">IF(F371="","",N(I371)/(1-IF(K371="",'Job Info'!$B$39,K371))*(1+IF('Job Info'!$B$38="Yes",'Job Info'!$B$37,0)))</f>
        <v/>
      </c>
      <c r="N371" s="34" t="str">
        <f aca="false">IF(F371="","",N(J371)/(1-IF(L371="",'Job Info'!$B$40,L371)))</f>
        <v/>
      </c>
      <c r="O371" s="34" t="str">
        <f aca="false">IF(F371="","",M371+N371)</f>
        <v/>
      </c>
      <c r="P371" s="34" t="str">
        <f aca="false">IF(F371="","",N(G371)*M371)</f>
        <v/>
      </c>
      <c r="Q371" s="34" t="str">
        <f aca="false">IF(F371="","",N(G371)*N371)</f>
        <v/>
      </c>
      <c r="R371" s="35" t="str">
        <f aca="false">IF(F371="","",P371+Q371)</f>
        <v/>
      </c>
      <c r="S371" s="36"/>
      <c r="T371" s="36"/>
      <c r="U371" s="34" t="str">
        <f aca="false">IF(F371="","",N(G371)*N(I371))</f>
        <v/>
      </c>
      <c r="V371" s="34" t="str">
        <f aca="false">IF(F371="","",N(G371)*N(J371))</f>
        <v/>
      </c>
      <c r="W371" s="13" t="str">
        <f aca="false">IF(F371="","",IF(B371="Excluded","",COUNTIFS($F$6:F371,"?*",$B$6:B371,"&lt;&gt;Excluded")))</f>
        <v/>
      </c>
      <c r="X371" s="34" t="str">
        <f aca="false">IF(F371="","",N(G371)*N(I371)/(1-IF(K371="",'Job Info'!$B$39,K371))*IF('Job Info'!$B$38="Yes",'Job Info'!$B$37,0))</f>
        <v/>
      </c>
    </row>
    <row r="372" customFormat="false" ht="15" hidden="false" customHeight="false" outlineLevel="0" collapsed="false">
      <c r="A372" s="13" t="str">
        <f aca="false">IF(F372="","",ROW()-5)</f>
        <v/>
      </c>
      <c r="B372" s="14"/>
      <c r="C372" s="14"/>
      <c r="D372" s="14"/>
      <c r="E372" s="14"/>
      <c r="F372" s="36"/>
      <c r="G372" s="37"/>
      <c r="H372" s="14"/>
      <c r="I372" s="38"/>
      <c r="J372" s="38"/>
      <c r="K372" s="33"/>
      <c r="L372" s="33"/>
      <c r="M372" s="34" t="str">
        <f aca="false">IF(F372="","",N(I372)/(1-IF(K372="",'Job Info'!$B$39,K372))*(1+IF('Job Info'!$B$38="Yes",'Job Info'!$B$37,0)))</f>
        <v/>
      </c>
      <c r="N372" s="34" t="str">
        <f aca="false">IF(F372="","",N(J372)/(1-IF(L372="",'Job Info'!$B$40,L372)))</f>
        <v/>
      </c>
      <c r="O372" s="34" t="str">
        <f aca="false">IF(F372="","",M372+N372)</f>
        <v/>
      </c>
      <c r="P372" s="34" t="str">
        <f aca="false">IF(F372="","",N(G372)*M372)</f>
        <v/>
      </c>
      <c r="Q372" s="34" t="str">
        <f aca="false">IF(F372="","",N(G372)*N372)</f>
        <v/>
      </c>
      <c r="R372" s="35" t="str">
        <f aca="false">IF(F372="","",P372+Q372)</f>
        <v/>
      </c>
      <c r="S372" s="36"/>
      <c r="T372" s="36"/>
      <c r="U372" s="34" t="str">
        <f aca="false">IF(F372="","",N(G372)*N(I372))</f>
        <v/>
      </c>
      <c r="V372" s="34" t="str">
        <f aca="false">IF(F372="","",N(G372)*N(J372))</f>
        <v/>
      </c>
      <c r="W372" s="13" t="str">
        <f aca="false">IF(F372="","",IF(B372="Excluded","",COUNTIFS($F$6:F372,"?*",$B$6:B372,"&lt;&gt;Excluded")))</f>
        <v/>
      </c>
      <c r="X372" s="34" t="str">
        <f aca="false">IF(F372="","",N(G372)*N(I372)/(1-IF(K372="",'Job Info'!$B$39,K372))*IF('Job Info'!$B$38="Yes",'Job Info'!$B$37,0))</f>
        <v/>
      </c>
    </row>
    <row r="373" customFormat="false" ht="15" hidden="false" customHeight="false" outlineLevel="0" collapsed="false">
      <c r="A373" s="13" t="str">
        <f aca="false">IF(F373="","",ROW()-5)</f>
        <v/>
      </c>
      <c r="B373" s="14"/>
      <c r="C373" s="14"/>
      <c r="D373" s="14"/>
      <c r="E373" s="14"/>
      <c r="F373" s="36"/>
      <c r="G373" s="37"/>
      <c r="H373" s="14"/>
      <c r="I373" s="38"/>
      <c r="J373" s="38"/>
      <c r="K373" s="33"/>
      <c r="L373" s="33"/>
      <c r="M373" s="34" t="str">
        <f aca="false">IF(F373="","",N(I373)/(1-IF(K373="",'Job Info'!$B$39,K373))*(1+IF('Job Info'!$B$38="Yes",'Job Info'!$B$37,0)))</f>
        <v/>
      </c>
      <c r="N373" s="34" t="str">
        <f aca="false">IF(F373="","",N(J373)/(1-IF(L373="",'Job Info'!$B$40,L373)))</f>
        <v/>
      </c>
      <c r="O373" s="34" t="str">
        <f aca="false">IF(F373="","",M373+N373)</f>
        <v/>
      </c>
      <c r="P373" s="34" t="str">
        <f aca="false">IF(F373="","",N(G373)*M373)</f>
        <v/>
      </c>
      <c r="Q373" s="34" t="str">
        <f aca="false">IF(F373="","",N(G373)*N373)</f>
        <v/>
      </c>
      <c r="R373" s="35" t="str">
        <f aca="false">IF(F373="","",P373+Q373)</f>
        <v/>
      </c>
      <c r="S373" s="36"/>
      <c r="T373" s="36"/>
      <c r="U373" s="34" t="str">
        <f aca="false">IF(F373="","",N(G373)*N(I373))</f>
        <v/>
      </c>
      <c r="V373" s="34" t="str">
        <f aca="false">IF(F373="","",N(G373)*N(J373))</f>
        <v/>
      </c>
      <c r="W373" s="13" t="str">
        <f aca="false">IF(F373="","",IF(B373="Excluded","",COUNTIFS($F$6:F373,"?*",$B$6:B373,"&lt;&gt;Excluded")))</f>
        <v/>
      </c>
      <c r="X373" s="34" t="str">
        <f aca="false">IF(F373="","",N(G373)*N(I373)/(1-IF(K373="",'Job Info'!$B$39,K373))*IF('Job Info'!$B$38="Yes",'Job Info'!$B$37,0))</f>
        <v/>
      </c>
    </row>
    <row r="374" customFormat="false" ht="15" hidden="false" customHeight="false" outlineLevel="0" collapsed="false">
      <c r="A374" s="13" t="str">
        <f aca="false">IF(F374="","",ROW()-5)</f>
        <v/>
      </c>
      <c r="B374" s="14"/>
      <c r="C374" s="14"/>
      <c r="D374" s="14"/>
      <c r="E374" s="14"/>
      <c r="F374" s="36"/>
      <c r="G374" s="37"/>
      <c r="H374" s="14"/>
      <c r="I374" s="38"/>
      <c r="J374" s="38"/>
      <c r="K374" s="33"/>
      <c r="L374" s="33"/>
      <c r="M374" s="34" t="str">
        <f aca="false">IF(F374="","",N(I374)/(1-IF(K374="",'Job Info'!$B$39,K374))*(1+IF('Job Info'!$B$38="Yes",'Job Info'!$B$37,0)))</f>
        <v/>
      </c>
      <c r="N374" s="34" t="str">
        <f aca="false">IF(F374="","",N(J374)/(1-IF(L374="",'Job Info'!$B$40,L374)))</f>
        <v/>
      </c>
      <c r="O374" s="34" t="str">
        <f aca="false">IF(F374="","",M374+N374)</f>
        <v/>
      </c>
      <c r="P374" s="34" t="str">
        <f aca="false">IF(F374="","",N(G374)*M374)</f>
        <v/>
      </c>
      <c r="Q374" s="34" t="str">
        <f aca="false">IF(F374="","",N(G374)*N374)</f>
        <v/>
      </c>
      <c r="R374" s="35" t="str">
        <f aca="false">IF(F374="","",P374+Q374)</f>
        <v/>
      </c>
      <c r="S374" s="36"/>
      <c r="T374" s="36"/>
      <c r="U374" s="34" t="str">
        <f aca="false">IF(F374="","",N(G374)*N(I374))</f>
        <v/>
      </c>
      <c r="V374" s="34" t="str">
        <f aca="false">IF(F374="","",N(G374)*N(J374))</f>
        <v/>
      </c>
      <c r="W374" s="13" t="str">
        <f aca="false">IF(F374="","",IF(B374="Excluded","",COUNTIFS($F$6:F374,"?*",$B$6:B374,"&lt;&gt;Excluded")))</f>
        <v/>
      </c>
      <c r="X374" s="34" t="str">
        <f aca="false">IF(F374="","",N(G374)*N(I374)/(1-IF(K374="",'Job Info'!$B$39,K374))*IF('Job Info'!$B$38="Yes",'Job Info'!$B$37,0))</f>
        <v/>
      </c>
    </row>
    <row r="375" customFormat="false" ht="15" hidden="false" customHeight="false" outlineLevel="0" collapsed="false">
      <c r="A375" s="13" t="str">
        <f aca="false">IF(F375="","",ROW()-5)</f>
        <v/>
      </c>
      <c r="B375" s="14"/>
      <c r="C375" s="14"/>
      <c r="D375" s="14"/>
      <c r="E375" s="14"/>
      <c r="F375" s="36"/>
      <c r="G375" s="37"/>
      <c r="H375" s="14"/>
      <c r="I375" s="38"/>
      <c r="J375" s="38"/>
      <c r="K375" s="33"/>
      <c r="L375" s="33"/>
      <c r="M375" s="34" t="str">
        <f aca="false">IF(F375="","",N(I375)/(1-IF(K375="",'Job Info'!$B$39,K375))*(1+IF('Job Info'!$B$38="Yes",'Job Info'!$B$37,0)))</f>
        <v/>
      </c>
      <c r="N375" s="34" t="str">
        <f aca="false">IF(F375="","",N(J375)/(1-IF(L375="",'Job Info'!$B$40,L375)))</f>
        <v/>
      </c>
      <c r="O375" s="34" t="str">
        <f aca="false">IF(F375="","",M375+N375)</f>
        <v/>
      </c>
      <c r="P375" s="34" t="str">
        <f aca="false">IF(F375="","",N(G375)*M375)</f>
        <v/>
      </c>
      <c r="Q375" s="34" t="str">
        <f aca="false">IF(F375="","",N(G375)*N375)</f>
        <v/>
      </c>
      <c r="R375" s="35" t="str">
        <f aca="false">IF(F375="","",P375+Q375)</f>
        <v/>
      </c>
      <c r="S375" s="36"/>
      <c r="T375" s="36"/>
      <c r="U375" s="34" t="str">
        <f aca="false">IF(F375="","",N(G375)*N(I375))</f>
        <v/>
      </c>
      <c r="V375" s="34" t="str">
        <f aca="false">IF(F375="","",N(G375)*N(J375))</f>
        <v/>
      </c>
      <c r="W375" s="13" t="str">
        <f aca="false">IF(F375="","",IF(B375="Excluded","",COUNTIFS($F$6:F375,"?*",$B$6:B375,"&lt;&gt;Excluded")))</f>
        <v/>
      </c>
      <c r="X375" s="34" t="str">
        <f aca="false">IF(F375="","",N(G375)*N(I375)/(1-IF(K375="",'Job Info'!$B$39,K375))*IF('Job Info'!$B$38="Yes",'Job Info'!$B$37,0))</f>
        <v/>
      </c>
    </row>
    <row r="376" customFormat="false" ht="15" hidden="false" customHeight="false" outlineLevel="0" collapsed="false">
      <c r="A376" s="13" t="str">
        <f aca="false">IF(F376="","",ROW()-5)</f>
        <v/>
      </c>
      <c r="B376" s="14"/>
      <c r="C376" s="14"/>
      <c r="D376" s="14"/>
      <c r="E376" s="14"/>
      <c r="F376" s="36"/>
      <c r="G376" s="37"/>
      <c r="H376" s="14"/>
      <c r="I376" s="38"/>
      <c r="J376" s="38"/>
      <c r="K376" s="33"/>
      <c r="L376" s="33"/>
      <c r="M376" s="34" t="str">
        <f aca="false">IF(F376="","",N(I376)/(1-IF(K376="",'Job Info'!$B$39,K376))*(1+IF('Job Info'!$B$38="Yes",'Job Info'!$B$37,0)))</f>
        <v/>
      </c>
      <c r="N376" s="34" t="str">
        <f aca="false">IF(F376="","",N(J376)/(1-IF(L376="",'Job Info'!$B$40,L376)))</f>
        <v/>
      </c>
      <c r="O376" s="34" t="str">
        <f aca="false">IF(F376="","",M376+N376)</f>
        <v/>
      </c>
      <c r="P376" s="34" t="str">
        <f aca="false">IF(F376="","",N(G376)*M376)</f>
        <v/>
      </c>
      <c r="Q376" s="34" t="str">
        <f aca="false">IF(F376="","",N(G376)*N376)</f>
        <v/>
      </c>
      <c r="R376" s="35" t="str">
        <f aca="false">IF(F376="","",P376+Q376)</f>
        <v/>
      </c>
      <c r="S376" s="36"/>
      <c r="T376" s="36"/>
      <c r="U376" s="34" t="str">
        <f aca="false">IF(F376="","",N(G376)*N(I376))</f>
        <v/>
      </c>
      <c r="V376" s="34" t="str">
        <f aca="false">IF(F376="","",N(G376)*N(J376))</f>
        <v/>
      </c>
      <c r="W376" s="13" t="str">
        <f aca="false">IF(F376="","",IF(B376="Excluded","",COUNTIFS($F$6:F376,"?*",$B$6:B376,"&lt;&gt;Excluded")))</f>
        <v/>
      </c>
      <c r="X376" s="34" t="str">
        <f aca="false">IF(F376="","",N(G376)*N(I376)/(1-IF(K376="",'Job Info'!$B$39,K376))*IF('Job Info'!$B$38="Yes",'Job Info'!$B$37,0))</f>
        <v/>
      </c>
    </row>
    <row r="377" customFormat="false" ht="15" hidden="false" customHeight="false" outlineLevel="0" collapsed="false">
      <c r="A377" s="13" t="str">
        <f aca="false">IF(F377="","",ROW()-5)</f>
        <v/>
      </c>
      <c r="B377" s="14"/>
      <c r="C377" s="14"/>
      <c r="D377" s="14"/>
      <c r="E377" s="14"/>
      <c r="F377" s="36"/>
      <c r="G377" s="37"/>
      <c r="H377" s="14"/>
      <c r="I377" s="38"/>
      <c r="J377" s="38"/>
      <c r="K377" s="33"/>
      <c r="L377" s="33"/>
      <c r="M377" s="34" t="str">
        <f aca="false">IF(F377="","",N(I377)/(1-IF(K377="",'Job Info'!$B$39,K377))*(1+IF('Job Info'!$B$38="Yes",'Job Info'!$B$37,0)))</f>
        <v/>
      </c>
      <c r="N377" s="34" t="str">
        <f aca="false">IF(F377="","",N(J377)/(1-IF(L377="",'Job Info'!$B$40,L377)))</f>
        <v/>
      </c>
      <c r="O377" s="34" t="str">
        <f aca="false">IF(F377="","",M377+N377)</f>
        <v/>
      </c>
      <c r="P377" s="34" t="str">
        <f aca="false">IF(F377="","",N(G377)*M377)</f>
        <v/>
      </c>
      <c r="Q377" s="34" t="str">
        <f aca="false">IF(F377="","",N(G377)*N377)</f>
        <v/>
      </c>
      <c r="R377" s="35" t="str">
        <f aca="false">IF(F377="","",P377+Q377)</f>
        <v/>
      </c>
      <c r="S377" s="36"/>
      <c r="T377" s="36"/>
      <c r="U377" s="34" t="str">
        <f aca="false">IF(F377="","",N(G377)*N(I377))</f>
        <v/>
      </c>
      <c r="V377" s="34" t="str">
        <f aca="false">IF(F377="","",N(G377)*N(J377))</f>
        <v/>
      </c>
      <c r="W377" s="13" t="str">
        <f aca="false">IF(F377="","",IF(B377="Excluded","",COUNTIFS($F$6:F377,"?*",$B$6:B377,"&lt;&gt;Excluded")))</f>
        <v/>
      </c>
      <c r="X377" s="34" t="str">
        <f aca="false">IF(F377="","",N(G377)*N(I377)/(1-IF(K377="",'Job Info'!$B$39,K377))*IF('Job Info'!$B$38="Yes",'Job Info'!$B$37,0))</f>
        <v/>
      </c>
    </row>
    <row r="378" customFormat="false" ht="15" hidden="false" customHeight="false" outlineLevel="0" collapsed="false">
      <c r="A378" s="13" t="str">
        <f aca="false">IF(F378="","",ROW()-5)</f>
        <v/>
      </c>
      <c r="B378" s="14"/>
      <c r="C378" s="14"/>
      <c r="D378" s="14"/>
      <c r="E378" s="14"/>
      <c r="F378" s="36"/>
      <c r="G378" s="37"/>
      <c r="H378" s="14"/>
      <c r="I378" s="38"/>
      <c r="J378" s="38"/>
      <c r="K378" s="33"/>
      <c r="L378" s="33"/>
      <c r="M378" s="34" t="str">
        <f aca="false">IF(F378="","",N(I378)/(1-IF(K378="",'Job Info'!$B$39,K378))*(1+IF('Job Info'!$B$38="Yes",'Job Info'!$B$37,0)))</f>
        <v/>
      </c>
      <c r="N378" s="34" t="str">
        <f aca="false">IF(F378="","",N(J378)/(1-IF(L378="",'Job Info'!$B$40,L378)))</f>
        <v/>
      </c>
      <c r="O378" s="34" t="str">
        <f aca="false">IF(F378="","",M378+N378)</f>
        <v/>
      </c>
      <c r="P378" s="34" t="str">
        <f aca="false">IF(F378="","",N(G378)*M378)</f>
        <v/>
      </c>
      <c r="Q378" s="34" t="str">
        <f aca="false">IF(F378="","",N(G378)*N378)</f>
        <v/>
      </c>
      <c r="R378" s="35" t="str">
        <f aca="false">IF(F378="","",P378+Q378)</f>
        <v/>
      </c>
      <c r="S378" s="36"/>
      <c r="T378" s="36"/>
      <c r="U378" s="34" t="str">
        <f aca="false">IF(F378="","",N(G378)*N(I378))</f>
        <v/>
      </c>
      <c r="V378" s="34" t="str">
        <f aca="false">IF(F378="","",N(G378)*N(J378))</f>
        <v/>
      </c>
      <c r="W378" s="13" t="str">
        <f aca="false">IF(F378="","",IF(B378="Excluded","",COUNTIFS($F$6:F378,"?*",$B$6:B378,"&lt;&gt;Excluded")))</f>
        <v/>
      </c>
      <c r="X378" s="34" t="str">
        <f aca="false">IF(F378="","",N(G378)*N(I378)/(1-IF(K378="",'Job Info'!$B$39,K378))*IF('Job Info'!$B$38="Yes",'Job Info'!$B$37,0))</f>
        <v/>
      </c>
    </row>
    <row r="379" customFormat="false" ht="15" hidden="false" customHeight="false" outlineLevel="0" collapsed="false">
      <c r="A379" s="13" t="str">
        <f aca="false">IF(F379="","",ROW()-5)</f>
        <v/>
      </c>
      <c r="B379" s="14"/>
      <c r="C379" s="14"/>
      <c r="D379" s="14"/>
      <c r="E379" s="14"/>
      <c r="F379" s="36"/>
      <c r="G379" s="37"/>
      <c r="H379" s="14"/>
      <c r="I379" s="38"/>
      <c r="J379" s="38"/>
      <c r="K379" s="33"/>
      <c r="L379" s="33"/>
      <c r="M379" s="34" t="str">
        <f aca="false">IF(F379="","",N(I379)/(1-IF(K379="",'Job Info'!$B$39,K379))*(1+IF('Job Info'!$B$38="Yes",'Job Info'!$B$37,0)))</f>
        <v/>
      </c>
      <c r="N379" s="34" t="str">
        <f aca="false">IF(F379="","",N(J379)/(1-IF(L379="",'Job Info'!$B$40,L379)))</f>
        <v/>
      </c>
      <c r="O379" s="34" t="str">
        <f aca="false">IF(F379="","",M379+N379)</f>
        <v/>
      </c>
      <c r="P379" s="34" t="str">
        <f aca="false">IF(F379="","",N(G379)*M379)</f>
        <v/>
      </c>
      <c r="Q379" s="34" t="str">
        <f aca="false">IF(F379="","",N(G379)*N379)</f>
        <v/>
      </c>
      <c r="R379" s="35" t="str">
        <f aca="false">IF(F379="","",P379+Q379)</f>
        <v/>
      </c>
      <c r="S379" s="36"/>
      <c r="T379" s="36"/>
      <c r="U379" s="34" t="str">
        <f aca="false">IF(F379="","",N(G379)*N(I379))</f>
        <v/>
      </c>
      <c r="V379" s="34" t="str">
        <f aca="false">IF(F379="","",N(G379)*N(J379))</f>
        <v/>
      </c>
      <c r="W379" s="13" t="str">
        <f aca="false">IF(F379="","",IF(B379="Excluded","",COUNTIFS($F$6:F379,"?*",$B$6:B379,"&lt;&gt;Excluded")))</f>
        <v/>
      </c>
      <c r="X379" s="34" t="str">
        <f aca="false">IF(F379="","",N(G379)*N(I379)/(1-IF(K379="",'Job Info'!$B$39,K379))*IF('Job Info'!$B$38="Yes",'Job Info'!$B$37,0))</f>
        <v/>
      </c>
    </row>
    <row r="380" customFormat="false" ht="15" hidden="false" customHeight="false" outlineLevel="0" collapsed="false">
      <c r="A380" s="13" t="str">
        <f aca="false">IF(F380="","",ROW()-5)</f>
        <v/>
      </c>
      <c r="B380" s="14"/>
      <c r="C380" s="14"/>
      <c r="D380" s="14"/>
      <c r="E380" s="14"/>
      <c r="F380" s="36"/>
      <c r="G380" s="37"/>
      <c r="H380" s="14"/>
      <c r="I380" s="38"/>
      <c r="J380" s="38"/>
      <c r="K380" s="33"/>
      <c r="L380" s="33"/>
      <c r="M380" s="34" t="str">
        <f aca="false">IF(F380="","",N(I380)/(1-IF(K380="",'Job Info'!$B$39,K380))*(1+IF('Job Info'!$B$38="Yes",'Job Info'!$B$37,0)))</f>
        <v/>
      </c>
      <c r="N380" s="34" t="str">
        <f aca="false">IF(F380="","",N(J380)/(1-IF(L380="",'Job Info'!$B$40,L380)))</f>
        <v/>
      </c>
      <c r="O380" s="34" t="str">
        <f aca="false">IF(F380="","",M380+N380)</f>
        <v/>
      </c>
      <c r="P380" s="34" t="str">
        <f aca="false">IF(F380="","",N(G380)*M380)</f>
        <v/>
      </c>
      <c r="Q380" s="34" t="str">
        <f aca="false">IF(F380="","",N(G380)*N380)</f>
        <v/>
      </c>
      <c r="R380" s="35" t="str">
        <f aca="false">IF(F380="","",P380+Q380)</f>
        <v/>
      </c>
      <c r="S380" s="36"/>
      <c r="T380" s="36"/>
      <c r="U380" s="34" t="str">
        <f aca="false">IF(F380="","",N(G380)*N(I380))</f>
        <v/>
      </c>
      <c r="V380" s="34" t="str">
        <f aca="false">IF(F380="","",N(G380)*N(J380))</f>
        <v/>
      </c>
      <c r="W380" s="13" t="str">
        <f aca="false">IF(F380="","",IF(B380="Excluded","",COUNTIFS($F$6:F380,"?*",$B$6:B380,"&lt;&gt;Excluded")))</f>
        <v/>
      </c>
      <c r="X380" s="34" t="str">
        <f aca="false">IF(F380="","",N(G380)*N(I380)/(1-IF(K380="",'Job Info'!$B$39,K380))*IF('Job Info'!$B$38="Yes",'Job Info'!$B$37,0))</f>
        <v/>
      </c>
    </row>
    <row r="381" customFormat="false" ht="15" hidden="false" customHeight="false" outlineLevel="0" collapsed="false">
      <c r="A381" s="13" t="str">
        <f aca="false">IF(F381="","",ROW()-5)</f>
        <v/>
      </c>
      <c r="B381" s="14"/>
      <c r="C381" s="14"/>
      <c r="D381" s="14"/>
      <c r="E381" s="14"/>
      <c r="F381" s="36"/>
      <c r="G381" s="37"/>
      <c r="H381" s="14"/>
      <c r="I381" s="38"/>
      <c r="J381" s="38"/>
      <c r="K381" s="33"/>
      <c r="L381" s="33"/>
      <c r="M381" s="34" t="str">
        <f aca="false">IF(F381="","",N(I381)/(1-IF(K381="",'Job Info'!$B$39,K381))*(1+IF('Job Info'!$B$38="Yes",'Job Info'!$B$37,0)))</f>
        <v/>
      </c>
      <c r="N381" s="34" t="str">
        <f aca="false">IF(F381="","",N(J381)/(1-IF(L381="",'Job Info'!$B$40,L381)))</f>
        <v/>
      </c>
      <c r="O381" s="34" t="str">
        <f aca="false">IF(F381="","",M381+N381)</f>
        <v/>
      </c>
      <c r="P381" s="34" t="str">
        <f aca="false">IF(F381="","",N(G381)*M381)</f>
        <v/>
      </c>
      <c r="Q381" s="34" t="str">
        <f aca="false">IF(F381="","",N(G381)*N381)</f>
        <v/>
      </c>
      <c r="R381" s="35" t="str">
        <f aca="false">IF(F381="","",P381+Q381)</f>
        <v/>
      </c>
      <c r="S381" s="36"/>
      <c r="T381" s="36"/>
      <c r="U381" s="34" t="str">
        <f aca="false">IF(F381="","",N(G381)*N(I381))</f>
        <v/>
      </c>
      <c r="V381" s="34" t="str">
        <f aca="false">IF(F381="","",N(G381)*N(J381))</f>
        <v/>
      </c>
      <c r="W381" s="13" t="str">
        <f aca="false">IF(F381="","",IF(B381="Excluded","",COUNTIFS($F$6:F381,"?*",$B$6:B381,"&lt;&gt;Excluded")))</f>
        <v/>
      </c>
      <c r="X381" s="34" t="str">
        <f aca="false">IF(F381="","",N(G381)*N(I381)/(1-IF(K381="",'Job Info'!$B$39,K381))*IF('Job Info'!$B$38="Yes",'Job Info'!$B$37,0))</f>
        <v/>
      </c>
    </row>
    <row r="382" customFormat="false" ht="15" hidden="false" customHeight="false" outlineLevel="0" collapsed="false">
      <c r="A382" s="13" t="str">
        <f aca="false">IF(F382="","",ROW()-5)</f>
        <v/>
      </c>
      <c r="B382" s="14"/>
      <c r="C382" s="14"/>
      <c r="D382" s="14"/>
      <c r="E382" s="14"/>
      <c r="F382" s="36"/>
      <c r="G382" s="37"/>
      <c r="H382" s="14"/>
      <c r="I382" s="38"/>
      <c r="J382" s="38"/>
      <c r="K382" s="33"/>
      <c r="L382" s="33"/>
      <c r="M382" s="34" t="str">
        <f aca="false">IF(F382="","",N(I382)/(1-IF(K382="",'Job Info'!$B$39,K382))*(1+IF('Job Info'!$B$38="Yes",'Job Info'!$B$37,0)))</f>
        <v/>
      </c>
      <c r="N382" s="34" t="str">
        <f aca="false">IF(F382="","",N(J382)/(1-IF(L382="",'Job Info'!$B$40,L382)))</f>
        <v/>
      </c>
      <c r="O382" s="34" t="str">
        <f aca="false">IF(F382="","",M382+N382)</f>
        <v/>
      </c>
      <c r="P382" s="34" t="str">
        <f aca="false">IF(F382="","",N(G382)*M382)</f>
        <v/>
      </c>
      <c r="Q382" s="34" t="str">
        <f aca="false">IF(F382="","",N(G382)*N382)</f>
        <v/>
      </c>
      <c r="R382" s="35" t="str">
        <f aca="false">IF(F382="","",P382+Q382)</f>
        <v/>
      </c>
      <c r="S382" s="36"/>
      <c r="T382" s="36"/>
      <c r="U382" s="34" t="str">
        <f aca="false">IF(F382="","",N(G382)*N(I382))</f>
        <v/>
      </c>
      <c r="V382" s="34" t="str">
        <f aca="false">IF(F382="","",N(G382)*N(J382))</f>
        <v/>
      </c>
      <c r="W382" s="13" t="str">
        <f aca="false">IF(F382="","",IF(B382="Excluded","",COUNTIFS($F$6:F382,"?*",$B$6:B382,"&lt;&gt;Excluded")))</f>
        <v/>
      </c>
      <c r="X382" s="34" t="str">
        <f aca="false">IF(F382="","",N(G382)*N(I382)/(1-IF(K382="",'Job Info'!$B$39,K382))*IF('Job Info'!$B$38="Yes",'Job Info'!$B$37,0))</f>
        <v/>
      </c>
    </row>
    <row r="383" customFormat="false" ht="15" hidden="false" customHeight="false" outlineLevel="0" collapsed="false">
      <c r="A383" s="13" t="str">
        <f aca="false">IF(F383="","",ROW()-5)</f>
        <v/>
      </c>
      <c r="B383" s="14"/>
      <c r="C383" s="14"/>
      <c r="D383" s="14"/>
      <c r="E383" s="14"/>
      <c r="F383" s="36"/>
      <c r="G383" s="37"/>
      <c r="H383" s="14"/>
      <c r="I383" s="38"/>
      <c r="J383" s="38"/>
      <c r="K383" s="33"/>
      <c r="L383" s="33"/>
      <c r="M383" s="34" t="str">
        <f aca="false">IF(F383="","",N(I383)/(1-IF(K383="",'Job Info'!$B$39,K383))*(1+IF('Job Info'!$B$38="Yes",'Job Info'!$B$37,0)))</f>
        <v/>
      </c>
      <c r="N383" s="34" t="str">
        <f aca="false">IF(F383="","",N(J383)/(1-IF(L383="",'Job Info'!$B$40,L383)))</f>
        <v/>
      </c>
      <c r="O383" s="34" t="str">
        <f aca="false">IF(F383="","",M383+N383)</f>
        <v/>
      </c>
      <c r="P383" s="34" t="str">
        <f aca="false">IF(F383="","",N(G383)*M383)</f>
        <v/>
      </c>
      <c r="Q383" s="34" t="str">
        <f aca="false">IF(F383="","",N(G383)*N383)</f>
        <v/>
      </c>
      <c r="R383" s="35" t="str">
        <f aca="false">IF(F383="","",P383+Q383)</f>
        <v/>
      </c>
      <c r="S383" s="36"/>
      <c r="T383" s="36"/>
      <c r="U383" s="34" t="str">
        <f aca="false">IF(F383="","",N(G383)*N(I383))</f>
        <v/>
      </c>
      <c r="V383" s="34" t="str">
        <f aca="false">IF(F383="","",N(G383)*N(J383))</f>
        <v/>
      </c>
      <c r="W383" s="13" t="str">
        <f aca="false">IF(F383="","",IF(B383="Excluded","",COUNTIFS($F$6:F383,"?*",$B$6:B383,"&lt;&gt;Excluded")))</f>
        <v/>
      </c>
      <c r="X383" s="34" t="str">
        <f aca="false">IF(F383="","",N(G383)*N(I383)/(1-IF(K383="",'Job Info'!$B$39,K383))*IF('Job Info'!$B$38="Yes",'Job Info'!$B$37,0))</f>
        <v/>
      </c>
    </row>
    <row r="384" customFormat="false" ht="15" hidden="false" customHeight="false" outlineLevel="0" collapsed="false">
      <c r="A384" s="13" t="str">
        <f aca="false">IF(F384="","",ROW()-5)</f>
        <v/>
      </c>
      <c r="B384" s="14"/>
      <c r="C384" s="14"/>
      <c r="D384" s="14"/>
      <c r="E384" s="14"/>
      <c r="F384" s="36"/>
      <c r="G384" s="37"/>
      <c r="H384" s="14"/>
      <c r="I384" s="38"/>
      <c r="J384" s="38"/>
      <c r="K384" s="33"/>
      <c r="L384" s="33"/>
      <c r="M384" s="34" t="str">
        <f aca="false">IF(F384="","",N(I384)/(1-IF(K384="",'Job Info'!$B$39,K384))*(1+IF('Job Info'!$B$38="Yes",'Job Info'!$B$37,0)))</f>
        <v/>
      </c>
      <c r="N384" s="34" t="str">
        <f aca="false">IF(F384="","",N(J384)/(1-IF(L384="",'Job Info'!$B$40,L384)))</f>
        <v/>
      </c>
      <c r="O384" s="34" t="str">
        <f aca="false">IF(F384="","",M384+N384)</f>
        <v/>
      </c>
      <c r="P384" s="34" t="str">
        <f aca="false">IF(F384="","",N(G384)*M384)</f>
        <v/>
      </c>
      <c r="Q384" s="34" t="str">
        <f aca="false">IF(F384="","",N(G384)*N384)</f>
        <v/>
      </c>
      <c r="R384" s="35" t="str">
        <f aca="false">IF(F384="","",P384+Q384)</f>
        <v/>
      </c>
      <c r="S384" s="36"/>
      <c r="T384" s="36"/>
      <c r="U384" s="34" t="str">
        <f aca="false">IF(F384="","",N(G384)*N(I384))</f>
        <v/>
      </c>
      <c r="V384" s="34" t="str">
        <f aca="false">IF(F384="","",N(G384)*N(J384))</f>
        <v/>
      </c>
      <c r="W384" s="13" t="str">
        <f aca="false">IF(F384="","",IF(B384="Excluded","",COUNTIFS($F$6:F384,"?*",$B$6:B384,"&lt;&gt;Excluded")))</f>
        <v/>
      </c>
      <c r="X384" s="34" t="str">
        <f aca="false">IF(F384="","",N(G384)*N(I384)/(1-IF(K384="",'Job Info'!$B$39,K384))*IF('Job Info'!$B$38="Yes",'Job Info'!$B$37,0))</f>
        <v/>
      </c>
    </row>
    <row r="385" customFormat="false" ht="15" hidden="false" customHeight="false" outlineLevel="0" collapsed="false">
      <c r="A385" s="13" t="str">
        <f aca="false">IF(F385="","",ROW()-5)</f>
        <v/>
      </c>
      <c r="B385" s="14"/>
      <c r="C385" s="14"/>
      <c r="D385" s="14"/>
      <c r="E385" s="14"/>
      <c r="F385" s="36"/>
      <c r="G385" s="37"/>
      <c r="H385" s="14"/>
      <c r="I385" s="38"/>
      <c r="J385" s="38"/>
      <c r="K385" s="33"/>
      <c r="L385" s="33"/>
      <c r="M385" s="34" t="str">
        <f aca="false">IF(F385="","",N(I385)/(1-IF(K385="",'Job Info'!$B$39,K385))*(1+IF('Job Info'!$B$38="Yes",'Job Info'!$B$37,0)))</f>
        <v/>
      </c>
      <c r="N385" s="34" t="str">
        <f aca="false">IF(F385="","",N(J385)/(1-IF(L385="",'Job Info'!$B$40,L385)))</f>
        <v/>
      </c>
      <c r="O385" s="34" t="str">
        <f aca="false">IF(F385="","",M385+N385)</f>
        <v/>
      </c>
      <c r="P385" s="34" t="str">
        <f aca="false">IF(F385="","",N(G385)*M385)</f>
        <v/>
      </c>
      <c r="Q385" s="34" t="str">
        <f aca="false">IF(F385="","",N(G385)*N385)</f>
        <v/>
      </c>
      <c r="R385" s="35" t="str">
        <f aca="false">IF(F385="","",P385+Q385)</f>
        <v/>
      </c>
      <c r="S385" s="36"/>
      <c r="T385" s="36"/>
      <c r="U385" s="34" t="str">
        <f aca="false">IF(F385="","",N(G385)*N(I385))</f>
        <v/>
      </c>
      <c r="V385" s="34" t="str">
        <f aca="false">IF(F385="","",N(G385)*N(J385))</f>
        <v/>
      </c>
      <c r="W385" s="13" t="str">
        <f aca="false">IF(F385="","",IF(B385="Excluded","",COUNTIFS($F$6:F385,"?*",$B$6:B385,"&lt;&gt;Excluded")))</f>
        <v/>
      </c>
      <c r="X385" s="34" t="str">
        <f aca="false">IF(F385="","",N(G385)*N(I385)/(1-IF(K385="",'Job Info'!$B$39,K385))*IF('Job Info'!$B$38="Yes",'Job Info'!$B$37,0))</f>
        <v/>
      </c>
    </row>
    <row r="386" customFormat="false" ht="15" hidden="false" customHeight="false" outlineLevel="0" collapsed="false">
      <c r="A386" s="13" t="str">
        <f aca="false">IF(F386="","",ROW()-5)</f>
        <v/>
      </c>
      <c r="B386" s="14"/>
      <c r="C386" s="14"/>
      <c r="D386" s="14"/>
      <c r="E386" s="14"/>
      <c r="F386" s="36"/>
      <c r="G386" s="37"/>
      <c r="H386" s="14"/>
      <c r="I386" s="38"/>
      <c r="J386" s="38"/>
      <c r="K386" s="33"/>
      <c r="L386" s="33"/>
      <c r="M386" s="34" t="str">
        <f aca="false">IF(F386="","",N(I386)/(1-IF(K386="",'Job Info'!$B$39,K386))*(1+IF('Job Info'!$B$38="Yes",'Job Info'!$B$37,0)))</f>
        <v/>
      </c>
      <c r="N386" s="34" t="str">
        <f aca="false">IF(F386="","",N(J386)/(1-IF(L386="",'Job Info'!$B$40,L386)))</f>
        <v/>
      </c>
      <c r="O386" s="34" t="str">
        <f aca="false">IF(F386="","",M386+N386)</f>
        <v/>
      </c>
      <c r="P386" s="34" t="str">
        <f aca="false">IF(F386="","",N(G386)*M386)</f>
        <v/>
      </c>
      <c r="Q386" s="34" t="str">
        <f aca="false">IF(F386="","",N(G386)*N386)</f>
        <v/>
      </c>
      <c r="R386" s="35" t="str">
        <f aca="false">IF(F386="","",P386+Q386)</f>
        <v/>
      </c>
      <c r="S386" s="36"/>
      <c r="T386" s="36"/>
      <c r="U386" s="34" t="str">
        <f aca="false">IF(F386="","",N(G386)*N(I386))</f>
        <v/>
      </c>
      <c r="V386" s="34" t="str">
        <f aca="false">IF(F386="","",N(G386)*N(J386))</f>
        <v/>
      </c>
      <c r="W386" s="13" t="str">
        <f aca="false">IF(F386="","",IF(B386="Excluded","",COUNTIFS($F$6:F386,"?*",$B$6:B386,"&lt;&gt;Excluded")))</f>
        <v/>
      </c>
      <c r="X386" s="34" t="str">
        <f aca="false">IF(F386="","",N(G386)*N(I386)/(1-IF(K386="",'Job Info'!$B$39,K386))*IF('Job Info'!$B$38="Yes",'Job Info'!$B$37,0))</f>
        <v/>
      </c>
    </row>
    <row r="387" customFormat="false" ht="15" hidden="false" customHeight="false" outlineLevel="0" collapsed="false">
      <c r="A387" s="13" t="str">
        <f aca="false">IF(F387="","",ROW()-5)</f>
        <v/>
      </c>
      <c r="B387" s="14"/>
      <c r="C387" s="14"/>
      <c r="D387" s="14"/>
      <c r="E387" s="14"/>
      <c r="F387" s="36"/>
      <c r="G387" s="37"/>
      <c r="H387" s="14"/>
      <c r="I387" s="38"/>
      <c r="J387" s="38"/>
      <c r="K387" s="33"/>
      <c r="L387" s="33"/>
      <c r="M387" s="34" t="str">
        <f aca="false">IF(F387="","",N(I387)/(1-IF(K387="",'Job Info'!$B$39,K387))*(1+IF('Job Info'!$B$38="Yes",'Job Info'!$B$37,0)))</f>
        <v/>
      </c>
      <c r="N387" s="34" t="str">
        <f aca="false">IF(F387="","",N(J387)/(1-IF(L387="",'Job Info'!$B$40,L387)))</f>
        <v/>
      </c>
      <c r="O387" s="34" t="str">
        <f aca="false">IF(F387="","",M387+N387)</f>
        <v/>
      </c>
      <c r="P387" s="34" t="str">
        <f aca="false">IF(F387="","",N(G387)*M387)</f>
        <v/>
      </c>
      <c r="Q387" s="34" t="str">
        <f aca="false">IF(F387="","",N(G387)*N387)</f>
        <v/>
      </c>
      <c r="R387" s="35" t="str">
        <f aca="false">IF(F387="","",P387+Q387)</f>
        <v/>
      </c>
      <c r="S387" s="36"/>
      <c r="T387" s="36"/>
      <c r="U387" s="34" t="str">
        <f aca="false">IF(F387="","",N(G387)*N(I387))</f>
        <v/>
      </c>
      <c r="V387" s="34" t="str">
        <f aca="false">IF(F387="","",N(G387)*N(J387))</f>
        <v/>
      </c>
      <c r="W387" s="13" t="str">
        <f aca="false">IF(F387="","",IF(B387="Excluded","",COUNTIFS($F$6:F387,"?*",$B$6:B387,"&lt;&gt;Excluded")))</f>
        <v/>
      </c>
      <c r="X387" s="34" t="str">
        <f aca="false">IF(F387="","",N(G387)*N(I387)/(1-IF(K387="",'Job Info'!$B$39,K387))*IF('Job Info'!$B$38="Yes",'Job Info'!$B$37,0))</f>
        <v/>
      </c>
    </row>
    <row r="388" customFormat="false" ht="15" hidden="false" customHeight="false" outlineLevel="0" collapsed="false">
      <c r="A388" s="13" t="str">
        <f aca="false">IF(F388="","",ROW()-5)</f>
        <v/>
      </c>
      <c r="B388" s="14"/>
      <c r="C388" s="14"/>
      <c r="D388" s="14"/>
      <c r="E388" s="14"/>
      <c r="F388" s="36"/>
      <c r="G388" s="37"/>
      <c r="H388" s="14"/>
      <c r="I388" s="38"/>
      <c r="J388" s="38"/>
      <c r="K388" s="33"/>
      <c r="L388" s="33"/>
      <c r="M388" s="34" t="str">
        <f aca="false">IF(F388="","",N(I388)/(1-IF(K388="",'Job Info'!$B$39,K388))*(1+IF('Job Info'!$B$38="Yes",'Job Info'!$B$37,0)))</f>
        <v/>
      </c>
      <c r="N388" s="34" t="str">
        <f aca="false">IF(F388="","",N(J388)/(1-IF(L388="",'Job Info'!$B$40,L388)))</f>
        <v/>
      </c>
      <c r="O388" s="34" t="str">
        <f aca="false">IF(F388="","",M388+N388)</f>
        <v/>
      </c>
      <c r="P388" s="34" t="str">
        <f aca="false">IF(F388="","",N(G388)*M388)</f>
        <v/>
      </c>
      <c r="Q388" s="34" t="str">
        <f aca="false">IF(F388="","",N(G388)*N388)</f>
        <v/>
      </c>
      <c r="R388" s="35" t="str">
        <f aca="false">IF(F388="","",P388+Q388)</f>
        <v/>
      </c>
      <c r="S388" s="36"/>
      <c r="T388" s="36"/>
      <c r="U388" s="34" t="str">
        <f aca="false">IF(F388="","",N(G388)*N(I388))</f>
        <v/>
      </c>
      <c r="V388" s="34" t="str">
        <f aca="false">IF(F388="","",N(G388)*N(J388))</f>
        <v/>
      </c>
      <c r="W388" s="13" t="str">
        <f aca="false">IF(F388="","",IF(B388="Excluded","",COUNTIFS($F$6:F388,"?*",$B$6:B388,"&lt;&gt;Excluded")))</f>
        <v/>
      </c>
      <c r="X388" s="34" t="str">
        <f aca="false">IF(F388="","",N(G388)*N(I388)/(1-IF(K388="",'Job Info'!$B$39,K388))*IF('Job Info'!$B$38="Yes",'Job Info'!$B$37,0))</f>
        <v/>
      </c>
    </row>
    <row r="389" customFormat="false" ht="15" hidden="false" customHeight="false" outlineLevel="0" collapsed="false">
      <c r="A389" s="13" t="str">
        <f aca="false">IF(F389="","",ROW()-5)</f>
        <v/>
      </c>
      <c r="B389" s="14"/>
      <c r="C389" s="14"/>
      <c r="D389" s="14"/>
      <c r="E389" s="14"/>
      <c r="F389" s="36"/>
      <c r="G389" s="37"/>
      <c r="H389" s="14"/>
      <c r="I389" s="38"/>
      <c r="J389" s="38"/>
      <c r="K389" s="33"/>
      <c r="L389" s="33"/>
      <c r="M389" s="34" t="str">
        <f aca="false">IF(F389="","",N(I389)/(1-IF(K389="",'Job Info'!$B$39,K389))*(1+IF('Job Info'!$B$38="Yes",'Job Info'!$B$37,0)))</f>
        <v/>
      </c>
      <c r="N389" s="34" t="str">
        <f aca="false">IF(F389="","",N(J389)/(1-IF(L389="",'Job Info'!$B$40,L389)))</f>
        <v/>
      </c>
      <c r="O389" s="34" t="str">
        <f aca="false">IF(F389="","",M389+N389)</f>
        <v/>
      </c>
      <c r="P389" s="34" t="str">
        <f aca="false">IF(F389="","",N(G389)*M389)</f>
        <v/>
      </c>
      <c r="Q389" s="34" t="str">
        <f aca="false">IF(F389="","",N(G389)*N389)</f>
        <v/>
      </c>
      <c r="R389" s="35" t="str">
        <f aca="false">IF(F389="","",P389+Q389)</f>
        <v/>
      </c>
      <c r="S389" s="36"/>
      <c r="T389" s="36"/>
      <c r="U389" s="34" t="str">
        <f aca="false">IF(F389="","",N(G389)*N(I389))</f>
        <v/>
      </c>
      <c r="V389" s="34" t="str">
        <f aca="false">IF(F389="","",N(G389)*N(J389))</f>
        <v/>
      </c>
      <c r="W389" s="13" t="str">
        <f aca="false">IF(F389="","",IF(B389="Excluded","",COUNTIFS($F$6:F389,"?*",$B$6:B389,"&lt;&gt;Excluded")))</f>
        <v/>
      </c>
      <c r="X389" s="34" t="str">
        <f aca="false">IF(F389="","",N(G389)*N(I389)/(1-IF(K389="",'Job Info'!$B$39,K389))*IF('Job Info'!$B$38="Yes",'Job Info'!$B$37,0))</f>
        <v/>
      </c>
    </row>
    <row r="390" customFormat="false" ht="15" hidden="false" customHeight="false" outlineLevel="0" collapsed="false">
      <c r="A390" s="13" t="str">
        <f aca="false">IF(F390="","",ROW()-5)</f>
        <v/>
      </c>
      <c r="B390" s="14"/>
      <c r="C390" s="14"/>
      <c r="D390" s="14"/>
      <c r="E390" s="14"/>
      <c r="F390" s="36"/>
      <c r="G390" s="37"/>
      <c r="H390" s="14"/>
      <c r="I390" s="38"/>
      <c r="J390" s="38"/>
      <c r="K390" s="33"/>
      <c r="L390" s="33"/>
      <c r="M390" s="34" t="str">
        <f aca="false">IF(F390="","",N(I390)/(1-IF(K390="",'Job Info'!$B$39,K390))*(1+IF('Job Info'!$B$38="Yes",'Job Info'!$B$37,0)))</f>
        <v/>
      </c>
      <c r="N390" s="34" t="str">
        <f aca="false">IF(F390="","",N(J390)/(1-IF(L390="",'Job Info'!$B$40,L390)))</f>
        <v/>
      </c>
      <c r="O390" s="34" t="str">
        <f aca="false">IF(F390="","",M390+N390)</f>
        <v/>
      </c>
      <c r="P390" s="34" t="str">
        <f aca="false">IF(F390="","",N(G390)*M390)</f>
        <v/>
      </c>
      <c r="Q390" s="34" t="str">
        <f aca="false">IF(F390="","",N(G390)*N390)</f>
        <v/>
      </c>
      <c r="R390" s="35" t="str">
        <f aca="false">IF(F390="","",P390+Q390)</f>
        <v/>
      </c>
      <c r="S390" s="36"/>
      <c r="T390" s="36"/>
      <c r="U390" s="34" t="str">
        <f aca="false">IF(F390="","",N(G390)*N(I390))</f>
        <v/>
      </c>
      <c r="V390" s="34" t="str">
        <f aca="false">IF(F390="","",N(G390)*N(J390))</f>
        <v/>
      </c>
      <c r="W390" s="13" t="str">
        <f aca="false">IF(F390="","",IF(B390="Excluded","",COUNTIFS($F$6:F390,"?*",$B$6:B390,"&lt;&gt;Excluded")))</f>
        <v/>
      </c>
      <c r="X390" s="34" t="str">
        <f aca="false">IF(F390="","",N(G390)*N(I390)/(1-IF(K390="",'Job Info'!$B$39,K390))*IF('Job Info'!$B$38="Yes",'Job Info'!$B$37,0))</f>
        <v/>
      </c>
    </row>
    <row r="391" customFormat="false" ht="15" hidden="false" customHeight="false" outlineLevel="0" collapsed="false">
      <c r="A391" s="13" t="str">
        <f aca="false">IF(F391="","",ROW()-5)</f>
        <v/>
      </c>
      <c r="B391" s="14"/>
      <c r="C391" s="14"/>
      <c r="D391" s="14"/>
      <c r="E391" s="14"/>
      <c r="F391" s="36"/>
      <c r="G391" s="37"/>
      <c r="H391" s="14"/>
      <c r="I391" s="38"/>
      <c r="J391" s="38"/>
      <c r="K391" s="33"/>
      <c r="L391" s="33"/>
      <c r="M391" s="34" t="str">
        <f aca="false">IF(F391="","",N(I391)/(1-IF(K391="",'Job Info'!$B$39,K391))*(1+IF('Job Info'!$B$38="Yes",'Job Info'!$B$37,0)))</f>
        <v/>
      </c>
      <c r="N391" s="34" t="str">
        <f aca="false">IF(F391="","",N(J391)/(1-IF(L391="",'Job Info'!$B$40,L391)))</f>
        <v/>
      </c>
      <c r="O391" s="34" t="str">
        <f aca="false">IF(F391="","",M391+N391)</f>
        <v/>
      </c>
      <c r="P391" s="34" t="str">
        <f aca="false">IF(F391="","",N(G391)*M391)</f>
        <v/>
      </c>
      <c r="Q391" s="34" t="str">
        <f aca="false">IF(F391="","",N(G391)*N391)</f>
        <v/>
      </c>
      <c r="R391" s="35" t="str">
        <f aca="false">IF(F391="","",P391+Q391)</f>
        <v/>
      </c>
      <c r="S391" s="36"/>
      <c r="T391" s="36"/>
      <c r="U391" s="34" t="str">
        <f aca="false">IF(F391="","",N(G391)*N(I391))</f>
        <v/>
      </c>
      <c r="V391" s="34" t="str">
        <f aca="false">IF(F391="","",N(G391)*N(J391))</f>
        <v/>
      </c>
      <c r="W391" s="13" t="str">
        <f aca="false">IF(F391="","",IF(B391="Excluded","",COUNTIFS($F$6:F391,"?*",$B$6:B391,"&lt;&gt;Excluded")))</f>
        <v/>
      </c>
      <c r="X391" s="34" t="str">
        <f aca="false">IF(F391="","",N(G391)*N(I391)/(1-IF(K391="",'Job Info'!$B$39,K391))*IF('Job Info'!$B$38="Yes",'Job Info'!$B$37,0))</f>
        <v/>
      </c>
    </row>
    <row r="392" customFormat="false" ht="15" hidden="false" customHeight="false" outlineLevel="0" collapsed="false">
      <c r="A392" s="13" t="str">
        <f aca="false">IF(F392="","",ROW()-5)</f>
        <v/>
      </c>
      <c r="B392" s="14"/>
      <c r="C392" s="14"/>
      <c r="D392" s="14"/>
      <c r="E392" s="14"/>
      <c r="F392" s="36"/>
      <c r="G392" s="37"/>
      <c r="H392" s="14"/>
      <c r="I392" s="38"/>
      <c r="J392" s="38"/>
      <c r="K392" s="33"/>
      <c r="L392" s="33"/>
      <c r="M392" s="34" t="str">
        <f aca="false">IF(F392="","",N(I392)/(1-IF(K392="",'Job Info'!$B$39,K392))*(1+IF('Job Info'!$B$38="Yes",'Job Info'!$B$37,0)))</f>
        <v/>
      </c>
      <c r="N392" s="34" t="str">
        <f aca="false">IF(F392="","",N(J392)/(1-IF(L392="",'Job Info'!$B$40,L392)))</f>
        <v/>
      </c>
      <c r="O392" s="34" t="str">
        <f aca="false">IF(F392="","",M392+N392)</f>
        <v/>
      </c>
      <c r="P392" s="34" t="str">
        <f aca="false">IF(F392="","",N(G392)*M392)</f>
        <v/>
      </c>
      <c r="Q392" s="34" t="str">
        <f aca="false">IF(F392="","",N(G392)*N392)</f>
        <v/>
      </c>
      <c r="R392" s="35" t="str">
        <f aca="false">IF(F392="","",P392+Q392)</f>
        <v/>
      </c>
      <c r="S392" s="36"/>
      <c r="T392" s="36"/>
      <c r="U392" s="34" t="str">
        <f aca="false">IF(F392="","",N(G392)*N(I392))</f>
        <v/>
      </c>
      <c r="V392" s="34" t="str">
        <f aca="false">IF(F392="","",N(G392)*N(J392))</f>
        <v/>
      </c>
      <c r="W392" s="13" t="str">
        <f aca="false">IF(F392="","",IF(B392="Excluded","",COUNTIFS($F$6:F392,"?*",$B$6:B392,"&lt;&gt;Excluded")))</f>
        <v/>
      </c>
      <c r="X392" s="34" t="str">
        <f aca="false">IF(F392="","",N(G392)*N(I392)/(1-IF(K392="",'Job Info'!$B$39,K392))*IF('Job Info'!$B$38="Yes",'Job Info'!$B$37,0))</f>
        <v/>
      </c>
    </row>
    <row r="393" customFormat="false" ht="15" hidden="false" customHeight="false" outlineLevel="0" collapsed="false">
      <c r="A393" s="13" t="str">
        <f aca="false">IF(F393="","",ROW()-5)</f>
        <v/>
      </c>
      <c r="B393" s="14"/>
      <c r="C393" s="14"/>
      <c r="D393" s="14"/>
      <c r="E393" s="14"/>
      <c r="F393" s="36"/>
      <c r="G393" s="37"/>
      <c r="H393" s="14"/>
      <c r="I393" s="38"/>
      <c r="J393" s="38"/>
      <c r="K393" s="33"/>
      <c r="L393" s="33"/>
      <c r="M393" s="34" t="str">
        <f aca="false">IF(F393="","",N(I393)/(1-IF(K393="",'Job Info'!$B$39,K393))*(1+IF('Job Info'!$B$38="Yes",'Job Info'!$B$37,0)))</f>
        <v/>
      </c>
      <c r="N393" s="34" t="str">
        <f aca="false">IF(F393="","",N(J393)/(1-IF(L393="",'Job Info'!$B$40,L393)))</f>
        <v/>
      </c>
      <c r="O393" s="34" t="str">
        <f aca="false">IF(F393="","",M393+N393)</f>
        <v/>
      </c>
      <c r="P393" s="34" t="str">
        <f aca="false">IF(F393="","",N(G393)*M393)</f>
        <v/>
      </c>
      <c r="Q393" s="34" t="str">
        <f aca="false">IF(F393="","",N(G393)*N393)</f>
        <v/>
      </c>
      <c r="R393" s="35" t="str">
        <f aca="false">IF(F393="","",P393+Q393)</f>
        <v/>
      </c>
      <c r="S393" s="36"/>
      <c r="T393" s="36"/>
      <c r="U393" s="34" t="str">
        <f aca="false">IF(F393="","",N(G393)*N(I393))</f>
        <v/>
      </c>
      <c r="V393" s="34" t="str">
        <f aca="false">IF(F393="","",N(G393)*N(J393))</f>
        <v/>
      </c>
      <c r="W393" s="13" t="str">
        <f aca="false">IF(F393="","",IF(B393="Excluded","",COUNTIFS($F$6:F393,"?*",$B$6:B393,"&lt;&gt;Excluded")))</f>
        <v/>
      </c>
      <c r="X393" s="34" t="str">
        <f aca="false">IF(F393="","",N(G393)*N(I393)/(1-IF(K393="",'Job Info'!$B$39,K393))*IF('Job Info'!$B$38="Yes",'Job Info'!$B$37,0))</f>
        <v/>
      </c>
    </row>
    <row r="394" customFormat="false" ht="15" hidden="false" customHeight="false" outlineLevel="0" collapsed="false">
      <c r="A394" s="13" t="str">
        <f aca="false">IF(F394="","",ROW()-5)</f>
        <v/>
      </c>
      <c r="B394" s="14"/>
      <c r="C394" s="14"/>
      <c r="D394" s="14"/>
      <c r="E394" s="14"/>
      <c r="F394" s="36"/>
      <c r="G394" s="37"/>
      <c r="H394" s="14"/>
      <c r="I394" s="38"/>
      <c r="J394" s="38"/>
      <c r="K394" s="33"/>
      <c r="L394" s="33"/>
      <c r="M394" s="34" t="str">
        <f aca="false">IF(F394="","",N(I394)/(1-IF(K394="",'Job Info'!$B$39,K394))*(1+IF('Job Info'!$B$38="Yes",'Job Info'!$B$37,0)))</f>
        <v/>
      </c>
      <c r="N394" s="34" t="str">
        <f aca="false">IF(F394="","",N(J394)/(1-IF(L394="",'Job Info'!$B$40,L394)))</f>
        <v/>
      </c>
      <c r="O394" s="34" t="str">
        <f aca="false">IF(F394="","",M394+N394)</f>
        <v/>
      </c>
      <c r="P394" s="34" t="str">
        <f aca="false">IF(F394="","",N(G394)*M394)</f>
        <v/>
      </c>
      <c r="Q394" s="34" t="str">
        <f aca="false">IF(F394="","",N(G394)*N394)</f>
        <v/>
      </c>
      <c r="R394" s="35" t="str">
        <f aca="false">IF(F394="","",P394+Q394)</f>
        <v/>
      </c>
      <c r="S394" s="36"/>
      <c r="T394" s="36"/>
      <c r="U394" s="34" t="str">
        <f aca="false">IF(F394="","",N(G394)*N(I394))</f>
        <v/>
      </c>
      <c r="V394" s="34" t="str">
        <f aca="false">IF(F394="","",N(G394)*N(J394))</f>
        <v/>
      </c>
      <c r="W394" s="13" t="str">
        <f aca="false">IF(F394="","",IF(B394="Excluded","",COUNTIFS($F$6:F394,"?*",$B$6:B394,"&lt;&gt;Excluded")))</f>
        <v/>
      </c>
      <c r="X394" s="34" t="str">
        <f aca="false">IF(F394="","",N(G394)*N(I394)/(1-IF(K394="",'Job Info'!$B$39,K394))*IF('Job Info'!$B$38="Yes",'Job Info'!$B$37,0))</f>
        <v/>
      </c>
    </row>
    <row r="395" customFormat="false" ht="15" hidden="false" customHeight="false" outlineLevel="0" collapsed="false">
      <c r="A395" s="13" t="str">
        <f aca="false">IF(F395="","",ROW()-5)</f>
        <v/>
      </c>
      <c r="B395" s="14"/>
      <c r="C395" s="14"/>
      <c r="D395" s="14"/>
      <c r="E395" s="14"/>
      <c r="F395" s="36"/>
      <c r="G395" s="37"/>
      <c r="H395" s="14"/>
      <c r="I395" s="38"/>
      <c r="J395" s="38"/>
      <c r="K395" s="33"/>
      <c r="L395" s="33"/>
      <c r="M395" s="34" t="str">
        <f aca="false">IF(F395="","",N(I395)/(1-IF(K395="",'Job Info'!$B$39,K395))*(1+IF('Job Info'!$B$38="Yes",'Job Info'!$B$37,0)))</f>
        <v/>
      </c>
      <c r="N395" s="34" t="str">
        <f aca="false">IF(F395="","",N(J395)/(1-IF(L395="",'Job Info'!$B$40,L395)))</f>
        <v/>
      </c>
      <c r="O395" s="34" t="str">
        <f aca="false">IF(F395="","",M395+N395)</f>
        <v/>
      </c>
      <c r="P395" s="34" t="str">
        <f aca="false">IF(F395="","",N(G395)*M395)</f>
        <v/>
      </c>
      <c r="Q395" s="34" t="str">
        <f aca="false">IF(F395="","",N(G395)*N395)</f>
        <v/>
      </c>
      <c r="R395" s="35" t="str">
        <f aca="false">IF(F395="","",P395+Q395)</f>
        <v/>
      </c>
      <c r="S395" s="36"/>
      <c r="T395" s="36"/>
      <c r="U395" s="34" t="str">
        <f aca="false">IF(F395="","",N(G395)*N(I395))</f>
        <v/>
      </c>
      <c r="V395" s="34" t="str">
        <f aca="false">IF(F395="","",N(G395)*N(J395))</f>
        <v/>
      </c>
      <c r="W395" s="13" t="str">
        <f aca="false">IF(F395="","",IF(B395="Excluded","",COUNTIFS($F$6:F395,"?*",$B$6:B395,"&lt;&gt;Excluded")))</f>
        <v/>
      </c>
      <c r="X395" s="34" t="str">
        <f aca="false">IF(F395="","",N(G395)*N(I395)/(1-IF(K395="",'Job Info'!$B$39,K395))*IF('Job Info'!$B$38="Yes",'Job Info'!$B$37,0))</f>
        <v/>
      </c>
    </row>
    <row r="396" customFormat="false" ht="15" hidden="false" customHeight="false" outlineLevel="0" collapsed="false">
      <c r="A396" s="13" t="str">
        <f aca="false">IF(F396="","",ROW()-5)</f>
        <v/>
      </c>
      <c r="B396" s="14"/>
      <c r="C396" s="14"/>
      <c r="D396" s="14"/>
      <c r="E396" s="14"/>
      <c r="F396" s="36"/>
      <c r="G396" s="37"/>
      <c r="H396" s="14"/>
      <c r="I396" s="38"/>
      <c r="J396" s="38"/>
      <c r="K396" s="33"/>
      <c r="L396" s="33"/>
      <c r="M396" s="34" t="str">
        <f aca="false">IF(F396="","",N(I396)/(1-IF(K396="",'Job Info'!$B$39,K396))*(1+IF('Job Info'!$B$38="Yes",'Job Info'!$B$37,0)))</f>
        <v/>
      </c>
      <c r="N396" s="34" t="str">
        <f aca="false">IF(F396="","",N(J396)/(1-IF(L396="",'Job Info'!$B$40,L396)))</f>
        <v/>
      </c>
      <c r="O396" s="34" t="str">
        <f aca="false">IF(F396="","",M396+N396)</f>
        <v/>
      </c>
      <c r="P396" s="34" t="str">
        <f aca="false">IF(F396="","",N(G396)*M396)</f>
        <v/>
      </c>
      <c r="Q396" s="34" t="str">
        <f aca="false">IF(F396="","",N(G396)*N396)</f>
        <v/>
      </c>
      <c r="R396" s="35" t="str">
        <f aca="false">IF(F396="","",P396+Q396)</f>
        <v/>
      </c>
      <c r="S396" s="36"/>
      <c r="T396" s="36"/>
      <c r="U396" s="34" t="str">
        <f aca="false">IF(F396="","",N(G396)*N(I396))</f>
        <v/>
      </c>
      <c r="V396" s="34" t="str">
        <f aca="false">IF(F396="","",N(G396)*N(J396))</f>
        <v/>
      </c>
      <c r="W396" s="13" t="str">
        <f aca="false">IF(F396="","",IF(B396="Excluded","",COUNTIFS($F$6:F396,"?*",$B$6:B396,"&lt;&gt;Excluded")))</f>
        <v/>
      </c>
      <c r="X396" s="34" t="str">
        <f aca="false">IF(F396="","",N(G396)*N(I396)/(1-IF(K396="",'Job Info'!$B$39,K396))*IF('Job Info'!$B$38="Yes",'Job Info'!$B$37,0))</f>
        <v/>
      </c>
    </row>
    <row r="397" customFormat="false" ht="15" hidden="false" customHeight="false" outlineLevel="0" collapsed="false">
      <c r="A397" s="13" t="str">
        <f aca="false">IF(F397="","",ROW()-5)</f>
        <v/>
      </c>
      <c r="B397" s="14"/>
      <c r="C397" s="14"/>
      <c r="D397" s="14"/>
      <c r="E397" s="14"/>
      <c r="F397" s="36"/>
      <c r="G397" s="37"/>
      <c r="H397" s="14"/>
      <c r="I397" s="38"/>
      <c r="J397" s="38"/>
      <c r="K397" s="33"/>
      <c r="L397" s="33"/>
      <c r="M397" s="34" t="str">
        <f aca="false">IF(F397="","",N(I397)/(1-IF(K397="",'Job Info'!$B$39,K397))*(1+IF('Job Info'!$B$38="Yes",'Job Info'!$B$37,0)))</f>
        <v/>
      </c>
      <c r="N397" s="34" t="str">
        <f aca="false">IF(F397="","",N(J397)/(1-IF(L397="",'Job Info'!$B$40,L397)))</f>
        <v/>
      </c>
      <c r="O397" s="34" t="str">
        <f aca="false">IF(F397="","",M397+N397)</f>
        <v/>
      </c>
      <c r="P397" s="34" t="str">
        <f aca="false">IF(F397="","",N(G397)*M397)</f>
        <v/>
      </c>
      <c r="Q397" s="34" t="str">
        <f aca="false">IF(F397="","",N(G397)*N397)</f>
        <v/>
      </c>
      <c r="R397" s="35" t="str">
        <f aca="false">IF(F397="","",P397+Q397)</f>
        <v/>
      </c>
      <c r="S397" s="36"/>
      <c r="T397" s="36"/>
      <c r="U397" s="34" t="str">
        <f aca="false">IF(F397="","",N(G397)*N(I397))</f>
        <v/>
      </c>
      <c r="V397" s="34" t="str">
        <f aca="false">IF(F397="","",N(G397)*N(J397))</f>
        <v/>
      </c>
      <c r="W397" s="13" t="str">
        <f aca="false">IF(F397="","",IF(B397="Excluded","",COUNTIFS($F$6:F397,"?*",$B$6:B397,"&lt;&gt;Excluded")))</f>
        <v/>
      </c>
      <c r="X397" s="34" t="str">
        <f aca="false">IF(F397="","",N(G397)*N(I397)/(1-IF(K397="",'Job Info'!$B$39,K397))*IF('Job Info'!$B$38="Yes",'Job Info'!$B$37,0))</f>
        <v/>
      </c>
    </row>
    <row r="398" customFormat="false" ht="15" hidden="false" customHeight="false" outlineLevel="0" collapsed="false">
      <c r="A398" s="13" t="str">
        <f aca="false">IF(F398="","",ROW()-5)</f>
        <v/>
      </c>
      <c r="B398" s="14"/>
      <c r="C398" s="14"/>
      <c r="D398" s="14"/>
      <c r="E398" s="14"/>
      <c r="F398" s="36"/>
      <c r="G398" s="37"/>
      <c r="H398" s="14"/>
      <c r="I398" s="38"/>
      <c r="J398" s="38"/>
      <c r="K398" s="33"/>
      <c r="L398" s="33"/>
      <c r="M398" s="34" t="str">
        <f aca="false">IF(F398="","",N(I398)/(1-IF(K398="",'Job Info'!$B$39,K398))*(1+IF('Job Info'!$B$38="Yes",'Job Info'!$B$37,0)))</f>
        <v/>
      </c>
      <c r="N398" s="34" t="str">
        <f aca="false">IF(F398="","",N(J398)/(1-IF(L398="",'Job Info'!$B$40,L398)))</f>
        <v/>
      </c>
      <c r="O398" s="34" t="str">
        <f aca="false">IF(F398="","",M398+N398)</f>
        <v/>
      </c>
      <c r="P398" s="34" t="str">
        <f aca="false">IF(F398="","",N(G398)*M398)</f>
        <v/>
      </c>
      <c r="Q398" s="34" t="str">
        <f aca="false">IF(F398="","",N(G398)*N398)</f>
        <v/>
      </c>
      <c r="R398" s="35" t="str">
        <f aca="false">IF(F398="","",P398+Q398)</f>
        <v/>
      </c>
      <c r="S398" s="36"/>
      <c r="T398" s="36"/>
      <c r="U398" s="34" t="str">
        <f aca="false">IF(F398="","",N(G398)*N(I398))</f>
        <v/>
      </c>
      <c r="V398" s="34" t="str">
        <f aca="false">IF(F398="","",N(G398)*N(J398))</f>
        <v/>
      </c>
      <c r="W398" s="13" t="str">
        <f aca="false">IF(F398="","",IF(B398="Excluded","",COUNTIFS($F$6:F398,"?*",$B$6:B398,"&lt;&gt;Excluded")))</f>
        <v/>
      </c>
      <c r="X398" s="34" t="str">
        <f aca="false">IF(F398="","",N(G398)*N(I398)/(1-IF(K398="",'Job Info'!$B$39,K398))*IF('Job Info'!$B$38="Yes",'Job Info'!$B$37,0))</f>
        <v/>
      </c>
    </row>
    <row r="399" customFormat="false" ht="15" hidden="false" customHeight="false" outlineLevel="0" collapsed="false">
      <c r="A399" s="13" t="str">
        <f aca="false">IF(F399="","",ROW()-5)</f>
        <v/>
      </c>
      <c r="B399" s="14"/>
      <c r="C399" s="14"/>
      <c r="D399" s="14"/>
      <c r="E399" s="14"/>
      <c r="F399" s="36"/>
      <c r="G399" s="37"/>
      <c r="H399" s="14"/>
      <c r="I399" s="38"/>
      <c r="J399" s="38"/>
      <c r="K399" s="33"/>
      <c r="L399" s="33"/>
      <c r="M399" s="34" t="str">
        <f aca="false">IF(F399="","",N(I399)/(1-IF(K399="",'Job Info'!$B$39,K399))*(1+IF('Job Info'!$B$38="Yes",'Job Info'!$B$37,0)))</f>
        <v/>
      </c>
      <c r="N399" s="34" t="str">
        <f aca="false">IF(F399="","",N(J399)/(1-IF(L399="",'Job Info'!$B$40,L399)))</f>
        <v/>
      </c>
      <c r="O399" s="34" t="str">
        <f aca="false">IF(F399="","",M399+N399)</f>
        <v/>
      </c>
      <c r="P399" s="34" t="str">
        <f aca="false">IF(F399="","",N(G399)*M399)</f>
        <v/>
      </c>
      <c r="Q399" s="34" t="str">
        <f aca="false">IF(F399="","",N(G399)*N399)</f>
        <v/>
      </c>
      <c r="R399" s="35" t="str">
        <f aca="false">IF(F399="","",P399+Q399)</f>
        <v/>
      </c>
      <c r="S399" s="36"/>
      <c r="T399" s="36"/>
      <c r="U399" s="34" t="str">
        <f aca="false">IF(F399="","",N(G399)*N(I399))</f>
        <v/>
      </c>
      <c r="V399" s="34" t="str">
        <f aca="false">IF(F399="","",N(G399)*N(J399))</f>
        <v/>
      </c>
      <c r="W399" s="13" t="str">
        <f aca="false">IF(F399="","",IF(B399="Excluded","",COUNTIFS($F$6:F399,"?*",$B$6:B399,"&lt;&gt;Excluded")))</f>
        <v/>
      </c>
      <c r="X399" s="34" t="str">
        <f aca="false">IF(F399="","",N(G399)*N(I399)/(1-IF(K399="",'Job Info'!$B$39,K399))*IF('Job Info'!$B$38="Yes",'Job Info'!$B$37,0))</f>
        <v/>
      </c>
    </row>
    <row r="400" customFormat="false" ht="15" hidden="false" customHeight="false" outlineLevel="0" collapsed="false">
      <c r="A400" s="13" t="str">
        <f aca="false">IF(F400="","",ROW()-5)</f>
        <v/>
      </c>
      <c r="B400" s="14"/>
      <c r="C400" s="14"/>
      <c r="D400" s="14"/>
      <c r="E400" s="14"/>
      <c r="F400" s="36"/>
      <c r="G400" s="37"/>
      <c r="H400" s="14"/>
      <c r="I400" s="38"/>
      <c r="J400" s="38"/>
      <c r="K400" s="33"/>
      <c r="L400" s="33"/>
      <c r="M400" s="34" t="str">
        <f aca="false">IF(F400="","",N(I400)/(1-IF(K400="",'Job Info'!$B$39,K400))*(1+IF('Job Info'!$B$38="Yes",'Job Info'!$B$37,0)))</f>
        <v/>
      </c>
      <c r="N400" s="34" t="str">
        <f aca="false">IF(F400="","",N(J400)/(1-IF(L400="",'Job Info'!$B$40,L400)))</f>
        <v/>
      </c>
      <c r="O400" s="34" t="str">
        <f aca="false">IF(F400="","",M400+N400)</f>
        <v/>
      </c>
      <c r="P400" s="34" t="str">
        <f aca="false">IF(F400="","",N(G400)*M400)</f>
        <v/>
      </c>
      <c r="Q400" s="34" t="str">
        <f aca="false">IF(F400="","",N(G400)*N400)</f>
        <v/>
      </c>
      <c r="R400" s="35" t="str">
        <f aca="false">IF(F400="","",P400+Q400)</f>
        <v/>
      </c>
      <c r="S400" s="36"/>
      <c r="T400" s="36"/>
      <c r="U400" s="34" t="str">
        <f aca="false">IF(F400="","",N(G400)*N(I400))</f>
        <v/>
      </c>
      <c r="V400" s="34" t="str">
        <f aca="false">IF(F400="","",N(G400)*N(J400))</f>
        <v/>
      </c>
      <c r="W400" s="13" t="str">
        <f aca="false">IF(F400="","",IF(B400="Excluded","",COUNTIFS($F$6:F400,"?*",$B$6:B400,"&lt;&gt;Excluded")))</f>
        <v/>
      </c>
      <c r="X400" s="34" t="str">
        <f aca="false">IF(F400="","",N(G400)*N(I400)/(1-IF(K400="",'Job Info'!$B$39,K400))*IF('Job Info'!$B$38="Yes",'Job Info'!$B$37,0))</f>
        <v/>
      </c>
    </row>
    <row r="401" customFormat="false" ht="15" hidden="false" customHeight="false" outlineLevel="0" collapsed="false">
      <c r="A401" s="13" t="str">
        <f aca="false">IF(F401="","",ROW()-5)</f>
        <v/>
      </c>
      <c r="B401" s="14"/>
      <c r="C401" s="14"/>
      <c r="D401" s="14"/>
      <c r="E401" s="14"/>
      <c r="F401" s="36"/>
      <c r="G401" s="37"/>
      <c r="H401" s="14"/>
      <c r="I401" s="38"/>
      <c r="J401" s="38"/>
      <c r="K401" s="33"/>
      <c r="L401" s="33"/>
      <c r="M401" s="34" t="str">
        <f aca="false">IF(F401="","",N(I401)/(1-IF(K401="",'Job Info'!$B$39,K401))*(1+IF('Job Info'!$B$38="Yes",'Job Info'!$B$37,0)))</f>
        <v/>
      </c>
      <c r="N401" s="34" t="str">
        <f aca="false">IF(F401="","",N(J401)/(1-IF(L401="",'Job Info'!$B$40,L401)))</f>
        <v/>
      </c>
      <c r="O401" s="34" t="str">
        <f aca="false">IF(F401="","",M401+N401)</f>
        <v/>
      </c>
      <c r="P401" s="34" t="str">
        <f aca="false">IF(F401="","",N(G401)*M401)</f>
        <v/>
      </c>
      <c r="Q401" s="34" t="str">
        <f aca="false">IF(F401="","",N(G401)*N401)</f>
        <v/>
      </c>
      <c r="R401" s="35" t="str">
        <f aca="false">IF(F401="","",P401+Q401)</f>
        <v/>
      </c>
      <c r="S401" s="36"/>
      <c r="T401" s="36"/>
      <c r="U401" s="34" t="str">
        <f aca="false">IF(F401="","",N(G401)*N(I401))</f>
        <v/>
      </c>
      <c r="V401" s="34" t="str">
        <f aca="false">IF(F401="","",N(G401)*N(J401))</f>
        <v/>
      </c>
      <c r="W401" s="13" t="str">
        <f aca="false">IF(F401="","",IF(B401="Excluded","",COUNTIFS($F$6:F401,"?*",$B$6:B401,"&lt;&gt;Excluded")))</f>
        <v/>
      </c>
      <c r="X401" s="34" t="str">
        <f aca="false">IF(F401="","",N(G401)*N(I401)/(1-IF(K401="",'Job Info'!$B$39,K401))*IF('Job Info'!$B$38="Yes",'Job Info'!$B$37,0))</f>
        <v/>
      </c>
    </row>
    <row r="402" customFormat="false" ht="15" hidden="false" customHeight="false" outlineLevel="0" collapsed="false">
      <c r="A402" s="13" t="str">
        <f aca="false">IF(F402="","",ROW()-5)</f>
        <v/>
      </c>
      <c r="B402" s="14"/>
      <c r="C402" s="14"/>
      <c r="D402" s="14"/>
      <c r="E402" s="14"/>
      <c r="F402" s="36"/>
      <c r="G402" s="37"/>
      <c r="H402" s="14"/>
      <c r="I402" s="38"/>
      <c r="J402" s="38"/>
      <c r="K402" s="33"/>
      <c r="L402" s="33"/>
      <c r="M402" s="34" t="str">
        <f aca="false">IF(F402="","",N(I402)/(1-IF(K402="",'Job Info'!$B$39,K402))*(1+IF('Job Info'!$B$38="Yes",'Job Info'!$B$37,0)))</f>
        <v/>
      </c>
      <c r="N402" s="34" t="str">
        <f aca="false">IF(F402="","",N(J402)/(1-IF(L402="",'Job Info'!$B$40,L402)))</f>
        <v/>
      </c>
      <c r="O402" s="34" t="str">
        <f aca="false">IF(F402="","",M402+N402)</f>
        <v/>
      </c>
      <c r="P402" s="34" t="str">
        <f aca="false">IF(F402="","",N(G402)*M402)</f>
        <v/>
      </c>
      <c r="Q402" s="34" t="str">
        <f aca="false">IF(F402="","",N(G402)*N402)</f>
        <v/>
      </c>
      <c r="R402" s="35" t="str">
        <f aca="false">IF(F402="","",P402+Q402)</f>
        <v/>
      </c>
      <c r="S402" s="36"/>
      <c r="T402" s="36"/>
      <c r="U402" s="34" t="str">
        <f aca="false">IF(F402="","",N(G402)*N(I402))</f>
        <v/>
      </c>
      <c r="V402" s="34" t="str">
        <f aca="false">IF(F402="","",N(G402)*N(J402))</f>
        <v/>
      </c>
      <c r="W402" s="13" t="str">
        <f aca="false">IF(F402="","",IF(B402="Excluded","",COUNTIFS($F$6:F402,"?*",$B$6:B402,"&lt;&gt;Excluded")))</f>
        <v/>
      </c>
      <c r="X402" s="34" t="str">
        <f aca="false">IF(F402="","",N(G402)*N(I402)/(1-IF(K402="",'Job Info'!$B$39,K402))*IF('Job Info'!$B$38="Yes",'Job Info'!$B$37,0))</f>
        <v/>
      </c>
    </row>
    <row r="403" customFormat="false" ht="15" hidden="false" customHeight="false" outlineLevel="0" collapsed="false">
      <c r="A403" s="13" t="str">
        <f aca="false">IF(F403="","",ROW()-5)</f>
        <v/>
      </c>
      <c r="B403" s="14"/>
      <c r="C403" s="14"/>
      <c r="D403" s="14"/>
      <c r="E403" s="14"/>
      <c r="F403" s="36"/>
      <c r="G403" s="37"/>
      <c r="H403" s="14"/>
      <c r="I403" s="38"/>
      <c r="J403" s="38"/>
      <c r="K403" s="33"/>
      <c r="L403" s="33"/>
      <c r="M403" s="34" t="str">
        <f aca="false">IF(F403="","",N(I403)/(1-IF(K403="",'Job Info'!$B$39,K403))*(1+IF('Job Info'!$B$38="Yes",'Job Info'!$B$37,0)))</f>
        <v/>
      </c>
      <c r="N403" s="34" t="str">
        <f aca="false">IF(F403="","",N(J403)/(1-IF(L403="",'Job Info'!$B$40,L403)))</f>
        <v/>
      </c>
      <c r="O403" s="34" t="str">
        <f aca="false">IF(F403="","",M403+N403)</f>
        <v/>
      </c>
      <c r="P403" s="34" t="str">
        <f aca="false">IF(F403="","",N(G403)*M403)</f>
        <v/>
      </c>
      <c r="Q403" s="34" t="str">
        <f aca="false">IF(F403="","",N(G403)*N403)</f>
        <v/>
      </c>
      <c r="R403" s="35" t="str">
        <f aca="false">IF(F403="","",P403+Q403)</f>
        <v/>
      </c>
      <c r="S403" s="36"/>
      <c r="T403" s="36"/>
      <c r="U403" s="34" t="str">
        <f aca="false">IF(F403="","",N(G403)*N(I403))</f>
        <v/>
      </c>
      <c r="V403" s="34" t="str">
        <f aca="false">IF(F403="","",N(G403)*N(J403))</f>
        <v/>
      </c>
      <c r="W403" s="13" t="str">
        <f aca="false">IF(F403="","",IF(B403="Excluded","",COUNTIFS($F$6:F403,"?*",$B$6:B403,"&lt;&gt;Excluded")))</f>
        <v/>
      </c>
      <c r="X403" s="34" t="str">
        <f aca="false">IF(F403="","",N(G403)*N(I403)/(1-IF(K403="",'Job Info'!$B$39,K403))*IF('Job Info'!$B$38="Yes",'Job Info'!$B$37,0))</f>
        <v/>
      </c>
    </row>
    <row r="404" customFormat="false" ht="15" hidden="false" customHeight="false" outlineLevel="0" collapsed="false">
      <c r="A404" s="13" t="str">
        <f aca="false">IF(F404="","",ROW()-5)</f>
        <v/>
      </c>
      <c r="B404" s="14"/>
      <c r="C404" s="14"/>
      <c r="D404" s="14"/>
      <c r="E404" s="14"/>
      <c r="F404" s="36"/>
      <c r="G404" s="37"/>
      <c r="H404" s="14"/>
      <c r="I404" s="38"/>
      <c r="J404" s="38"/>
      <c r="K404" s="33"/>
      <c r="L404" s="33"/>
      <c r="M404" s="34" t="str">
        <f aca="false">IF(F404="","",N(I404)/(1-IF(K404="",'Job Info'!$B$39,K404))*(1+IF('Job Info'!$B$38="Yes",'Job Info'!$B$37,0)))</f>
        <v/>
      </c>
      <c r="N404" s="34" t="str">
        <f aca="false">IF(F404="","",N(J404)/(1-IF(L404="",'Job Info'!$B$40,L404)))</f>
        <v/>
      </c>
      <c r="O404" s="34" t="str">
        <f aca="false">IF(F404="","",M404+N404)</f>
        <v/>
      </c>
      <c r="P404" s="34" t="str">
        <f aca="false">IF(F404="","",N(G404)*M404)</f>
        <v/>
      </c>
      <c r="Q404" s="34" t="str">
        <f aca="false">IF(F404="","",N(G404)*N404)</f>
        <v/>
      </c>
      <c r="R404" s="35" t="str">
        <f aca="false">IF(F404="","",P404+Q404)</f>
        <v/>
      </c>
      <c r="S404" s="36"/>
      <c r="T404" s="36"/>
      <c r="U404" s="34" t="str">
        <f aca="false">IF(F404="","",N(G404)*N(I404))</f>
        <v/>
      </c>
      <c r="V404" s="34" t="str">
        <f aca="false">IF(F404="","",N(G404)*N(J404))</f>
        <v/>
      </c>
      <c r="W404" s="13" t="str">
        <f aca="false">IF(F404="","",IF(B404="Excluded","",COUNTIFS($F$6:F404,"?*",$B$6:B404,"&lt;&gt;Excluded")))</f>
        <v/>
      </c>
      <c r="X404" s="34" t="str">
        <f aca="false">IF(F404="","",N(G404)*N(I404)/(1-IF(K404="",'Job Info'!$B$39,K404))*IF('Job Info'!$B$38="Yes",'Job Info'!$B$37,0))</f>
        <v/>
      </c>
    </row>
    <row r="405" customFormat="false" ht="15" hidden="false" customHeight="false" outlineLevel="0" collapsed="false">
      <c r="A405" s="13" t="str">
        <f aca="false">IF(F405="","",ROW()-5)</f>
        <v/>
      </c>
      <c r="B405" s="14"/>
      <c r="C405" s="14"/>
      <c r="D405" s="14"/>
      <c r="E405" s="14"/>
      <c r="F405" s="36"/>
      <c r="G405" s="37"/>
      <c r="H405" s="14"/>
      <c r="I405" s="38"/>
      <c r="J405" s="38"/>
      <c r="K405" s="33"/>
      <c r="L405" s="33"/>
      <c r="M405" s="34" t="str">
        <f aca="false">IF(F405="","",N(I405)/(1-IF(K405="",'Job Info'!$B$39,K405))*(1+IF('Job Info'!$B$38="Yes",'Job Info'!$B$37,0)))</f>
        <v/>
      </c>
      <c r="N405" s="34" t="str">
        <f aca="false">IF(F405="","",N(J405)/(1-IF(L405="",'Job Info'!$B$40,L405)))</f>
        <v/>
      </c>
      <c r="O405" s="34" t="str">
        <f aca="false">IF(F405="","",M405+N405)</f>
        <v/>
      </c>
      <c r="P405" s="34" t="str">
        <f aca="false">IF(F405="","",N(G405)*M405)</f>
        <v/>
      </c>
      <c r="Q405" s="34" t="str">
        <f aca="false">IF(F405="","",N(G405)*N405)</f>
        <v/>
      </c>
      <c r="R405" s="35" t="str">
        <f aca="false">IF(F405="","",P405+Q405)</f>
        <v/>
      </c>
      <c r="S405" s="36"/>
      <c r="T405" s="36"/>
      <c r="U405" s="34" t="str">
        <f aca="false">IF(F405="","",N(G405)*N(I405))</f>
        <v/>
      </c>
      <c r="V405" s="34" t="str">
        <f aca="false">IF(F405="","",N(G405)*N(J405))</f>
        <v/>
      </c>
      <c r="W405" s="13" t="str">
        <f aca="false">IF(F405="","",IF(B405="Excluded","",COUNTIFS($F$6:F405,"?*",$B$6:B405,"&lt;&gt;Excluded")))</f>
        <v/>
      </c>
      <c r="X405" s="34" t="str">
        <f aca="false">IF(F405="","",N(G405)*N(I405)/(1-IF(K405="",'Job Info'!$B$39,K405))*IF('Job Info'!$B$38="Yes",'Job Info'!$B$37,0))</f>
        <v/>
      </c>
    </row>
    <row r="406" customFormat="false" ht="15" hidden="false" customHeight="false" outlineLevel="0" collapsed="false">
      <c r="A406" s="13" t="str">
        <f aca="false">IF(F406="","",ROW()-5)</f>
        <v/>
      </c>
      <c r="B406" s="14"/>
      <c r="C406" s="14"/>
      <c r="D406" s="14"/>
      <c r="E406" s="14"/>
      <c r="F406" s="36"/>
      <c r="G406" s="37"/>
      <c r="H406" s="14"/>
      <c r="I406" s="38"/>
      <c r="J406" s="38"/>
      <c r="K406" s="33"/>
      <c r="L406" s="33"/>
      <c r="M406" s="34" t="str">
        <f aca="false">IF(F406="","",N(I406)/(1-IF(K406="",'Job Info'!$B$39,K406))*(1+IF('Job Info'!$B$38="Yes",'Job Info'!$B$37,0)))</f>
        <v/>
      </c>
      <c r="N406" s="34" t="str">
        <f aca="false">IF(F406="","",N(J406)/(1-IF(L406="",'Job Info'!$B$40,L406)))</f>
        <v/>
      </c>
      <c r="O406" s="34" t="str">
        <f aca="false">IF(F406="","",M406+N406)</f>
        <v/>
      </c>
      <c r="P406" s="34" t="str">
        <f aca="false">IF(F406="","",N(G406)*M406)</f>
        <v/>
      </c>
      <c r="Q406" s="34" t="str">
        <f aca="false">IF(F406="","",N(G406)*N406)</f>
        <v/>
      </c>
      <c r="R406" s="35" t="str">
        <f aca="false">IF(F406="","",P406+Q406)</f>
        <v/>
      </c>
      <c r="S406" s="36"/>
      <c r="T406" s="36"/>
      <c r="U406" s="34" t="str">
        <f aca="false">IF(F406="","",N(G406)*N(I406))</f>
        <v/>
      </c>
      <c r="V406" s="34" t="str">
        <f aca="false">IF(F406="","",N(G406)*N(J406))</f>
        <v/>
      </c>
      <c r="W406" s="13" t="str">
        <f aca="false">IF(F406="","",IF(B406="Excluded","",COUNTIFS($F$6:F406,"?*",$B$6:B406,"&lt;&gt;Excluded")))</f>
        <v/>
      </c>
      <c r="X406" s="34" t="str">
        <f aca="false">IF(F406="","",N(G406)*N(I406)/(1-IF(K406="",'Job Info'!$B$39,K406))*IF('Job Info'!$B$38="Yes",'Job Info'!$B$37,0))</f>
        <v/>
      </c>
    </row>
    <row r="407" customFormat="false" ht="15" hidden="false" customHeight="false" outlineLevel="0" collapsed="false">
      <c r="A407" s="13" t="str">
        <f aca="false">IF(F407="","",ROW()-5)</f>
        <v/>
      </c>
      <c r="B407" s="14"/>
      <c r="C407" s="14"/>
      <c r="D407" s="14"/>
      <c r="E407" s="14"/>
      <c r="F407" s="36"/>
      <c r="G407" s="37"/>
      <c r="H407" s="14"/>
      <c r="I407" s="38"/>
      <c r="J407" s="38"/>
      <c r="K407" s="33"/>
      <c r="L407" s="33"/>
      <c r="M407" s="34" t="str">
        <f aca="false">IF(F407="","",N(I407)/(1-IF(K407="",'Job Info'!$B$39,K407))*(1+IF('Job Info'!$B$38="Yes",'Job Info'!$B$37,0)))</f>
        <v/>
      </c>
      <c r="N407" s="34" t="str">
        <f aca="false">IF(F407="","",N(J407)/(1-IF(L407="",'Job Info'!$B$40,L407)))</f>
        <v/>
      </c>
      <c r="O407" s="34" t="str">
        <f aca="false">IF(F407="","",M407+N407)</f>
        <v/>
      </c>
      <c r="P407" s="34" t="str">
        <f aca="false">IF(F407="","",N(G407)*M407)</f>
        <v/>
      </c>
      <c r="Q407" s="34" t="str">
        <f aca="false">IF(F407="","",N(G407)*N407)</f>
        <v/>
      </c>
      <c r="R407" s="35" t="str">
        <f aca="false">IF(F407="","",P407+Q407)</f>
        <v/>
      </c>
      <c r="S407" s="36"/>
      <c r="T407" s="36"/>
      <c r="U407" s="34" t="str">
        <f aca="false">IF(F407="","",N(G407)*N(I407))</f>
        <v/>
      </c>
      <c r="V407" s="34" t="str">
        <f aca="false">IF(F407="","",N(G407)*N(J407))</f>
        <v/>
      </c>
      <c r="W407" s="13" t="str">
        <f aca="false">IF(F407="","",IF(B407="Excluded","",COUNTIFS($F$6:F407,"?*",$B$6:B407,"&lt;&gt;Excluded")))</f>
        <v/>
      </c>
      <c r="X407" s="34" t="str">
        <f aca="false">IF(F407="","",N(G407)*N(I407)/(1-IF(K407="",'Job Info'!$B$39,K407))*IF('Job Info'!$B$38="Yes",'Job Info'!$B$37,0))</f>
        <v/>
      </c>
    </row>
    <row r="408" customFormat="false" ht="15" hidden="false" customHeight="false" outlineLevel="0" collapsed="false">
      <c r="A408" s="13" t="str">
        <f aca="false">IF(F408="","",ROW()-5)</f>
        <v/>
      </c>
      <c r="B408" s="14"/>
      <c r="C408" s="14"/>
      <c r="D408" s="14"/>
      <c r="E408" s="14"/>
      <c r="F408" s="36"/>
      <c r="G408" s="37"/>
      <c r="H408" s="14"/>
      <c r="I408" s="38"/>
      <c r="J408" s="38"/>
      <c r="K408" s="33"/>
      <c r="L408" s="33"/>
      <c r="M408" s="34" t="str">
        <f aca="false">IF(F408="","",N(I408)/(1-IF(K408="",'Job Info'!$B$39,K408))*(1+IF('Job Info'!$B$38="Yes",'Job Info'!$B$37,0)))</f>
        <v/>
      </c>
      <c r="N408" s="34" t="str">
        <f aca="false">IF(F408="","",N(J408)/(1-IF(L408="",'Job Info'!$B$40,L408)))</f>
        <v/>
      </c>
      <c r="O408" s="34" t="str">
        <f aca="false">IF(F408="","",M408+N408)</f>
        <v/>
      </c>
      <c r="P408" s="34" t="str">
        <f aca="false">IF(F408="","",N(G408)*M408)</f>
        <v/>
      </c>
      <c r="Q408" s="34" t="str">
        <f aca="false">IF(F408="","",N(G408)*N408)</f>
        <v/>
      </c>
      <c r="R408" s="35" t="str">
        <f aca="false">IF(F408="","",P408+Q408)</f>
        <v/>
      </c>
      <c r="S408" s="36"/>
      <c r="T408" s="36"/>
      <c r="U408" s="34" t="str">
        <f aca="false">IF(F408="","",N(G408)*N(I408))</f>
        <v/>
      </c>
      <c r="V408" s="34" t="str">
        <f aca="false">IF(F408="","",N(G408)*N(J408))</f>
        <v/>
      </c>
      <c r="W408" s="13" t="str">
        <f aca="false">IF(F408="","",IF(B408="Excluded","",COUNTIFS($F$6:F408,"?*",$B$6:B408,"&lt;&gt;Excluded")))</f>
        <v/>
      </c>
      <c r="X408" s="34" t="str">
        <f aca="false">IF(F408="","",N(G408)*N(I408)/(1-IF(K408="",'Job Info'!$B$39,K408))*IF('Job Info'!$B$38="Yes",'Job Info'!$B$37,0))</f>
        <v/>
      </c>
    </row>
    <row r="409" customFormat="false" ht="15" hidden="false" customHeight="false" outlineLevel="0" collapsed="false">
      <c r="A409" s="13" t="str">
        <f aca="false">IF(F409="","",ROW()-5)</f>
        <v/>
      </c>
      <c r="B409" s="14"/>
      <c r="C409" s="14"/>
      <c r="D409" s="14"/>
      <c r="E409" s="14"/>
      <c r="F409" s="36"/>
      <c r="G409" s="37"/>
      <c r="H409" s="14"/>
      <c r="I409" s="38"/>
      <c r="J409" s="38"/>
      <c r="K409" s="33"/>
      <c r="L409" s="33"/>
      <c r="M409" s="34" t="str">
        <f aca="false">IF(F409="","",N(I409)/(1-IF(K409="",'Job Info'!$B$39,K409))*(1+IF('Job Info'!$B$38="Yes",'Job Info'!$B$37,0)))</f>
        <v/>
      </c>
      <c r="N409" s="34" t="str">
        <f aca="false">IF(F409="","",N(J409)/(1-IF(L409="",'Job Info'!$B$40,L409)))</f>
        <v/>
      </c>
      <c r="O409" s="34" t="str">
        <f aca="false">IF(F409="","",M409+N409)</f>
        <v/>
      </c>
      <c r="P409" s="34" t="str">
        <f aca="false">IF(F409="","",N(G409)*M409)</f>
        <v/>
      </c>
      <c r="Q409" s="34" t="str">
        <f aca="false">IF(F409="","",N(G409)*N409)</f>
        <v/>
      </c>
      <c r="R409" s="35" t="str">
        <f aca="false">IF(F409="","",P409+Q409)</f>
        <v/>
      </c>
      <c r="S409" s="36"/>
      <c r="T409" s="36"/>
      <c r="U409" s="34" t="str">
        <f aca="false">IF(F409="","",N(G409)*N(I409))</f>
        <v/>
      </c>
      <c r="V409" s="34" t="str">
        <f aca="false">IF(F409="","",N(G409)*N(J409))</f>
        <v/>
      </c>
      <c r="W409" s="13" t="str">
        <f aca="false">IF(F409="","",IF(B409="Excluded","",COUNTIFS($F$6:F409,"?*",$B$6:B409,"&lt;&gt;Excluded")))</f>
        <v/>
      </c>
      <c r="X409" s="34" t="str">
        <f aca="false">IF(F409="","",N(G409)*N(I409)/(1-IF(K409="",'Job Info'!$B$39,K409))*IF('Job Info'!$B$38="Yes",'Job Info'!$B$37,0))</f>
        <v/>
      </c>
    </row>
    <row r="410" customFormat="false" ht="15" hidden="false" customHeight="false" outlineLevel="0" collapsed="false">
      <c r="A410" s="13" t="str">
        <f aca="false">IF(F410="","",ROW()-5)</f>
        <v/>
      </c>
      <c r="B410" s="14"/>
      <c r="C410" s="14"/>
      <c r="D410" s="14"/>
      <c r="E410" s="14"/>
      <c r="F410" s="36"/>
      <c r="G410" s="37"/>
      <c r="H410" s="14"/>
      <c r="I410" s="38"/>
      <c r="J410" s="38"/>
      <c r="K410" s="33"/>
      <c r="L410" s="33"/>
      <c r="M410" s="34" t="str">
        <f aca="false">IF(F410="","",N(I410)/(1-IF(K410="",'Job Info'!$B$39,K410))*(1+IF('Job Info'!$B$38="Yes",'Job Info'!$B$37,0)))</f>
        <v/>
      </c>
      <c r="N410" s="34" t="str">
        <f aca="false">IF(F410="","",N(J410)/(1-IF(L410="",'Job Info'!$B$40,L410)))</f>
        <v/>
      </c>
      <c r="O410" s="34" t="str">
        <f aca="false">IF(F410="","",M410+N410)</f>
        <v/>
      </c>
      <c r="P410" s="34" t="str">
        <f aca="false">IF(F410="","",N(G410)*M410)</f>
        <v/>
      </c>
      <c r="Q410" s="34" t="str">
        <f aca="false">IF(F410="","",N(G410)*N410)</f>
        <v/>
      </c>
      <c r="R410" s="35" t="str">
        <f aca="false">IF(F410="","",P410+Q410)</f>
        <v/>
      </c>
      <c r="S410" s="36"/>
      <c r="T410" s="36"/>
      <c r="U410" s="34" t="str">
        <f aca="false">IF(F410="","",N(G410)*N(I410))</f>
        <v/>
      </c>
      <c r="V410" s="34" t="str">
        <f aca="false">IF(F410="","",N(G410)*N(J410))</f>
        <v/>
      </c>
      <c r="W410" s="13" t="str">
        <f aca="false">IF(F410="","",IF(B410="Excluded","",COUNTIFS($F$6:F410,"?*",$B$6:B410,"&lt;&gt;Excluded")))</f>
        <v/>
      </c>
      <c r="X410" s="34" t="str">
        <f aca="false">IF(F410="","",N(G410)*N(I410)/(1-IF(K410="",'Job Info'!$B$39,K410))*IF('Job Info'!$B$38="Yes",'Job Info'!$B$37,0))</f>
        <v/>
      </c>
    </row>
    <row r="411" customFormat="false" ht="15" hidden="false" customHeight="false" outlineLevel="0" collapsed="false">
      <c r="A411" s="13" t="str">
        <f aca="false">IF(F411="","",ROW()-5)</f>
        <v/>
      </c>
      <c r="B411" s="14"/>
      <c r="C411" s="14"/>
      <c r="D411" s="14"/>
      <c r="E411" s="14"/>
      <c r="F411" s="36"/>
      <c r="G411" s="37"/>
      <c r="H411" s="14"/>
      <c r="I411" s="38"/>
      <c r="J411" s="38"/>
      <c r="K411" s="33"/>
      <c r="L411" s="33"/>
      <c r="M411" s="34" t="str">
        <f aca="false">IF(F411="","",N(I411)/(1-IF(K411="",'Job Info'!$B$39,K411))*(1+IF('Job Info'!$B$38="Yes",'Job Info'!$B$37,0)))</f>
        <v/>
      </c>
      <c r="N411" s="34" t="str">
        <f aca="false">IF(F411="","",N(J411)/(1-IF(L411="",'Job Info'!$B$40,L411)))</f>
        <v/>
      </c>
      <c r="O411" s="34" t="str">
        <f aca="false">IF(F411="","",M411+N411)</f>
        <v/>
      </c>
      <c r="P411" s="34" t="str">
        <f aca="false">IF(F411="","",N(G411)*M411)</f>
        <v/>
      </c>
      <c r="Q411" s="34" t="str">
        <f aca="false">IF(F411="","",N(G411)*N411)</f>
        <v/>
      </c>
      <c r="R411" s="35" t="str">
        <f aca="false">IF(F411="","",P411+Q411)</f>
        <v/>
      </c>
      <c r="S411" s="36"/>
      <c r="T411" s="36"/>
      <c r="U411" s="34" t="str">
        <f aca="false">IF(F411="","",N(G411)*N(I411))</f>
        <v/>
      </c>
      <c r="V411" s="34" t="str">
        <f aca="false">IF(F411="","",N(G411)*N(J411))</f>
        <v/>
      </c>
      <c r="W411" s="13" t="str">
        <f aca="false">IF(F411="","",IF(B411="Excluded","",COUNTIFS($F$6:F411,"?*",$B$6:B411,"&lt;&gt;Excluded")))</f>
        <v/>
      </c>
      <c r="X411" s="34" t="str">
        <f aca="false">IF(F411="","",N(G411)*N(I411)/(1-IF(K411="",'Job Info'!$B$39,K411))*IF('Job Info'!$B$38="Yes",'Job Info'!$B$37,0))</f>
        <v/>
      </c>
    </row>
    <row r="412" customFormat="false" ht="15" hidden="false" customHeight="false" outlineLevel="0" collapsed="false">
      <c r="A412" s="13" t="str">
        <f aca="false">IF(F412="","",ROW()-5)</f>
        <v/>
      </c>
      <c r="B412" s="14"/>
      <c r="C412" s="14"/>
      <c r="D412" s="14"/>
      <c r="E412" s="14"/>
      <c r="F412" s="36"/>
      <c r="G412" s="37"/>
      <c r="H412" s="14"/>
      <c r="I412" s="38"/>
      <c r="J412" s="38"/>
      <c r="K412" s="33"/>
      <c r="L412" s="33"/>
      <c r="M412" s="34" t="str">
        <f aca="false">IF(F412="","",N(I412)/(1-IF(K412="",'Job Info'!$B$39,K412))*(1+IF('Job Info'!$B$38="Yes",'Job Info'!$B$37,0)))</f>
        <v/>
      </c>
      <c r="N412" s="34" t="str">
        <f aca="false">IF(F412="","",N(J412)/(1-IF(L412="",'Job Info'!$B$40,L412)))</f>
        <v/>
      </c>
      <c r="O412" s="34" t="str">
        <f aca="false">IF(F412="","",M412+N412)</f>
        <v/>
      </c>
      <c r="P412" s="34" t="str">
        <f aca="false">IF(F412="","",N(G412)*M412)</f>
        <v/>
      </c>
      <c r="Q412" s="34" t="str">
        <f aca="false">IF(F412="","",N(G412)*N412)</f>
        <v/>
      </c>
      <c r="R412" s="35" t="str">
        <f aca="false">IF(F412="","",P412+Q412)</f>
        <v/>
      </c>
      <c r="S412" s="36"/>
      <c r="T412" s="36"/>
      <c r="U412" s="34" t="str">
        <f aca="false">IF(F412="","",N(G412)*N(I412))</f>
        <v/>
      </c>
      <c r="V412" s="34" t="str">
        <f aca="false">IF(F412="","",N(G412)*N(J412))</f>
        <v/>
      </c>
      <c r="W412" s="13" t="str">
        <f aca="false">IF(F412="","",IF(B412="Excluded","",COUNTIFS($F$6:F412,"?*",$B$6:B412,"&lt;&gt;Excluded")))</f>
        <v/>
      </c>
      <c r="X412" s="34" t="str">
        <f aca="false">IF(F412="","",N(G412)*N(I412)/(1-IF(K412="",'Job Info'!$B$39,K412))*IF('Job Info'!$B$38="Yes",'Job Info'!$B$37,0))</f>
        <v/>
      </c>
    </row>
    <row r="413" customFormat="false" ht="15" hidden="false" customHeight="false" outlineLevel="0" collapsed="false">
      <c r="A413" s="13" t="str">
        <f aca="false">IF(F413="","",ROW()-5)</f>
        <v/>
      </c>
      <c r="B413" s="14"/>
      <c r="C413" s="14"/>
      <c r="D413" s="14"/>
      <c r="E413" s="14"/>
      <c r="F413" s="36"/>
      <c r="G413" s="37"/>
      <c r="H413" s="14"/>
      <c r="I413" s="38"/>
      <c r="J413" s="38"/>
      <c r="K413" s="33"/>
      <c r="L413" s="33"/>
      <c r="M413" s="34" t="str">
        <f aca="false">IF(F413="","",N(I413)/(1-IF(K413="",'Job Info'!$B$39,K413))*(1+IF('Job Info'!$B$38="Yes",'Job Info'!$B$37,0)))</f>
        <v/>
      </c>
      <c r="N413" s="34" t="str">
        <f aca="false">IF(F413="","",N(J413)/(1-IF(L413="",'Job Info'!$B$40,L413)))</f>
        <v/>
      </c>
      <c r="O413" s="34" t="str">
        <f aca="false">IF(F413="","",M413+N413)</f>
        <v/>
      </c>
      <c r="P413" s="34" t="str">
        <f aca="false">IF(F413="","",N(G413)*M413)</f>
        <v/>
      </c>
      <c r="Q413" s="34" t="str">
        <f aca="false">IF(F413="","",N(G413)*N413)</f>
        <v/>
      </c>
      <c r="R413" s="35" t="str">
        <f aca="false">IF(F413="","",P413+Q413)</f>
        <v/>
      </c>
      <c r="S413" s="36"/>
      <c r="T413" s="36"/>
      <c r="U413" s="34" t="str">
        <f aca="false">IF(F413="","",N(G413)*N(I413))</f>
        <v/>
      </c>
      <c r="V413" s="34" t="str">
        <f aca="false">IF(F413="","",N(G413)*N(J413))</f>
        <v/>
      </c>
      <c r="W413" s="13" t="str">
        <f aca="false">IF(F413="","",IF(B413="Excluded","",COUNTIFS($F$6:F413,"?*",$B$6:B413,"&lt;&gt;Excluded")))</f>
        <v/>
      </c>
      <c r="X413" s="34" t="str">
        <f aca="false">IF(F413="","",N(G413)*N(I413)/(1-IF(K413="",'Job Info'!$B$39,K413))*IF('Job Info'!$B$38="Yes",'Job Info'!$B$37,0))</f>
        <v/>
      </c>
    </row>
    <row r="414" customFormat="false" ht="15" hidden="false" customHeight="false" outlineLevel="0" collapsed="false">
      <c r="A414" s="13" t="str">
        <f aca="false">IF(F414="","",ROW()-5)</f>
        <v/>
      </c>
      <c r="B414" s="14"/>
      <c r="C414" s="14"/>
      <c r="D414" s="14"/>
      <c r="E414" s="14"/>
      <c r="F414" s="36"/>
      <c r="G414" s="37"/>
      <c r="H414" s="14"/>
      <c r="I414" s="38"/>
      <c r="J414" s="38"/>
      <c r="K414" s="33"/>
      <c r="L414" s="33"/>
      <c r="M414" s="34" t="str">
        <f aca="false">IF(F414="","",N(I414)/(1-IF(K414="",'Job Info'!$B$39,K414))*(1+IF('Job Info'!$B$38="Yes",'Job Info'!$B$37,0)))</f>
        <v/>
      </c>
      <c r="N414" s="34" t="str">
        <f aca="false">IF(F414="","",N(J414)/(1-IF(L414="",'Job Info'!$B$40,L414)))</f>
        <v/>
      </c>
      <c r="O414" s="34" t="str">
        <f aca="false">IF(F414="","",M414+N414)</f>
        <v/>
      </c>
      <c r="P414" s="34" t="str">
        <f aca="false">IF(F414="","",N(G414)*M414)</f>
        <v/>
      </c>
      <c r="Q414" s="34" t="str">
        <f aca="false">IF(F414="","",N(G414)*N414)</f>
        <v/>
      </c>
      <c r="R414" s="35" t="str">
        <f aca="false">IF(F414="","",P414+Q414)</f>
        <v/>
      </c>
      <c r="S414" s="36"/>
      <c r="T414" s="36"/>
      <c r="U414" s="34" t="str">
        <f aca="false">IF(F414="","",N(G414)*N(I414))</f>
        <v/>
      </c>
      <c r="V414" s="34" t="str">
        <f aca="false">IF(F414="","",N(G414)*N(J414))</f>
        <v/>
      </c>
      <c r="W414" s="13" t="str">
        <f aca="false">IF(F414="","",IF(B414="Excluded","",COUNTIFS($F$6:F414,"?*",$B$6:B414,"&lt;&gt;Excluded")))</f>
        <v/>
      </c>
      <c r="X414" s="34" t="str">
        <f aca="false">IF(F414="","",N(G414)*N(I414)/(1-IF(K414="",'Job Info'!$B$39,K414))*IF('Job Info'!$B$38="Yes",'Job Info'!$B$37,0))</f>
        <v/>
      </c>
    </row>
    <row r="415" customFormat="false" ht="15" hidden="false" customHeight="false" outlineLevel="0" collapsed="false">
      <c r="A415" s="13" t="str">
        <f aca="false">IF(F415="","",ROW()-5)</f>
        <v/>
      </c>
      <c r="B415" s="14"/>
      <c r="C415" s="14"/>
      <c r="D415" s="14"/>
      <c r="E415" s="14"/>
      <c r="F415" s="36"/>
      <c r="G415" s="37"/>
      <c r="H415" s="14"/>
      <c r="I415" s="38"/>
      <c r="J415" s="38"/>
      <c r="K415" s="33"/>
      <c r="L415" s="33"/>
      <c r="M415" s="34" t="str">
        <f aca="false">IF(F415="","",N(I415)/(1-IF(K415="",'Job Info'!$B$39,K415))*(1+IF('Job Info'!$B$38="Yes",'Job Info'!$B$37,0)))</f>
        <v/>
      </c>
      <c r="N415" s="34" t="str">
        <f aca="false">IF(F415="","",N(J415)/(1-IF(L415="",'Job Info'!$B$40,L415)))</f>
        <v/>
      </c>
      <c r="O415" s="34" t="str">
        <f aca="false">IF(F415="","",M415+N415)</f>
        <v/>
      </c>
      <c r="P415" s="34" t="str">
        <f aca="false">IF(F415="","",N(G415)*M415)</f>
        <v/>
      </c>
      <c r="Q415" s="34" t="str">
        <f aca="false">IF(F415="","",N(G415)*N415)</f>
        <v/>
      </c>
      <c r="R415" s="35" t="str">
        <f aca="false">IF(F415="","",P415+Q415)</f>
        <v/>
      </c>
      <c r="S415" s="36"/>
      <c r="T415" s="36"/>
      <c r="U415" s="34" t="str">
        <f aca="false">IF(F415="","",N(G415)*N(I415))</f>
        <v/>
      </c>
      <c r="V415" s="34" t="str">
        <f aca="false">IF(F415="","",N(G415)*N(J415))</f>
        <v/>
      </c>
      <c r="W415" s="13" t="str">
        <f aca="false">IF(F415="","",IF(B415="Excluded","",COUNTIFS($F$6:F415,"?*",$B$6:B415,"&lt;&gt;Excluded")))</f>
        <v/>
      </c>
      <c r="X415" s="34" t="str">
        <f aca="false">IF(F415="","",N(G415)*N(I415)/(1-IF(K415="",'Job Info'!$B$39,K415))*IF('Job Info'!$B$38="Yes",'Job Info'!$B$37,0))</f>
        <v/>
      </c>
    </row>
    <row r="416" customFormat="false" ht="15" hidden="false" customHeight="false" outlineLevel="0" collapsed="false">
      <c r="A416" s="13" t="str">
        <f aca="false">IF(F416="","",ROW()-5)</f>
        <v/>
      </c>
      <c r="B416" s="14"/>
      <c r="C416" s="14"/>
      <c r="D416" s="14"/>
      <c r="E416" s="14"/>
      <c r="F416" s="36"/>
      <c r="G416" s="37"/>
      <c r="H416" s="14"/>
      <c r="I416" s="38"/>
      <c r="J416" s="38"/>
      <c r="K416" s="33"/>
      <c r="L416" s="33"/>
      <c r="M416" s="34" t="str">
        <f aca="false">IF(F416="","",N(I416)/(1-IF(K416="",'Job Info'!$B$39,K416))*(1+IF('Job Info'!$B$38="Yes",'Job Info'!$B$37,0)))</f>
        <v/>
      </c>
      <c r="N416" s="34" t="str">
        <f aca="false">IF(F416="","",N(J416)/(1-IF(L416="",'Job Info'!$B$40,L416)))</f>
        <v/>
      </c>
      <c r="O416" s="34" t="str">
        <f aca="false">IF(F416="","",M416+N416)</f>
        <v/>
      </c>
      <c r="P416" s="34" t="str">
        <f aca="false">IF(F416="","",N(G416)*M416)</f>
        <v/>
      </c>
      <c r="Q416" s="34" t="str">
        <f aca="false">IF(F416="","",N(G416)*N416)</f>
        <v/>
      </c>
      <c r="R416" s="35" t="str">
        <f aca="false">IF(F416="","",P416+Q416)</f>
        <v/>
      </c>
      <c r="S416" s="36"/>
      <c r="T416" s="36"/>
      <c r="U416" s="34" t="str">
        <f aca="false">IF(F416="","",N(G416)*N(I416))</f>
        <v/>
      </c>
      <c r="V416" s="34" t="str">
        <f aca="false">IF(F416="","",N(G416)*N(J416))</f>
        <v/>
      </c>
      <c r="W416" s="13" t="str">
        <f aca="false">IF(F416="","",IF(B416="Excluded","",COUNTIFS($F$6:F416,"?*",$B$6:B416,"&lt;&gt;Excluded")))</f>
        <v/>
      </c>
      <c r="X416" s="34" t="str">
        <f aca="false">IF(F416="","",N(G416)*N(I416)/(1-IF(K416="",'Job Info'!$B$39,K416))*IF('Job Info'!$B$38="Yes",'Job Info'!$B$37,0))</f>
        <v/>
      </c>
    </row>
    <row r="417" customFormat="false" ht="15" hidden="false" customHeight="false" outlineLevel="0" collapsed="false">
      <c r="A417" s="13" t="str">
        <f aca="false">IF(F417="","",ROW()-5)</f>
        <v/>
      </c>
      <c r="B417" s="14"/>
      <c r="C417" s="14"/>
      <c r="D417" s="14"/>
      <c r="E417" s="14"/>
      <c r="F417" s="36"/>
      <c r="G417" s="37"/>
      <c r="H417" s="14"/>
      <c r="I417" s="38"/>
      <c r="J417" s="38"/>
      <c r="K417" s="33"/>
      <c r="L417" s="33"/>
      <c r="M417" s="34" t="str">
        <f aca="false">IF(F417="","",N(I417)/(1-IF(K417="",'Job Info'!$B$39,K417))*(1+IF('Job Info'!$B$38="Yes",'Job Info'!$B$37,0)))</f>
        <v/>
      </c>
      <c r="N417" s="34" t="str">
        <f aca="false">IF(F417="","",N(J417)/(1-IF(L417="",'Job Info'!$B$40,L417)))</f>
        <v/>
      </c>
      <c r="O417" s="34" t="str">
        <f aca="false">IF(F417="","",M417+N417)</f>
        <v/>
      </c>
      <c r="P417" s="34" t="str">
        <f aca="false">IF(F417="","",N(G417)*M417)</f>
        <v/>
      </c>
      <c r="Q417" s="34" t="str">
        <f aca="false">IF(F417="","",N(G417)*N417)</f>
        <v/>
      </c>
      <c r="R417" s="35" t="str">
        <f aca="false">IF(F417="","",P417+Q417)</f>
        <v/>
      </c>
      <c r="S417" s="36"/>
      <c r="T417" s="36"/>
      <c r="U417" s="34" t="str">
        <f aca="false">IF(F417="","",N(G417)*N(I417))</f>
        <v/>
      </c>
      <c r="V417" s="34" t="str">
        <f aca="false">IF(F417="","",N(G417)*N(J417))</f>
        <v/>
      </c>
      <c r="W417" s="13" t="str">
        <f aca="false">IF(F417="","",IF(B417="Excluded","",COUNTIFS($F$6:F417,"?*",$B$6:B417,"&lt;&gt;Excluded")))</f>
        <v/>
      </c>
      <c r="X417" s="34" t="str">
        <f aca="false">IF(F417="","",N(G417)*N(I417)/(1-IF(K417="",'Job Info'!$B$39,K417))*IF('Job Info'!$B$38="Yes",'Job Info'!$B$37,0))</f>
        <v/>
      </c>
    </row>
    <row r="418" customFormat="false" ht="15" hidden="false" customHeight="false" outlineLevel="0" collapsed="false">
      <c r="A418" s="13" t="str">
        <f aca="false">IF(F418="","",ROW()-5)</f>
        <v/>
      </c>
      <c r="B418" s="14"/>
      <c r="C418" s="14"/>
      <c r="D418" s="14"/>
      <c r="E418" s="14"/>
      <c r="F418" s="36"/>
      <c r="G418" s="37"/>
      <c r="H418" s="14"/>
      <c r="I418" s="38"/>
      <c r="J418" s="38"/>
      <c r="K418" s="33"/>
      <c r="L418" s="33"/>
      <c r="M418" s="34" t="str">
        <f aca="false">IF(F418="","",N(I418)/(1-IF(K418="",'Job Info'!$B$39,K418))*(1+IF('Job Info'!$B$38="Yes",'Job Info'!$B$37,0)))</f>
        <v/>
      </c>
      <c r="N418" s="34" t="str">
        <f aca="false">IF(F418="","",N(J418)/(1-IF(L418="",'Job Info'!$B$40,L418)))</f>
        <v/>
      </c>
      <c r="O418" s="34" t="str">
        <f aca="false">IF(F418="","",M418+N418)</f>
        <v/>
      </c>
      <c r="P418" s="34" t="str">
        <f aca="false">IF(F418="","",N(G418)*M418)</f>
        <v/>
      </c>
      <c r="Q418" s="34" t="str">
        <f aca="false">IF(F418="","",N(G418)*N418)</f>
        <v/>
      </c>
      <c r="R418" s="35" t="str">
        <f aca="false">IF(F418="","",P418+Q418)</f>
        <v/>
      </c>
      <c r="S418" s="36"/>
      <c r="T418" s="36"/>
      <c r="U418" s="34" t="str">
        <f aca="false">IF(F418="","",N(G418)*N(I418))</f>
        <v/>
      </c>
      <c r="V418" s="34" t="str">
        <f aca="false">IF(F418="","",N(G418)*N(J418))</f>
        <v/>
      </c>
      <c r="W418" s="13" t="str">
        <f aca="false">IF(F418="","",IF(B418="Excluded","",COUNTIFS($F$6:F418,"?*",$B$6:B418,"&lt;&gt;Excluded")))</f>
        <v/>
      </c>
      <c r="X418" s="34" t="str">
        <f aca="false">IF(F418="","",N(G418)*N(I418)/(1-IF(K418="",'Job Info'!$B$39,K418))*IF('Job Info'!$B$38="Yes",'Job Info'!$B$37,0))</f>
        <v/>
      </c>
    </row>
    <row r="419" customFormat="false" ht="15" hidden="false" customHeight="false" outlineLevel="0" collapsed="false">
      <c r="A419" s="13" t="str">
        <f aca="false">IF(F419="","",ROW()-5)</f>
        <v/>
      </c>
      <c r="B419" s="14"/>
      <c r="C419" s="14"/>
      <c r="D419" s="14"/>
      <c r="E419" s="14"/>
      <c r="F419" s="36"/>
      <c r="G419" s="37"/>
      <c r="H419" s="14"/>
      <c r="I419" s="38"/>
      <c r="J419" s="38"/>
      <c r="K419" s="33"/>
      <c r="L419" s="33"/>
      <c r="M419" s="34" t="str">
        <f aca="false">IF(F419="","",N(I419)/(1-IF(K419="",'Job Info'!$B$39,K419))*(1+IF('Job Info'!$B$38="Yes",'Job Info'!$B$37,0)))</f>
        <v/>
      </c>
      <c r="N419" s="34" t="str">
        <f aca="false">IF(F419="","",N(J419)/(1-IF(L419="",'Job Info'!$B$40,L419)))</f>
        <v/>
      </c>
      <c r="O419" s="34" t="str">
        <f aca="false">IF(F419="","",M419+N419)</f>
        <v/>
      </c>
      <c r="P419" s="34" t="str">
        <f aca="false">IF(F419="","",N(G419)*M419)</f>
        <v/>
      </c>
      <c r="Q419" s="34" t="str">
        <f aca="false">IF(F419="","",N(G419)*N419)</f>
        <v/>
      </c>
      <c r="R419" s="35" t="str">
        <f aca="false">IF(F419="","",P419+Q419)</f>
        <v/>
      </c>
      <c r="S419" s="36"/>
      <c r="T419" s="36"/>
      <c r="U419" s="34" t="str">
        <f aca="false">IF(F419="","",N(G419)*N(I419))</f>
        <v/>
      </c>
      <c r="V419" s="34" t="str">
        <f aca="false">IF(F419="","",N(G419)*N(J419))</f>
        <v/>
      </c>
      <c r="W419" s="13" t="str">
        <f aca="false">IF(F419="","",IF(B419="Excluded","",COUNTIFS($F$6:F419,"?*",$B$6:B419,"&lt;&gt;Excluded")))</f>
        <v/>
      </c>
      <c r="X419" s="34" t="str">
        <f aca="false">IF(F419="","",N(G419)*N(I419)/(1-IF(K419="",'Job Info'!$B$39,K419))*IF('Job Info'!$B$38="Yes",'Job Info'!$B$37,0))</f>
        <v/>
      </c>
    </row>
    <row r="420" customFormat="false" ht="15" hidden="false" customHeight="false" outlineLevel="0" collapsed="false">
      <c r="A420" s="13" t="str">
        <f aca="false">IF(F420="","",ROW()-5)</f>
        <v/>
      </c>
      <c r="B420" s="14"/>
      <c r="C420" s="14"/>
      <c r="D420" s="14"/>
      <c r="E420" s="14"/>
      <c r="F420" s="36"/>
      <c r="G420" s="37"/>
      <c r="H420" s="14"/>
      <c r="I420" s="38"/>
      <c r="J420" s="38"/>
      <c r="K420" s="33"/>
      <c r="L420" s="33"/>
      <c r="M420" s="34" t="str">
        <f aca="false">IF(F420="","",N(I420)/(1-IF(K420="",'Job Info'!$B$39,K420))*(1+IF('Job Info'!$B$38="Yes",'Job Info'!$B$37,0)))</f>
        <v/>
      </c>
      <c r="N420" s="34" t="str">
        <f aca="false">IF(F420="","",N(J420)/(1-IF(L420="",'Job Info'!$B$40,L420)))</f>
        <v/>
      </c>
      <c r="O420" s="34" t="str">
        <f aca="false">IF(F420="","",M420+N420)</f>
        <v/>
      </c>
      <c r="P420" s="34" t="str">
        <f aca="false">IF(F420="","",N(G420)*M420)</f>
        <v/>
      </c>
      <c r="Q420" s="34" t="str">
        <f aca="false">IF(F420="","",N(G420)*N420)</f>
        <v/>
      </c>
      <c r="R420" s="35" t="str">
        <f aca="false">IF(F420="","",P420+Q420)</f>
        <v/>
      </c>
      <c r="S420" s="36"/>
      <c r="T420" s="36"/>
      <c r="U420" s="34" t="str">
        <f aca="false">IF(F420="","",N(G420)*N(I420))</f>
        <v/>
      </c>
      <c r="V420" s="34" t="str">
        <f aca="false">IF(F420="","",N(G420)*N(J420))</f>
        <v/>
      </c>
      <c r="W420" s="13" t="str">
        <f aca="false">IF(F420="","",IF(B420="Excluded","",COUNTIFS($F$6:F420,"?*",$B$6:B420,"&lt;&gt;Excluded")))</f>
        <v/>
      </c>
      <c r="X420" s="34" t="str">
        <f aca="false">IF(F420="","",N(G420)*N(I420)/(1-IF(K420="",'Job Info'!$B$39,K420))*IF('Job Info'!$B$38="Yes",'Job Info'!$B$37,0))</f>
        <v/>
      </c>
    </row>
    <row r="421" customFormat="false" ht="15" hidden="false" customHeight="false" outlineLevel="0" collapsed="false">
      <c r="A421" s="13" t="str">
        <f aca="false">IF(F421="","",ROW()-5)</f>
        <v/>
      </c>
      <c r="B421" s="14"/>
      <c r="C421" s="14"/>
      <c r="D421" s="14"/>
      <c r="E421" s="14"/>
      <c r="F421" s="36"/>
      <c r="G421" s="37"/>
      <c r="H421" s="14"/>
      <c r="I421" s="38"/>
      <c r="J421" s="38"/>
      <c r="K421" s="33"/>
      <c r="L421" s="33"/>
      <c r="M421" s="34" t="str">
        <f aca="false">IF(F421="","",N(I421)/(1-IF(K421="",'Job Info'!$B$39,K421))*(1+IF('Job Info'!$B$38="Yes",'Job Info'!$B$37,0)))</f>
        <v/>
      </c>
      <c r="N421" s="34" t="str">
        <f aca="false">IF(F421="","",N(J421)/(1-IF(L421="",'Job Info'!$B$40,L421)))</f>
        <v/>
      </c>
      <c r="O421" s="34" t="str">
        <f aca="false">IF(F421="","",M421+N421)</f>
        <v/>
      </c>
      <c r="P421" s="34" t="str">
        <f aca="false">IF(F421="","",N(G421)*M421)</f>
        <v/>
      </c>
      <c r="Q421" s="34" t="str">
        <f aca="false">IF(F421="","",N(G421)*N421)</f>
        <v/>
      </c>
      <c r="R421" s="35" t="str">
        <f aca="false">IF(F421="","",P421+Q421)</f>
        <v/>
      </c>
      <c r="S421" s="36"/>
      <c r="T421" s="36"/>
      <c r="U421" s="34" t="str">
        <f aca="false">IF(F421="","",N(G421)*N(I421))</f>
        <v/>
      </c>
      <c r="V421" s="34" t="str">
        <f aca="false">IF(F421="","",N(G421)*N(J421))</f>
        <v/>
      </c>
      <c r="W421" s="13" t="str">
        <f aca="false">IF(F421="","",IF(B421="Excluded","",COUNTIFS($F$6:F421,"?*",$B$6:B421,"&lt;&gt;Excluded")))</f>
        <v/>
      </c>
      <c r="X421" s="34" t="str">
        <f aca="false">IF(F421="","",N(G421)*N(I421)/(1-IF(K421="",'Job Info'!$B$39,K421))*IF('Job Info'!$B$38="Yes",'Job Info'!$B$37,0))</f>
        <v/>
      </c>
    </row>
    <row r="422" customFormat="false" ht="15" hidden="false" customHeight="false" outlineLevel="0" collapsed="false">
      <c r="A422" s="13" t="str">
        <f aca="false">IF(F422="","",ROW()-5)</f>
        <v/>
      </c>
      <c r="B422" s="14"/>
      <c r="C422" s="14"/>
      <c r="D422" s="14"/>
      <c r="E422" s="14"/>
      <c r="F422" s="36"/>
      <c r="G422" s="37"/>
      <c r="H422" s="14"/>
      <c r="I422" s="38"/>
      <c r="J422" s="38"/>
      <c r="K422" s="33"/>
      <c r="L422" s="33"/>
      <c r="M422" s="34" t="str">
        <f aca="false">IF(F422="","",N(I422)/(1-IF(K422="",'Job Info'!$B$39,K422))*(1+IF('Job Info'!$B$38="Yes",'Job Info'!$B$37,0)))</f>
        <v/>
      </c>
      <c r="N422" s="34" t="str">
        <f aca="false">IF(F422="","",N(J422)/(1-IF(L422="",'Job Info'!$B$40,L422)))</f>
        <v/>
      </c>
      <c r="O422" s="34" t="str">
        <f aca="false">IF(F422="","",M422+N422)</f>
        <v/>
      </c>
      <c r="P422" s="34" t="str">
        <f aca="false">IF(F422="","",N(G422)*M422)</f>
        <v/>
      </c>
      <c r="Q422" s="34" t="str">
        <f aca="false">IF(F422="","",N(G422)*N422)</f>
        <v/>
      </c>
      <c r="R422" s="35" t="str">
        <f aca="false">IF(F422="","",P422+Q422)</f>
        <v/>
      </c>
      <c r="S422" s="36"/>
      <c r="T422" s="36"/>
      <c r="U422" s="34" t="str">
        <f aca="false">IF(F422="","",N(G422)*N(I422))</f>
        <v/>
      </c>
      <c r="V422" s="34" t="str">
        <f aca="false">IF(F422="","",N(G422)*N(J422))</f>
        <v/>
      </c>
      <c r="W422" s="13" t="str">
        <f aca="false">IF(F422="","",IF(B422="Excluded","",COUNTIFS($F$6:F422,"?*",$B$6:B422,"&lt;&gt;Excluded")))</f>
        <v/>
      </c>
      <c r="X422" s="34" t="str">
        <f aca="false">IF(F422="","",N(G422)*N(I422)/(1-IF(K422="",'Job Info'!$B$39,K422))*IF('Job Info'!$B$38="Yes",'Job Info'!$B$37,0))</f>
        <v/>
      </c>
    </row>
    <row r="423" customFormat="false" ht="15" hidden="false" customHeight="false" outlineLevel="0" collapsed="false">
      <c r="A423" s="13" t="str">
        <f aca="false">IF(F423="","",ROW()-5)</f>
        <v/>
      </c>
      <c r="B423" s="14"/>
      <c r="C423" s="14"/>
      <c r="D423" s="14"/>
      <c r="E423" s="14"/>
      <c r="F423" s="36"/>
      <c r="G423" s="37"/>
      <c r="H423" s="14"/>
      <c r="I423" s="38"/>
      <c r="J423" s="38"/>
      <c r="K423" s="33"/>
      <c r="L423" s="33"/>
      <c r="M423" s="34" t="str">
        <f aca="false">IF(F423="","",N(I423)/(1-IF(K423="",'Job Info'!$B$39,K423))*(1+IF('Job Info'!$B$38="Yes",'Job Info'!$B$37,0)))</f>
        <v/>
      </c>
      <c r="N423" s="34" t="str">
        <f aca="false">IF(F423="","",N(J423)/(1-IF(L423="",'Job Info'!$B$40,L423)))</f>
        <v/>
      </c>
      <c r="O423" s="34" t="str">
        <f aca="false">IF(F423="","",M423+N423)</f>
        <v/>
      </c>
      <c r="P423" s="34" t="str">
        <f aca="false">IF(F423="","",N(G423)*M423)</f>
        <v/>
      </c>
      <c r="Q423" s="34" t="str">
        <f aca="false">IF(F423="","",N(G423)*N423)</f>
        <v/>
      </c>
      <c r="R423" s="35" t="str">
        <f aca="false">IF(F423="","",P423+Q423)</f>
        <v/>
      </c>
      <c r="S423" s="36"/>
      <c r="T423" s="36"/>
      <c r="U423" s="34" t="str">
        <f aca="false">IF(F423="","",N(G423)*N(I423))</f>
        <v/>
      </c>
      <c r="V423" s="34" t="str">
        <f aca="false">IF(F423="","",N(G423)*N(J423))</f>
        <v/>
      </c>
      <c r="W423" s="13" t="str">
        <f aca="false">IF(F423="","",IF(B423="Excluded","",COUNTIFS($F$6:F423,"?*",$B$6:B423,"&lt;&gt;Excluded")))</f>
        <v/>
      </c>
      <c r="X423" s="34" t="str">
        <f aca="false">IF(F423="","",N(G423)*N(I423)/(1-IF(K423="",'Job Info'!$B$39,K423))*IF('Job Info'!$B$38="Yes",'Job Info'!$B$37,0))</f>
        <v/>
      </c>
    </row>
    <row r="424" customFormat="false" ht="15" hidden="false" customHeight="false" outlineLevel="0" collapsed="false">
      <c r="A424" s="13" t="str">
        <f aca="false">IF(F424="","",ROW()-5)</f>
        <v/>
      </c>
      <c r="B424" s="14"/>
      <c r="C424" s="14"/>
      <c r="D424" s="14"/>
      <c r="E424" s="14"/>
      <c r="F424" s="36"/>
      <c r="G424" s="37"/>
      <c r="H424" s="14"/>
      <c r="I424" s="38"/>
      <c r="J424" s="38"/>
      <c r="K424" s="33"/>
      <c r="L424" s="33"/>
      <c r="M424" s="34" t="str">
        <f aca="false">IF(F424="","",N(I424)/(1-IF(K424="",'Job Info'!$B$39,K424))*(1+IF('Job Info'!$B$38="Yes",'Job Info'!$B$37,0)))</f>
        <v/>
      </c>
      <c r="N424" s="34" t="str">
        <f aca="false">IF(F424="","",N(J424)/(1-IF(L424="",'Job Info'!$B$40,L424)))</f>
        <v/>
      </c>
      <c r="O424" s="34" t="str">
        <f aca="false">IF(F424="","",M424+N424)</f>
        <v/>
      </c>
      <c r="P424" s="34" t="str">
        <f aca="false">IF(F424="","",N(G424)*M424)</f>
        <v/>
      </c>
      <c r="Q424" s="34" t="str">
        <f aca="false">IF(F424="","",N(G424)*N424)</f>
        <v/>
      </c>
      <c r="R424" s="35" t="str">
        <f aca="false">IF(F424="","",P424+Q424)</f>
        <v/>
      </c>
      <c r="S424" s="36"/>
      <c r="T424" s="36"/>
      <c r="U424" s="34" t="str">
        <f aca="false">IF(F424="","",N(G424)*N(I424))</f>
        <v/>
      </c>
      <c r="V424" s="34" t="str">
        <f aca="false">IF(F424="","",N(G424)*N(J424))</f>
        <v/>
      </c>
      <c r="W424" s="13" t="str">
        <f aca="false">IF(F424="","",IF(B424="Excluded","",COUNTIFS($F$6:F424,"?*",$B$6:B424,"&lt;&gt;Excluded")))</f>
        <v/>
      </c>
      <c r="X424" s="34" t="str">
        <f aca="false">IF(F424="","",N(G424)*N(I424)/(1-IF(K424="",'Job Info'!$B$39,K424))*IF('Job Info'!$B$38="Yes",'Job Info'!$B$37,0))</f>
        <v/>
      </c>
    </row>
    <row r="425" customFormat="false" ht="15" hidden="false" customHeight="false" outlineLevel="0" collapsed="false">
      <c r="A425" s="13" t="str">
        <f aca="false">IF(F425="","",ROW()-5)</f>
        <v/>
      </c>
      <c r="B425" s="14"/>
      <c r="C425" s="14"/>
      <c r="D425" s="14"/>
      <c r="E425" s="14"/>
      <c r="F425" s="36"/>
      <c r="G425" s="37"/>
      <c r="H425" s="14"/>
      <c r="I425" s="38"/>
      <c r="J425" s="38"/>
      <c r="K425" s="33"/>
      <c r="L425" s="33"/>
      <c r="M425" s="34" t="str">
        <f aca="false">IF(F425="","",N(I425)/(1-IF(K425="",'Job Info'!$B$39,K425))*(1+IF('Job Info'!$B$38="Yes",'Job Info'!$B$37,0)))</f>
        <v/>
      </c>
      <c r="N425" s="34" t="str">
        <f aca="false">IF(F425="","",N(J425)/(1-IF(L425="",'Job Info'!$B$40,L425)))</f>
        <v/>
      </c>
      <c r="O425" s="34" t="str">
        <f aca="false">IF(F425="","",M425+N425)</f>
        <v/>
      </c>
      <c r="P425" s="34" t="str">
        <f aca="false">IF(F425="","",N(G425)*M425)</f>
        <v/>
      </c>
      <c r="Q425" s="34" t="str">
        <f aca="false">IF(F425="","",N(G425)*N425)</f>
        <v/>
      </c>
      <c r="R425" s="35" t="str">
        <f aca="false">IF(F425="","",P425+Q425)</f>
        <v/>
      </c>
      <c r="S425" s="36"/>
      <c r="T425" s="36"/>
      <c r="U425" s="34" t="str">
        <f aca="false">IF(F425="","",N(G425)*N(I425))</f>
        <v/>
      </c>
      <c r="V425" s="34" t="str">
        <f aca="false">IF(F425="","",N(G425)*N(J425))</f>
        <v/>
      </c>
      <c r="W425" s="13" t="str">
        <f aca="false">IF(F425="","",IF(B425="Excluded","",COUNTIFS($F$6:F425,"?*",$B$6:B425,"&lt;&gt;Excluded")))</f>
        <v/>
      </c>
      <c r="X425" s="34" t="str">
        <f aca="false">IF(F425="","",N(G425)*N(I425)/(1-IF(K425="",'Job Info'!$B$39,K425))*IF('Job Info'!$B$38="Yes",'Job Info'!$B$37,0))</f>
        <v/>
      </c>
    </row>
    <row r="426" customFormat="false" ht="15" hidden="false" customHeight="false" outlineLevel="0" collapsed="false">
      <c r="A426" s="13" t="str">
        <f aca="false">IF(F426="","",ROW()-5)</f>
        <v/>
      </c>
      <c r="B426" s="14"/>
      <c r="C426" s="14"/>
      <c r="D426" s="14"/>
      <c r="E426" s="14"/>
      <c r="F426" s="36"/>
      <c r="G426" s="37"/>
      <c r="H426" s="14"/>
      <c r="I426" s="38"/>
      <c r="J426" s="38"/>
      <c r="K426" s="33"/>
      <c r="L426" s="33"/>
      <c r="M426" s="34" t="str">
        <f aca="false">IF(F426="","",N(I426)/(1-IF(K426="",'Job Info'!$B$39,K426))*(1+IF('Job Info'!$B$38="Yes",'Job Info'!$B$37,0)))</f>
        <v/>
      </c>
      <c r="N426" s="34" t="str">
        <f aca="false">IF(F426="","",N(J426)/(1-IF(L426="",'Job Info'!$B$40,L426)))</f>
        <v/>
      </c>
      <c r="O426" s="34" t="str">
        <f aca="false">IF(F426="","",M426+N426)</f>
        <v/>
      </c>
      <c r="P426" s="34" t="str">
        <f aca="false">IF(F426="","",N(G426)*M426)</f>
        <v/>
      </c>
      <c r="Q426" s="34" t="str">
        <f aca="false">IF(F426="","",N(G426)*N426)</f>
        <v/>
      </c>
      <c r="R426" s="35" t="str">
        <f aca="false">IF(F426="","",P426+Q426)</f>
        <v/>
      </c>
      <c r="S426" s="36"/>
      <c r="T426" s="36"/>
      <c r="U426" s="34" t="str">
        <f aca="false">IF(F426="","",N(G426)*N(I426))</f>
        <v/>
      </c>
      <c r="V426" s="34" t="str">
        <f aca="false">IF(F426="","",N(G426)*N(J426))</f>
        <v/>
      </c>
      <c r="W426" s="13" t="str">
        <f aca="false">IF(F426="","",IF(B426="Excluded","",COUNTIFS($F$6:F426,"?*",$B$6:B426,"&lt;&gt;Excluded")))</f>
        <v/>
      </c>
      <c r="X426" s="34" t="str">
        <f aca="false">IF(F426="","",N(G426)*N(I426)/(1-IF(K426="",'Job Info'!$B$39,K426))*IF('Job Info'!$B$38="Yes",'Job Info'!$B$37,0))</f>
        <v/>
      </c>
    </row>
    <row r="427" customFormat="false" ht="15" hidden="false" customHeight="false" outlineLevel="0" collapsed="false">
      <c r="A427" s="13" t="str">
        <f aca="false">IF(F427="","",ROW()-5)</f>
        <v/>
      </c>
      <c r="B427" s="14"/>
      <c r="C427" s="14"/>
      <c r="D427" s="14"/>
      <c r="E427" s="14"/>
      <c r="F427" s="36"/>
      <c r="G427" s="37"/>
      <c r="H427" s="14"/>
      <c r="I427" s="38"/>
      <c r="J427" s="38"/>
      <c r="K427" s="33"/>
      <c r="L427" s="33"/>
      <c r="M427" s="34" t="str">
        <f aca="false">IF(F427="","",N(I427)/(1-IF(K427="",'Job Info'!$B$39,K427))*(1+IF('Job Info'!$B$38="Yes",'Job Info'!$B$37,0)))</f>
        <v/>
      </c>
      <c r="N427" s="34" t="str">
        <f aca="false">IF(F427="","",N(J427)/(1-IF(L427="",'Job Info'!$B$40,L427)))</f>
        <v/>
      </c>
      <c r="O427" s="34" t="str">
        <f aca="false">IF(F427="","",M427+N427)</f>
        <v/>
      </c>
      <c r="P427" s="34" t="str">
        <f aca="false">IF(F427="","",N(G427)*M427)</f>
        <v/>
      </c>
      <c r="Q427" s="34" t="str">
        <f aca="false">IF(F427="","",N(G427)*N427)</f>
        <v/>
      </c>
      <c r="R427" s="35" t="str">
        <f aca="false">IF(F427="","",P427+Q427)</f>
        <v/>
      </c>
      <c r="S427" s="36"/>
      <c r="T427" s="36"/>
      <c r="U427" s="34" t="str">
        <f aca="false">IF(F427="","",N(G427)*N(I427))</f>
        <v/>
      </c>
      <c r="V427" s="34" t="str">
        <f aca="false">IF(F427="","",N(G427)*N(J427))</f>
        <v/>
      </c>
      <c r="W427" s="13" t="str">
        <f aca="false">IF(F427="","",IF(B427="Excluded","",COUNTIFS($F$6:F427,"?*",$B$6:B427,"&lt;&gt;Excluded")))</f>
        <v/>
      </c>
      <c r="X427" s="34" t="str">
        <f aca="false">IF(F427="","",N(G427)*N(I427)/(1-IF(K427="",'Job Info'!$B$39,K427))*IF('Job Info'!$B$38="Yes",'Job Info'!$B$37,0))</f>
        <v/>
      </c>
    </row>
    <row r="428" customFormat="false" ht="15" hidden="false" customHeight="false" outlineLevel="0" collapsed="false">
      <c r="A428" s="13" t="str">
        <f aca="false">IF(F428="","",ROW()-5)</f>
        <v/>
      </c>
      <c r="B428" s="14"/>
      <c r="C428" s="14"/>
      <c r="D428" s="14"/>
      <c r="E428" s="14"/>
      <c r="F428" s="36"/>
      <c r="G428" s="37"/>
      <c r="H428" s="14"/>
      <c r="I428" s="38"/>
      <c r="J428" s="38"/>
      <c r="K428" s="33"/>
      <c r="L428" s="33"/>
      <c r="M428" s="34" t="str">
        <f aca="false">IF(F428="","",N(I428)/(1-IF(K428="",'Job Info'!$B$39,K428))*(1+IF('Job Info'!$B$38="Yes",'Job Info'!$B$37,0)))</f>
        <v/>
      </c>
      <c r="N428" s="34" t="str">
        <f aca="false">IF(F428="","",N(J428)/(1-IF(L428="",'Job Info'!$B$40,L428)))</f>
        <v/>
      </c>
      <c r="O428" s="34" t="str">
        <f aca="false">IF(F428="","",M428+N428)</f>
        <v/>
      </c>
      <c r="P428" s="34" t="str">
        <f aca="false">IF(F428="","",N(G428)*M428)</f>
        <v/>
      </c>
      <c r="Q428" s="34" t="str">
        <f aca="false">IF(F428="","",N(G428)*N428)</f>
        <v/>
      </c>
      <c r="R428" s="35" t="str">
        <f aca="false">IF(F428="","",P428+Q428)</f>
        <v/>
      </c>
      <c r="S428" s="36"/>
      <c r="T428" s="36"/>
      <c r="U428" s="34" t="str">
        <f aca="false">IF(F428="","",N(G428)*N(I428))</f>
        <v/>
      </c>
      <c r="V428" s="34" t="str">
        <f aca="false">IF(F428="","",N(G428)*N(J428))</f>
        <v/>
      </c>
      <c r="W428" s="13" t="str">
        <f aca="false">IF(F428="","",IF(B428="Excluded","",COUNTIFS($F$6:F428,"?*",$B$6:B428,"&lt;&gt;Excluded")))</f>
        <v/>
      </c>
      <c r="X428" s="34" t="str">
        <f aca="false">IF(F428="","",N(G428)*N(I428)/(1-IF(K428="",'Job Info'!$B$39,K428))*IF('Job Info'!$B$38="Yes",'Job Info'!$B$37,0))</f>
        <v/>
      </c>
    </row>
    <row r="429" customFormat="false" ht="15" hidden="false" customHeight="false" outlineLevel="0" collapsed="false">
      <c r="A429" s="13" t="str">
        <f aca="false">IF(F429="","",ROW()-5)</f>
        <v/>
      </c>
      <c r="B429" s="14"/>
      <c r="C429" s="14"/>
      <c r="D429" s="14"/>
      <c r="E429" s="14"/>
      <c r="F429" s="36"/>
      <c r="G429" s="37"/>
      <c r="H429" s="14"/>
      <c r="I429" s="38"/>
      <c r="J429" s="38"/>
      <c r="K429" s="33"/>
      <c r="L429" s="33"/>
      <c r="M429" s="34" t="str">
        <f aca="false">IF(F429="","",N(I429)/(1-IF(K429="",'Job Info'!$B$39,K429))*(1+IF('Job Info'!$B$38="Yes",'Job Info'!$B$37,0)))</f>
        <v/>
      </c>
      <c r="N429" s="34" t="str">
        <f aca="false">IF(F429="","",N(J429)/(1-IF(L429="",'Job Info'!$B$40,L429)))</f>
        <v/>
      </c>
      <c r="O429" s="34" t="str">
        <f aca="false">IF(F429="","",M429+N429)</f>
        <v/>
      </c>
      <c r="P429" s="34" t="str">
        <f aca="false">IF(F429="","",N(G429)*M429)</f>
        <v/>
      </c>
      <c r="Q429" s="34" t="str">
        <f aca="false">IF(F429="","",N(G429)*N429)</f>
        <v/>
      </c>
      <c r="R429" s="35" t="str">
        <f aca="false">IF(F429="","",P429+Q429)</f>
        <v/>
      </c>
      <c r="S429" s="36"/>
      <c r="T429" s="36"/>
      <c r="U429" s="34" t="str">
        <f aca="false">IF(F429="","",N(G429)*N(I429))</f>
        <v/>
      </c>
      <c r="V429" s="34" t="str">
        <f aca="false">IF(F429="","",N(G429)*N(J429))</f>
        <v/>
      </c>
      <c r="W429" s="13" t="str">
        <f aca="false">IF(F429="","",IF(B429="Excluded","",COUNTIFS($F$6:F429,"?*",$B$6:B429,"&lt;&gt;Excluded")))</f>
        <v/>
      </c>
      <c r="X429" s="34" t="str">
        <f aca="false">IF(F429="","",N(G429)*N(I429)/(1-IF(K429="",'Job Info'!$B$39,K429))*IF('Job Info'!$B$38="Yes",'Job Info'!$B$37,0))</f>
        <v/>
      </c>
    </row>
    <row r="430" customFormat="false" ht="15" hidden="false" customHeight="false" outlineLevel="0" collapsed="false">
      <c r="A430" s="13" t="str">
        <f aca="false">IF(F430="","",ROW()-5)</f>
        <v/>
      </c>
      <c r="B430" s="14"/>
      <c r="C430" s="14"/>
      <c r="D430" s="14"/>
      <c r="E430" s="14"/>
      <c r="F430" s="36"/>
      <c r="G430" s="37"/>
      <c r="H430" s="14"/>
      <c r="I430" s="38"/>
      <c r="J430" s="38"/>
      <c r="K430" s="33"/>
      <c r="L430" s="33"/>
      <c r="M430" s="34" t="str">
        <f aca="false">IF(F430="","",N(I430)/(1-IF(K430="",'Job Info'!$B$39,K430))*(1+IF('Job Info'!$B$38="Yes",'Job Info'!$B$37,0)))</f>
        <v/>
      </c>
      <c r="N430" s="34" t="str">
        <f aca="false">IF(F430="","",N(J430)/(1-IF(L430="",'Job Info'!$B$40,L430)))</f>
        <v/>
      </c>
      <c r="O430" s="34" t="str">
        <f aca="false">IF(F430="","",M430+N430)</f>
        <v/>
      </c>
      <c r="P430" s="34" t="str">
        <f aca="false">IF(F430="","",N(G430)*M430)</f>
        <v/>
      </c>
      <c r="Q430" s="34" t="str">
        <f aca="false">IF(F430="","",N(G430)*N430)</f>
        <v/>
      </c>
      <c r="R430" s="35" t="str">
        <f aca="false">IF(F430="","",P430+Q430)</f>
        <v/>
      </c>
      <c r="S430" s="36"/>
      <c r="T430" s="36"/>
      <c r="U430" s="34" t="str">
        <f aca="false">IF(F430="","",N(G430)*N(I430))</f>
        <v/>
      </c>
      <c r="V430" s="34" t="str">
        <f aca="false">IF(F430="","",N(G430)*N(J430))</f>
        <v/>
      </c>
      <c r="W430" s="13" t="str">
        <f aca="false">IF(F430="","",IF(B430="Excluded","",COUNTIFS($F$6:F430,"?*",$B$6:B430,"&lt;&gt;Excluded")))</f>
        <v/>
      </c>
      <c r="X430" s="34" t="str">
        <f aca="false">IF(F430="","",N(G430)*N(I430)/(1-IF(K430="",'Job Info'!$B$39,K430))*IF('Job Info'!$B$38="Yes",'Job Info'!$B$37,0))</f>
        <v/>
      </c>
    </row>
    <row r="431" customFormat="false" ht="15" hidden="false" customHeight="false" outlineLevel="0" collapsed="false">
      <c r="A431" s="13" t="str">
        <f aca="false">IF(F431="","",ROW()-5)</f>
        <v/>
      </c>
      <c r="B431" s="14"/>
      <c r="C431" s="14"/>
      <c r="D431" s="14"/>
      <c r="E431" s="14"/>
      <c r="F431" s="36"/>
      <c r="G431" s="37"/>
      <c r="H431" s="14"/>
      <c r="I431" s="38"/>
      <c r="J431" s="38"/>
      <c r="K431" s="33"/>
      <c r="L431" s="33"/>
      <c r="M431" s="34" t="str">
        <f aca="false">IF(F431="","",N(I431)/(1-IF(K431="",'Job Info'!$B$39,K431))*(1+IF('Job Info'!$B$38="Yes",'Job Info'!$B$37,0)))</f>
        <v/>
      </c>
      <c r="N431" s="34" t="str">
        <f aca="false">IF(F431="","",N(J431)/(1-IF(L431="",'Job Info'!$B$40,L431)))</f>
        <v/>
      </c>
      <c r="O431" s="34" t="str">
        <f aca="false">IF(F431="","",M431+N431)</f>
        <v/>
      </c>
      <c r="P431" s="34" t="str">
        <f aca="false">IF(F431="","",N(G431)*M431)</f>
        <v/>
      </c>
      <c r="Q431" s="34" t="str">
        <f aca="false">IF(F431="","",N(G431)*N431)</f>
        <v/>
      </c>
      <c r="R431" s="35" t="str">
        <f aca="false">IF(F431="","",P431+Q431)</f>
        <v/>
      </c>
      <c r="S431" s="36"/>
      <c r="T431" s="36"/>
      <c r="U431" s="34" t="str">
        <f aca="false">IF(F431="","",N(G431)*N(I431))</f>
        <v/>
      </c>
      <c r="V431" s="34" t="str">
        <f aca="false">IF(F431="","",N(G431)*N(J431))</f>
        <v/>
      </c>
      <c r="W431" s="13" t="str">
        <f aca="false">IF(F431="","",IF(B431="Excluded","",COUNTIFS($F$6:F431,"?*",$B$6:B431,"&lt;&gt;Excluded")))</f>
        <v/>
      </c>
      <c r="X431" s="34" t="str">
        <f aca="false">IF(F431="","",N(G431)*N(I431)/(1-IF(K431="",'Job Info'!$B$39,K431))*IF('Job Info'!$B$38="Yes",'Job Info'!$B$37,0))</f>
        <v/>
      </c>
    </row>
    <row r="432" customFormat="false" ht="15" hidden="false" customHeight="false" outlineLevel="0" collapsed="false">
      <c r="A432" s="13" t="str">
        <f aca="false">IF(F432="","",ROW()-5)</f>
        <v/>
      </c>
      <c r="B432" s="14"/>
      <c r="C432" s="14"/>
      <c r="D432" s="14"/>
      <c r="E432" s="14"/>
      <c r="F432" s="36"/>
      <c r="G432" s="37"/>
      <c r="H432" s="14"/>
      <c r="I432" s="38"/>
      <c r="J432" s="38"/>
      <c r="K432" s="33"/>
      <c r="L432" s="33"/>
      <c r="M432" s="34" t="str">
        <f aca="false">IF(F432="","",N(I432)/(1-IF(K432="",'Job Info'!$B$39,K432))*(1+IF('Job Info'!$B$38="Yes",'Job Info'!$B$37,0)))</f>
        <v/>
      </c>
      <c r="N432" s="34" t="str">
        <f aca="false">IF(F432="","",N(J432)/(1-IF(L432="",'Job Info'!$B$40,L432)))</f>
        <v/>
      </c>
      <c r="O432" s="34" t="str">
        <f aca="false">IF(F432="","",M432+N432)</f>
        <v/>
      </c>
      <c r="P432" s="34" t="str">
        <f aca="false">IF(F432="","",N(G432)*M432)</f>
        <v/>
      </c>
      <c r="Q432" s="34" t="str">
        <f aca="false">IF(F432="","",N(G432)*N432)</f>
        <v/>
      </c>
      <c r="R432" s="35" t="str">
        <f aca="false">IF(F432="","",P432+Q432)</f>
        <v/>
      </c>
      <c r="S432" s="36"/>
      <c r="T432" s="36"/>
      <c r="U432" s="34" t="str">
        <f aca="false">IF(F432="","",N(G432)*N(I432))</f>
        <v/>
      </c>
      <c r="V432" s="34" t="str">
        <f aca="false">IF(F432="","",N(G432)*N(J432))</f>
        <v/>
      </c>
      <c r="W432" s="13" t="str">
        <f aca="false">IF(F432="","",IF(B432="Excluded","",COUNTIFS($F$6:F432,"?*",$B$6:B432,"&lt;&gt;Excluded")))</f>
        <v/>
      </c>
      <c r="X432" s="34" t="str">
        <f aca="false">IF(F432="","",N(G432)*N(I432)/(1-IF(K432="",'Job Info'!$B$39,K432))*IF('Job Info'!$B$38="Yes",'Job Info'!$B$37,0))</f>
        <v/>
      </c>
    </row>
    <row r="433" customFormat="false" ht="15" hidden="false" customHeight="false" outlineLevel="0" collapsed="false">
      <c r="A433" s="13" t="str">
        <f aca="false">IF(F433="","",ROW()-5)</f>
        <v/>
      </c>
      <c r="B433" s="14"/>
      <c r="C433" s="14"/>
      <c r="D433" s="14"/>
      <c r="E433" s="14"/>
      <c r="F433" s="36"/>
      <c r="G433" s="37"/>
      <c r="H433" s="14"/>
      <c r="I433" s="38"/>
      <c r="J433" s="38"/>
      <c r="K433" s="33"/>
      <c r="L433" s="33"/>
      <c r="M433" s="34" t="str">
        <f aca="false">IF(F433="","",N(I433)/(1-IF(K433="",'Job Info'!$B$39,K433))*(1+IF('Job Info'!$B$38="Yes",'Job Info'!$B$37,0)))</f>
        <v/>
      </c>
      <c r="N433" s="34" t="str">
        <f aca="false">IF(F433="","",N(J433)/(1-IF(L433="",'Job Info'!$B$40,L433)))</f>
        <v/>
      </c>
      <c r="O433" s="34" t="str">
        <f aca="false">IF(F433="","",M433+N433)</f>
        <v/>
      </c>
      <c r="P433" s="34" t="str">
        <f aca="false">IF(F433="","",N(G433)*M433)</f>
        <v/>
      </c>
      <c r="Q433" s="34" t="str">
        <f aca="false">IF(F433="","",N(G433)*N433)</f>
        <v/>
      </c>
      <c r="R433" s="35" t="str">
        <f aca="false">IF(F433="","",P433+Q433)</f>
        <v/>
      </c>
      <c r="S433" s="36"/>
      <c r="T433" s="36"/>
      <c r="U433" s="34" t="str">
        <f aca="false">IF(F433="","",N(G433)*N(I433))</f>
        <v/>
      </c>
      <c r="V433" s="34" t="str">
        <f aca="false">IF(F433="","",N(G433)*N(J433))</f>
        <v/>
      </c>
      <c r="W433" s="13" t="str">
        <f aca="false">IF(F433="","",IF(B433="Excluded","",COUNTIFS($F$6:F433,"?*",$B$6:B433,"&lt;&gt;Excluded")))</f>
        <v/>
      </c>
      <c r="X433" s="34" t="str">
        <f aca="false">IF(F433="","",N(G433)*N(I433)/(1-IF(K433="",'Job Info'!$B$39,K433))*IF('Job Info'!$B$38="Yes",'Job Info'!$B$37,0))</f>
        <v/>
      </c>
    </row>
    <row r="434" customFormat="false" ht="15" hidden="false" customHeight="false" outlineLevel="0" collapsed="false">
      <c r="A434" s="13" t="str">
        <f aca="false">IF(F434="","",ROW()-5)</f>
        <v/>
      </c>
      <c r="B434" s="14"/>
      <c r="C434" s="14"/>
      <c r="D434" s="14"/>
      <c r="E434" s="14"/>
      <c r="F434" s="36"/>
      <c r="G434" s="37"/>
      <c r="H434" s="14"/>
      <c r="I434" s="38"/>
      <c r="J434" s="38"/>
      <c r="K434" s="33"/>
      <c r="L434" s="33"/>
      <c r="M434" s="34" t="str">
        <f aca="false">IF(F434="","",N(I434)/(1-IF(K434="",'Job Info'!$B$39,K434))*(1+IF('Job Info'!$B$38="Yes",'Job Info'!$B$37,0)))</f>
        <v/>
      </c>
      <c r="N434" s="34" t="str">
        <f aca="false">IF(F434="","",N(J434)/(1-IF(L434="",'Job Info'!$B$40,L434)))</f>
        <v/>
      </c>
      <c r="O434" s="34" t="str">
        <f aca="false">IF(F434="","",M434+N434)</f>
        <v/>
      </c>
      <c r="P434" s="34" t="str">
        <f aca="false">IF(F434="","",N(G434)*M434)</f>
        <v/>
      </c>
      <c r="Q434" s="34" t="str">
        <f aca="false">IF(F434="","",N(G434)*N434)</f>
        <v/>
      </c>
      <c r="R434" s="35" t="str">
        <f aca="false">IF(F434="","",P434+Q434)</f>
        <v/>
      </c>
      <c r="S434" s="36"/>
      <c r="T434" s="36"/>
      <c r="U434" s="34" t="str">
        <f aca="false">IF(F434="","",N(G434)*N(I434))</f>
        <v/>
      </c>
      <c r="V434" s="34" t="str">
        <f aca="false">IF(F434="","",N(G434)*N(J434))</f>
        <v/>
      </c>
      <c r="W434" s="13" t="str">
        <f aca="false">IF(F434="","",IF(B434="Excluded","",COUNTIFS($F$6:F434,"?*",$B$6:B434,"&lt;&gt;Excluded")))</f>
        <v/>
      </c>
      <c r="X434" s="34" t="str">
        <f aca="false">IF(F434="","",N(G434)*N(I434)/(1-IF(K434="",'Job Info'!$B$39,K434))*IF('Job Info'!$B$38="Yes",'Job Info'!$B$37,0))</f>
        <v/>
      </c>
    </row>
    <row r="435" customFormat="false" ht="15" hidden="false" customHeight="false" outlineLevel="0" collapsed="false">
      <c r="A435" s="13" t="str">
        <f aca="false">IF(F435="","",ROW()-5)</f>
        <v/>
      </c>
      <c r="B435" s="14"/>
      <c r="C435" s="14"/>
      <c r="D435" s="14"/>
      <c r="E435" s="14"/>
      <c r="F435" s="36"/>
      <c r="G435" s="37"/>
      <c r="H435" s="14"/>
      <c r="I435" s="38"/>
      <c r="J435" s="38"/>
      <c r="K435" s="33"/>
      <c r="L435" s="33"/>
      <c r="M435" s="34" t="str">
        <f aca="false">IF(F435="","",N(I435)/(1-IF(K435="",'Job Info'!$B$39,K435))*(1+IF('Job Info'!$B$38="Yes",'Job Info'!$B$37,0)))</f>
        <v/>
      </c>
      <c r="N435" s="34" t="str">
        <f aca="false">IF(F435="","",N(J435)/(1-IF(L435="",'Job Info'!$B$40,L435)))</f>
        <v/>
      </c>
      <c r="O435" s="34" t="str">
        <f aca="false">IF(F435="","",M435+N435)</f>
        <v/>
      </c>
      <c r="P435" s="34" t="str">
        <f aca="false">IF(F435="","",N(G435)*M435)</f>
        <v/>
      </c>
      <c r="Q435" s="34" t="str">
        <f aca="false">IF(F435="","",N(G435)*N435)</f>
        <v/>
      </c>
      <c r="R435" s="35" t="str">
        <f aca="false">IF(F435="","",P435+Q435)</f>
        <v/>
      </c>
      <c r="S435" s="36"/>
      <c r="T435" s="36"/>
      <c r="U435" s="34" t="str">
        <f aca="false">IF(F435="","",N(G435)*N(I435))</f>
        <v/>
      </c>
      <c r="V435" s="34" t="str">
        <f aca="false">IF(F435="","",N(G435)*N(J435))</f>
        <v/>
      </c>
      <c r="W435" s="13" t="str">
        <f aca="false">IF(F435="","",IF(B435="Excluded","",COUNTIFS($F$6:F435,"?*",$B$6:B435,"&lt;&gt;Excluded")))</f>
        <v/>
      </c>
      <c r="X435" s="34" t="str">
        <f aca="false">IF(F435="","",N(G435)*N(I435)/(1-IF(K435="",'Job Info'!$B$39,K435))*IF('Job Info'!$B$38="Yes",'Job Info'!$B$37,0))</f>
        <v/>
      </c>
    </row>
    <row r="436" customFormat="false" ht="15" hidden="false" customHeight="false" outlineLevel="0" collapsed="false">
      <c r="A436" s="13" t="str">
        <f aca="false">IF(F436="","",ROW()-5)</f>
        <v/>
      </c>
      <c r="B436" s="14"/>
      <c r="C436" s="14"/>
      <c r="D436" s="14"/>
      <c r="E436" s="14"/>
      <c r="F436" s="36"/>
      <c r="G436" s="37"/>
      <c r="H436" s="14"/>
      <c r="I436" s="38"/>
      <c r="J436" s="38"/>
      <c r="K436" s="33"/>
      <c r="L436" s="33"/>
      <c r="M436" s="34" t="str">
        <f aca="false">IF(F436="","",N(I436)/(1-IF(K436="",'Job Info'!$B$39,K436))*(1+IF('Job Info'!$B$38="Yes",'Job Info'!$B$37,0)))</f>
        <v/>
      </c>
      <c r="N436" s="34" t="str">
        <f aca="false">IF(F436="","",N(J436)/(1-IF(L436="",'Job Info'!$B$40,L436)))</f>
        <v/>
      </c>
      <c r="O436" s="34" t="str">
        <f aca="false">IF(F436="","",M436+N436)</f>
        <v/>
      </c>
      <c r="P436" s="34" t="str">
        <f aca="false">IF(F436="","",N(G436)*M436)</f>
        <v/>
      </c>
      <c r="Q436" s="34" t="str">
        <f aca="false">IF(F436="","",N(G436)*N436)</f>
        <v/>
      </c>
      <c r="R436" s="35" t="str">
        <f aca="false">IF(F436="","",P436+Q436)</f>
        <v/>
      </c>
      <c r="S436" s="36"/>
      <c r="T436" s="36"/>
      <c r="U436" s="34" t="str">
        <f aca="false">IF(F436="","",N(G436)*N(I436))</f>
        <v/>
      </c>
      <c r="V436" s="34" t="str">
        <f aca="false">IF(F436="","",N(G436)*N(J436))</f>
        <v/>
      </c>
      <c r="W436" s="13" t="str">
        <f aca="false">IF(F436="","",IF(B436="Excluded","",COUNTIFS($F$6:F436,"?*",$B$6:B436,"&lt;&gt;Excluded")))</f>
        <v/>
      </c>
      <c r="X436" s="34" t="str">
        <f aca="false">IF(F436="","",N(G436)*N(I436)/(1-IF(K436="",'Job Info'!$B$39,K436))*IF('Job Info'!$B$38="Yes",'Job Info'!$B$37,0))</f>
        <v/>
      </c>
    </row>
    <row r="437" customFormat="false" ht="15" hidden="false" customHeight="false" outlineLevel="0" collapsed="false">
      <c r="A437" s="13" t="str">
        <f aca="false">IF(F437="","",ROW()-5)</f>
        <v/>
      </c>
      <c r="B437" s="14"/>
      <c r="C437" s="14"/>
      <c r="D437" s="14"/>
      <c r="E437" s="14"/>
      <c r="F437" s="36"/>
      <c r="G437" s="37"/>
      <c r="H437" s="14"/>
      <c r="I437" s="38"/>
      <c r="J437" s="38"/>
      <c r="K437" s="33"/>
      <c r="L437" s="33"/>
      <c r="M437" s="34" t="str">
        <f aca="false">IF(F437="","",N(I437)/(1-IF(K437="",'Job Info'!$B$39,K437))*(1+IF('Job Info'!$B$38="Yes",'Job Info'!$B$37,0)))</f>
        <v/>
      </c>
      <c r="N437" s="34" t="str">
        <f aca="false">IF(F437="","",N(J437)/(1-IF(L437="",'Job Info'!$B$40,L437)))</f>
        <v/>
      </c>
      <c r="O437" s="34" t="str">
        <f aca="false">IF(F437="","",M437+N437)</f>
        <v/>
      </c>
      <c r="P437" s="34" t="str">
        <f aca="false">IF(F437="","",N(G437)*M437)</f>
        <v/>
      </c>
      <c r="Q437" s="34" t="str">
        <f aca="false">IF(F437="","",N(G437)*N437)</f>
        <v/>
      </c>
      <c r="R437" s="35" t="str">
        <f aca="false">IF(F437="","",P437+Q437)</f>
        <v/>
      </c>
      <c r="S437" s="36"/>
      <c r="T437" s="36"/>
      <c r="U437" s="34" t="str">
        <f aca="false">IF(F437="","",N(G437)*N(I437))</f>
        <v/>
      </c>
      <c r="V437" s="34" t="str">
        <f aca="false">IF(F437="","",N(G437)*N(J437))</f>
        <v/>
      </c>
      <c r="W437" s="13" t="str">
        <f aca="false">IF(F437="","",IF(B437="Excluded","",COUNTIFS($F$6:F437,"?*",$B$6:B437,"&lt;&gt;Excluded")))</f>
        <v/>
      </c>
      <c r="X437" s="34" t="str">
        <f aca="false">IF(F437="","",N(G437)*N(I437)/(1-IF(K437="",'Job Info'!$B$39,K437))*IF('Job Info'!$B$38="Yes",'Job Info'!$B$37,0))</f>
        <v/>
      </c>
    </row>
    <row r="438" customFormat="false" ht="15" hidden="false" customHeight="false" outlineLevel="0" collapsed="false">
      <c r="A438" s="13" t="str">
        <f aca="false">IF(F438="","",ROW()-5)</f>
        <v/>
      </c>
      <c r="B438" s="14"/>
      <c r="C438" s="14"/>
      <c r="D438" s="14"/>
      <c r="E438" s="14"/>
      <c r="F438" s="36"/>
      <c r="G438" s="37"/>
      <c r="H438" s="14"/>
      <c r="I438" s="38"/>
      <c r="J438" s="38"/>
      <c r="K438" s="33"/>
      <c r="L438" s="33"/>
      <c r="M438" s="34" t="str">
        <f aca="false">IF(F438="","",N(I438)/(1-IF(K438="",'Job Info'!$B$39,K438))*(1+IF('Job Info'!$B$38="Yes",'Job Info'!$B$37,0)))</f>
        <v/>
      </c>
      <c r="N438" s="34" t="str">
        <f aca="false">IF(F438="","",N(J438)/(1-IF(L438="",'Job Info'!$B$40,L438)))</f>
        <v/>
      </c>
      <c r="O438" s="34" t="str">
        <f aca="false">IF(F438="","",M438+N438)</f>
        <v/>
      </c>
      <c r="P438" s="34" t="str">
        <f aca="false">IF(F438="","",N(G438)*M438)</f>
        <v/>
      </c>
      <c r="Q438" s="34" t="str">
        <f aca="false">IF(F438="","",N(G438)*N438)</f>
        <v/>
      </c>
      <c r="R438" s="35" t="str">
        <f aca="false">IF(F438="","",P438+Q438)</f>
        <v/>
      </c>
      <c r="S438" s="36"/>
      <c r="T438" s="36"/>
      <c r="U438" s="34" t="str">
        <f aca="false">IF(F438="","",N(G438)*N(I438))</f>
        <v/>
      </c>
      <c r="V438" s="34" t="str">
        <f aca="false">IF(F438="","",N(G438)*N(J438))</f>
        <v/>
      </c>
      <c r="W438" s="13" t="str">
        <f aca="false">IF(F438="","",IF(B438="Excluded","",COUNTIFS($F$6:F438,"?*",$B$6:B438,"&lt;&gt;Excluded")))</f>
        <v/>
      </c>
      <c r="X438" s="34" t="str">
        <f aca="false">IF(F438="","",N(G438)*N(I438)/(1-IF(K438="",'Job Info'!$B$39,K438))*IF('Job Info'!$B$38="Yes",'Job Info'!$B$37,0))</f>
        <v/>
      </c>
    </row>
    <row r="439" customFormat="false" ht="15" hidden="false" customHeight="false" outlineLevel="0" collapsed="false">
      <c r="A439" s="13" t="str">
        <f aca="false">IF(F439="","",ROW()-5)</f>
        <v/>
      </c>
      <c r="B439" s="14"/>
      <c r="C439" s="14"/>
      <c r="D439" s="14"/>
      <c r="E439" s="14"/>
      <c r="F439" s="36"/>
      <c r="G439" s="37"/>
      <c r="H439" s="14"/>
      <c r="I439" s="38"/>
      <c r="J439" s="38"/>
      <c r="K439" s="33"/>
      <c r="L439" s="33"/>
      <c r="M439" s="34" t="str">
        <f aca="false">IF(F439="","",N(I439)/(1-IF(K439="",'Job Info'!$B$39,K439))*(1+IF('Job Info'!$B$38="Yes",'Job Info'!$B$37,0)))</f>
        <v/>
      </c>
      <c r="N439" s="34" t="str">
        <f aca="false">IF(F439="","",N(J439)/(1-IF(L439="",'Job Info'!$B$40,L439)))</f>
        <v/>
      </c>
      <c r="O439" s="34" t="str">
        <f aca="false">IF(F439="","",M439+N439)</f>
        <v/>
      </c>
      <c r="P439" s="34" t="str">
        <f aca="false">IF(F439="","",N(G439)*M439)</f>
        <v/>
      </c>
      <c r="Q439" s="34" t="str">
        <f aca="false">IF(F439="","",N(G439)*N439)</f>
        <v/>
      </c>
      <c r="R439" s="35" t="str">
        <f aca="false">IF(F439="","",P439+Q439)</f>
        <v/>
      </c>
      <c r="S439" s="36"/>
      <c r="T439" s="36"/>
      <c r="U439" s="34" t="str">
        <f aca="false">IF(F439="","",N(G439)*N(I439))</f>
        <v/>
      </c>
      <c r="V439" s="34" t="str">
        <f aca="false">IF(F439="","",N(G439)*N(J439))</f>
        <v/>
      </c>
      <c r="W439" s="13" t="str">
        <f aca="false">IF(F439="","",IF(B439="Excluded","",COUNTIFS($F$6:F439,"?*",$B$6:B439,"&lt;&gt;Excluded")))</f>
        <v/>
      </c>
      <c r="X439" s="34" t="str">
        <f aca="false">IF(F439="","",N(G439)*N(I439)/(1-IF(K439="",'Job Info'!$B$39,K439))*IF('Job Info'!$B$38="Yes",'Job Info'!$B$37,0))</f>
        <v/>
      </c>
    </row>
    <row r="440" customFormat="false" ht="15" hidden="false" customHeight="false" outlineLevel="0" collapsed="false">
      <c r="A440" s="13" t="str">
        <f aca="false">IF(F440="","",ROW()-5)</f>
        <v/>
      </c>
      <c r="B440" s="14"/>
      <c r="C440" s="14"/>
      <c r="D440" s="14"/>
      <c r="E440" s="14"/>
      <c r="F440" s="36"/>
      <c r="G440" s="37"/>
      <c r="H440" s="14"/>
      <c r="I440" s="38"/>
      <c r="J440" s="38"/>
      <c r="K440" s="33"/>
      <c r="L440" s="33"/>
      <c r="M440" s="34" t="str">
        <f aca="false">IF(F440="","",N(I440)/(1-IF(K440="",'Job Info'!$B$39,K440))*(1+IF('Job Info'!$B$38="Yes",'Job Info'!$B$37,0)))</f>
        <v/>
      </c>
      <c r="N440" s="34" t="str">
        <f aca="false">IF(F440="","",N(J440)/(1-IF(L440="",'Job Info'!$B$40,L440)))</f>
        <v/>
      </c>
      <c r="O440" s="34" t="str">
        <f aca="false">IF(F440="","",M440+N440)</f>
        <v/>
      </c>
      <c r="P440" s="34" t="str">
        <f aca="false">IF(F440="","",N(G440)*M440)</f>
        <v/>
      </c>
      <c r="Q440" s="34" t="str">
        <f aca="false">IF(F440="","",N(G440)*N440)</f>
        <v/>
      </c>
      <c r="R440" s="35" t="str">
        <f aca="false">IF(F440="","",P440+Q440)</f>
        <v/>
      </c>
      <c r="S440" s="36"/>
      <c r="T440" s="36"/>
      <c r="U440" s="34" t="str">
        <f aca="false">IF(F440="","",N(G440)*N(I440))</f>
        <v/>
      </c>
      <c r="V440" s="34" t="str">
        <f aca="false">IF(F440="","",N(G440)*N(J440))</f>
        <v/>
      </c>
      <c r="W440" s="13" t="str">
        <f aca="false">IF(F440="","",IF(B440="Excluded","",COUNTIFS($F$6:F440,"?*",$B$6:B440,"&lt;&gt;Excluded")))</f>
        <v/>
      </c>
      <c r="X440" s="34" t="str">
        <f aca="false">IF(F440="","",N(G440)*N(I440)/(1-IF(K440="",'Job Info'!$B$39,K440))*IF('Job Info'!$B$38="Yes",'Job Info'!$B$37,0))</f>
        <v/>
      </c>
    </row>
    <row r="441" customFormat="false" ht="15" hidden="false" customHeight="false" outlineLevel="0" collapsed="false">
      <c r="A441" s="13" t="str">
        <f aca="false">IF(F441="","",ROW()-5)</f>
        <v/>
      </c>
      <c r="B441" s="14"/>
      <c r="C441" s="14"/>
      <c r="D441" s="14"/>
      <c r="E441" s="14"/>
      <c r="F441" s="36"/>
      <c r="G441" s="37"/>
      <c r="H441" s="14"/>
      <c r="I441" s="38"/>
      <c r="J441" s="38"/>
      <c r="K441" s="33"/>
      <c r="L441" s="33"/>
      <c r="M441" s="34" t="str">
        <f aca="false">IF(F441="","",N(I441)/(1-IF(K441="",'Job Info'!$B$39,K441))*(1+IF('Job Info'!$B$38="Yes",'Job Info'!$B$37,0)))</f>
        <v/>
      </c>
      <c r="N441" s="34" t="str">
        <f aca="false">IF(F441="","",N(J441)/(1-IF(L441="",'Job Info'!$B$40,L441)))</f>
        <v/>
      </c>
      <c r="O441" s="34" t="str">
        <f aca="false">IF(F441="","",M441+N441)</f>
        <v/>
      </c>
      <c r="P441" s="34" t="str">
        <f aca="false">IF(F441="","",N(G441)*M441)</f>
        <v/>
      </c>
      <c r="Q441" s="34" t="str">
        <f aca="false">IF(F441="","",N(G441)*N441)</f>
        <v/>
      </c>
      <c r="R441" s="35" t="str">
        <f aca="false">IF(F441="","",P441+Q441)</f>
        <v/>
      </c>
      <c r="S441" s="36"/>
      <c r="T441" s="36"/>
      <c r="U441" s="34" t="str">
        <f aca="false">IF(F441="","",N(G441)*N(I441))</f>
        <v/>
      </c>
      <c r="V441" s="34" t="str">
        <f aca="false">IF(F441="","",N(G441)*N(J441))</f>
        <v/>
      </c>
      <c r="W441" s="13" t="str">
        <f aca="false">IF(F441="","",IF(B441="Excluded","",COUNTIFS($F$6:F441,"?*",$B$6:B441,"&lt;&gt;Excluded")))</f>
        <v/>
      </c>
      <c r="X441" s="34" t="str">
        <f aca="false">IF(F441="","",N(G441)*N(I441)/(1-IF(K441="",'Job Info'!$B$39,K441))*IF('Job Info'!$B$38="Yes",'Job Info'!$B$37,0))</f>
        <v/>
      </c>
    </row>
    <row r="442" customFormat="false" ht="15" hidden="false" customHeight="false" outlineLevel="0" collapsed="false">
      <c r="A442" s="13" t="str">
        <f aca="false">IF(F442="","",ROW()-5)</f>
        <v/>
      </c>
      <c r="B442" s="14"/>
      <c r="C442" s="14"/>
      <c r="D442" s="14"/>
      <c r="E442" s="14"/>
      <c r="F442" s="36"/>
      <c r="G442" s="37"/>
      <c r="H442" s="14"/>
      <c r="I442" s="38"/>
      <c r="J442" s="38"/>
      <c r="K442" s="33"/>
      <c r="L442" s="33"/>
      <c r="M442" s="34" t="str">
        <f aca="false">IF(F442="","",N(I442)/(1-IF(K442="",'Job Info'!$B$39,K442))*(1+IF('Job Info'!$B$38="Yes",'Job Info'!$B$37,0)))</f>
        <v/>
      </c>
      <c r="N442" s="34" t="str">
        <f aca="false">IF(F442="","",N(J442)/(1-IF(L442="",'Job Info'!$B$40,L442)))</f>
        <v/>
      </c>
      <c r="O442" s="34" t="str">
        <f aca="false">IF(F442="","",M442+N442)</f>
        <v/>
      </c>
      <c r="P442" s="34" t="str">
        <f aca="false">IF(F442="","",N(G442)*M442)</f>
        <v/>
      </c>
      <c r="Q442" s="34" t="str">
        <f aca="false">IF(F442="","",N(G442)*N442)</f>
        <v/>
      </c>
      <c r="R442" s="35" t="str">
        <f aca="false">IF(F442="","",P442+Q442)</f>
        <v/>
      </c>
      <c r="S442" s="36"/>
      <c r="T442" s="36"/>
      <c r="U442" s="34" t="str">
        <f aca="false">IF(F442="","",N(G442)*N(I442))</f>
        <v/>
      </c>
      <c r="V442" s="34" t="str">
        <f aca="false">IF(F442="","",N(G442)*N(J442))</f>
        <v/>
      </c>
      <c r="W442" s="13" t="str">
        <f aca="false">IF(F442="","",IF(B442="Excluded","",COUNTIFS($F$6:F442,"?*",$B$6:B442,"&lt;&gt;Excluded")))</f>
        <v/>
      </c>
      <c r="X442" s="34" t="str">
        <f aca="false">IF(F442="","",N(G442)*N(I442)/(1-IF(K442="",'Job Info'!$B$39,K442))*IF('Job Info'!$B$38="Yes",'Job Info'!$B$37,0))</f>
        <v/>
      </c>
    </row>
    <row r="443" customFormat="false" ht="15" hidden="false" customHeight="false" outlineLevel="0" collapsed="false">
      <c r="A443" s="13" t="str">
        <f aca="false">IF(F443="","",ROW()-5)</f>
        <v/>
      </c>
      <c r="B443" s="14"/>
      <c r="C443" s="14"/>
      <c r="D443" s="14"/>
      <c r="E443" s="14"/>
      <c r="F443" s="36"/>
      <c r="G443" s="37"/>
      <c r="H443" s="14"/>
      <c r="I443" s="38"/>
      <c r="J443" s="38"/>
      <c r="K443" s="33"/>
      <c r="L443" s="33"/>
      <c r="M443" s="34" t="str">
        <f aca="false">IF(F443="","",N(I443)/(1-IF(K443="",'Job Info'!$B$39,K443))*(1+IF('Job Info'!$B$38="Yes",'Job Info'!$B$37,0)))</f>
        <v/>
      </c>
      <c r="N443" s="34" t="str">
        <f aca="false">IF(F443="","",N(J443)/(1-IF(L443="",'Job Info'!$B$40,L443)))</f>
        <v/>
      </c>
      <c r="O443" s="34" t="str">
        <f aca="false">IF(F443="","",M443+N443)</f>
        <v/>
      </c>
      <c r="P443" s="34" t="str">
        <f aca="false">IF(F443="","",N(G443)*M443)</f>
        <v/>
      </c>
      <c r="Q443" s="34" t="str">
        <f aca="false">IF(F443="","",N(G443)*N443)</f>
        <v/>
      </c>
      <c r="R443" s="35" t="str">
        <f aca="false">IF(F443="","",P443+Q443)</f>
        <v/>
      </c>
      <c r="S443" s="36"/>
      <c r="T443" s="36"/>
      <c r="U443" s="34" t="str">
        <f aca="false">IF(F443="","",N(G443)*N(I443))</f>
        <v/>
      </c>
      <c r="V443" s="34" t="str">
        <f aca="false">IF(F443="","",N(G443)*N(J443))</f>
        <v/>
      </c>
      <c r="W443" s="13" t="str">
        <f aca="false">IF(F443="","",IF(B443="Excluded","",COUNTIFS($F$6:F443,"?*",$B$6:B443,"&lt;&gt;Excluded")))</f>
        <v/>
      </c>
      <c r="X443" s="34" t="str">
        <f aca="false">IF(F443="","",N(G443)*N(I443)/(1-IF(K443="",'Job Info'!$B$39,K443))*IF('Job Info'!$B$38="Yes",'Job Info'!$B$37,0))</f>
        <v/>
      </c>
    </row>
    <row r="444" customFormat="false" ht="15" hidden="false" customHeight="false" outlineLevel="0" collapsed="false">
      <c r="A444" s="13" t="str">
        <f aca="false">IF(F444="","",ROW()-5)</f>
        <v/>
      </c>
      <c r="B444" s="14"/>
      <c r="C444" s="14"/>
      <c r="D444" s="14"/>
      <c r="E444" s="14"/>
      <c r="F444" s="36"/>
      <c r="G444" s="37"/>
      <c r="H444" s="14"/>
      <c r="I444" s="38"/>
      <c r="J444" s="38"/>
      <c r="K444" s="33"/>
      <c r="L444" s="33"/>
      <c r="M444" s="34" t="str">
        <f aca="false">IF(F444="","",N(I444)/(1-IF(K444="",'Job Info'!$B$39,K444))*(1+IF('Job Info'!$B$38="Yes",'Job Info'!$B$37,0)))</f>
        <v/>
      </c>
      <c r="N444" s="34" t="str">
        <f aca="false">IF(F444="","",N(J444)/(1-IF(L444="",'Job Info'!$B$40,L444)))</f>
        <v/>
      </c>
      <c r="O444" s="34" t="str">
        <f aca="false">IF(F444="","",M444+N444)</f>
        <v/>
      </c>
      <c r="P444" s="34" t="str">
        <f aca="false">IF(F444="","",N(G444)*M444)</f>
        <v/>
      </c>
      <c r="Q444" s="34" t="str">
        <f aca="false">IF(F444="","",N(G444)*N444)</f>
        <v/>
      </c>
      <c r="R444" s="35" t="str">
        <f aca="false">IF(F444="","",P444+Q444)</f>
        <v/>
      </c>
      <c r="S444" s="36"/>
      <c r="T444" s="36"/>
      <c r="U444" s="34" t="str">
        <f aca="false">IF(F444="","",N(G444)*N(I444))</f>
        <v/>
      </c>
      <c r="V444" s="34" t="str">
        <f aca="false">IF(F444="","",N(G444)*N(J444))</f>
        <v/>
      </c>
      <c r="W444" s="13" t="str">
        <f aca="false">IF(F444="","",IF(B444="Excluded","",COUNTIFS($F$6:F444,"?*",$B$6:B444,"&lt;&gt;Excluded")))</f>
        <v/>
      </c>
      <c r="X444" s="34" t="str">
        <f aca="false">IF(F444="","",N(G444)*N(I444)/(1-IF(K444="",'Job Info'!$B$39,K444))*IF('Job Info'!$B$38="Yes",'Job Info'!$B$37,0))</f>
        <v/>
      </c>
    </row>
    <row r="445" customFormat="false" ht="15" hidden="false" customHeight="false" outlineLevel="0" collapsed="false">
      <c r="A445" s="13" t="str">
        <f aca="false">IF(F445="","",ROW()-5)</f>
        <v/>
      </c>
      <c r="B445" s="14"/>
      <c r="C445" s="14"/>
      <c r="D445" s="14"/>
      <c r="E445" s="14"/>
      <c r="F445" s="36"/>
      <c r="G445" s="37"/>
      <c r="H445" s="14"/>
      <c r="I445" s="38"/>
      <c r="J445" s="38"/>
      <c r="K445" s="33"/>
      <c r="L445" s="33"/>
      <c r="M445" s="34" t="str">
        <f aca="false">IF(F445="","",N(I445)/(1-IF(K445="",'Job Info'!$B$39,K445))*(1+IF('Job Info'!$B$38="Yes",'Job Info'!$B$37,0)))</f>
        <v/>
      </c>
      <c r="N445" s="34" t="str">
        <f aca="false">IF(F445="","",N(J445)/(1-IF(L445="",'Job Info'!$B$40,L445)))</f>
        <v/>
      </c>
      <c r="O445" s="34" t="str">
        <f aca="false">IF(F445="","",M445+N445)</f>
        <v/>
      </c>
      <c r="P445" s="34" t="str">
        <f aca="false">IF(F445="","",N(G445)*M445)</f>
        <v/>
      </c>
      <c r="Q445" s="34" t="str">
        <f aca="false">IF(F445="","",N(G445)*N445)</f>
        <v/>
      </c>
      <c r="R445" s="35" t="str">
        <f aca="false">IF(F445="","",P445+Q445)</f>
        <v/>
      </c>
      <c r="S445" s="36"/>
      <c r="T445" s="36"/>
      <c r="U445" s="34" t="str">
        <f aca="false">IF(F445="","",N(G445)*N(I445))</f>
        <v/>
      </c>
      <c r="V445" s="34" t="str">
        <f aca="false">IF(F445="","",N(G445)*N(J445))</f>
        <v/>
      </c>
      <c r="W445" s="13" t="str">
        <f aca="false">IF(F445="","",IF(B445="Excluded","",COUNTIFS($F$6:F445,"?*",$B$6:B445,"&lt;&gt;Excluded")))</f>
        <v/>
      </c>
      <c r="X445" s="34" t="str">
        <f aca="false">IF(F445="","",N(G445)*N(I445)/(1-IF(K445="",'Job Info'!$B$39,K445))*IF('Job Info'!$B$38="Yes",'Job Info'!$B$37,0))</f>
        <v/>
      </c>
    </row>
    <row r="446" customFormat="false" ht="15" hidden="false" customHeight="false" outlineLevel="0" collapsed="false">
      <c r="A446" s="13" t="str">
        <f aca="false">IF(F446="","",ROW()-5)</f>
        <v/>
      </c>
      <c r="B446" s="14"/>
      <c r="C446" s="14"/>
      <c r="D446" s="14"/>
      <c r="E446" s="14"/>
      <c r="F446" s="36"/>
      <c r="G446" s="37"/>
      <c r="H446" s="14"/>
      <c r="I446" s="38"/>
      <c r="J446" s="38"/>
      <c r="K446" s="33"/>
      <c r="L446" s="33"/>
      <c r="M446" s="34" t="str">
        <f aca="false">IF(F446="","",N(I446)/(1-IF(K446="",'Job Info'!$B$39,K446))*(1+IF('Job Info'!$B$38="Yes",'Job Info'!$B$37,0)))</f>
        <v/>
      </c>
      <c r="N446" s="34" t="str">
        <f aca="false">IF(F446="","",N(J446)/(1-IF(L446="",'Job Info'!$B$40,L446)))</f>
        <v/>
      </c>
      <c r="O446" s="34" t="str">
        <f aca="false">IF(F446="","",M446+N446)</f>
        <v/>
      </c>
      <c r="P446" s="34" t="str">
        <f aca="false">IF(F446="","",N(G446)*M446)</f>
        <v/>
      </c>
      <c r="Q446" s="34" t="str">
        <f aca="false">IF(F446="","",N(G446)*N446)</f>
        <v/>
      </c>
      <c r="R446" s="35" t="str">
        <f aca="false">IF(F446="","",P446+Q446)</f>
        <v/>
      </c>
      <c r="S446" s="36"/>
      <c r="T446" s="36"/>
      <c r="U446" s="34" t="str">
        <f aca="false">IF(F446="","",N(G446)*N(I446))</f>
        <v/>
      </c>
      <c r="V446" s="34" t="str">
        <f aca="false">IF(F446="","",N(G446)*N(J446))</f>
        <v/>
      </c>
      <c r="W446" s="13" t="str">
        <f aca="false">IF(F446="","",IF(B446="Excluded","",COUNTIFS($F$6:F446,"?*",$B$6:B446,"&lt;&gt;Excluded")))</f>
        <v/>
      </c>
      <c r="X446" s="34" t="str">
        <f aca="false">IF(F446="","",N(G446)*N(I446)/(1-IF(K446="",'Job Info'!$B$39,K446))*IF('Job Info'!$B$38="Yes",'Job Info'!$B$37,0))</f>
        <v/>
      </c>
    </row>
    <row r="447" customFormat="false" ht="15" hidden="false" customHeight="false" outlineLevel="0" collapsed="false">
      <c r="A447" s="13" t="str">
        <f aca="false">IF(F447="","",ROW()-5)</f>
        <v/>
      </c>
      <c r="B447" s="14"/>
      <c r="C447" s="14"/>
      <c r="D447" s="14"/>
      <c r="E447" s="14"/>
      <c r="F447" s="36"/>
      <c r="G447" s="37"/>
      <c r="H447" s="14"/>
      <c r="I447" s="38"/>
      <c r="J447" s="38"/>
      <c r="K447" s="33"/>
      <c r="L447" s="33"/>
      <c r="M447" s="34" t="str">
        <f aca="false">IF(F447="","",N(I447)/(1-IF(K447="",'Job Info'!$B$39,K447))*(1+IF('Job Info'!$B$38="Yes",'Job Info'!$B$37,0)))</f>
        <v/>
      </c>
      <c r="N447" s="34" t="str">
        <f aca="false">IF(F447="","",N(J447)/(1-IF(L447="",'Job Info'!$B$40,L447)))</f>
        <v/>
      </c>
      <c r="O447" s="34" t="str">
        <f aca="false">IF(F447="","",M447+N447)</f>
        <v/>
      </c>
      <c r="P447" s="34" t="str">
        <f aca="false">IF(F447="","",N(G447)*M447)</f>
        <v/>
      </c>
      <c r="Q447" s="34" t="str">
        <f aca="false">IF(F447="","",N(G447)*N447)</f>
        <v/>
      </c>
      <c r="R447" s="35" t="str">
        <f aca="false">IF(F447="","",P447+Q447)</f>
        <v/>
      </c>
      <c r="S447" s="36"/>
      <c r="T447" s="36"/>
      <c r="U447" s="34" t="str">
        <f aca="false">IF(F447="","",N(G447)*N(I447))</f>
        <v/>
      </c>
      <c r="V447" s="34" t="str">
        <f aca="false">IF(F447="","",N(G447)*N(J447))</f>
        <v/>
      </c>
      <c r="W447" s="13" t="str">
        <f aca="false">IF(F447="","",IF(B447="Excluded","",COUNTIFS($F$6:F447,"?*",$B$6:B447,"&lt;&gt;Excluded")))</f>
        <v/>
      </c>
      <c r="X447" s="34" t="str">
        <f aca="false">IF(F447="","",N(G447)*N(I447)/(1-IF(K447="",'Job Info'!$B$39,K447))*IF('Job Info'!$B$38="Yes",'Job Info'!$B$37,0))</f>
        <v/>
      </c>
    </row>
    <row r="448" customFormat="false" ht="15" hidden="false" customHeight="false" outlineLevel="0" collapsed="false">
      <c r="A448" s="13" t="str">
        <f aca="false">IF(F448="","",ROW()-5)</f>
        <v/>
      </c>
      <c r="B448" s="14"/>
      <c r="C448" s="14"/>
      <c r="D448" s="14"/>
      <c r="E448" s="14"/>
      <c r="F448" s="36"/>
      <c r="G448" s="37"/>
      <c r="H448" s="14"/>
      <c r="I448" s="38"/>
      <c r="J448" s="38"/>
      <c r="K448" s="33"/>
      <c r="L448" s="33"/>
      <c r="M448" s="34" t="str">
        <f aca="false">IF(F448="","",N(I448)/(1-IF(K448="",'Job Info'!$B$39,K448))*(1+IF('Job Info'!$B$38="Yes",'Job Info'!$B$37,0)))</f>
        <v/>
      </c>
      <c r="N448" s="34" t="str">
        <f aca="false">IF(F448="","",N(J448)/(1-IF(L448="",'Job Info'!$B$40,L448)))</f>
        <v/>
      </c>
      <c r="O448" s="34" t="str">
        <f aca="false">IF(F448="","",M448+N448)</f>
        <v/>
      </c>
      <c r="P448" s="34" t="str">
        <f aca="false">IF(F448="","",N(G448)*M448)</f>
        <v/>
      </c>
      <c r="Q448" s="34" t="str">
        <f aca="false">IF(F448="","",N(G448)*N448)</f>
        <v/>
      </c>
      <c r="R448" s="35" t="str">
        <f aca="false">IF(F448="","",P448+Q448)</f>
        <v/>
      </c>
      <c r="S448" s="36"/>
      <c r="T448" s="36"/>
      <c r="U448" s="34" t="str">
        <f aca="false">IF(F448="","",N(G448)*N(I448))</f>
        <v/>
      </c>
      <c r="V448" s="34" t="str">
        <f aca="false">IF(F448="","",N(G448)*N(J448))</f>
        <v/>
      </c>
      <c r="W448" s="13" t="str">
        <f aca="false">IF(F448="","",IF(B448="Excluded","",COUNTIFS($F$6:F448,"?*",$B$6:B448,"&lt;&gt;Excluded")))</f>
        <v/>
      </c>
      <c r="X448" s="34" t="str">
        <f aca="false">IF(F448="","",N(G448)*N(I448)/(1-IF(K448="",'Job Info'!$B$39,K448))*IF('Job Info'!$B$38="Yes",'Job Info'!$B$37,0))</f>
        <v/>
      </c>
    </row>
    <row r="449" customFormat="false" ht="15" hidden="false" customHeight="false" outlineLevel="0" collapsed="false">
      <c r="A449" s="13" t="str">
        <f aca="false">IF(F449="","",ROW()-5)</f>
        <v/>
      </c>
      <c r="B449" s="14"/>
      <c r="C449" s="14"/>
      <c r="D449" s="14"/>
      <c r="E449" s="14"/>
      <c r="F449" s="36"/>
      <c r="G449" s="37"/>
      <c r="H449" s="14"/>
      <c r="I449" s="38"/>
      <c r="J449" s="38"/>
      <c r="K449" s="33"/>
      <c r="L449" s="33"/>
      <c r="M449" s="34" t="str">
        <f aca="false">IF(F449="","",N(I449)/(1-IF(K449="",'Job Info'!$B$39,K449))*(1+IF('Job Info'!$B$38="Yes",'Job Info'!$B$37,0)))</f>
        <v/>
      </c>
      <c r="N449" s="34" t="str">
        <f aca="false">IF(F449="","",N(J449)/(1-IF(L449="",'Job Info'!$B$40,L449)))</f>
        <v/>
      </c>
      <c r="O449" s="34" t="str">
        <f aca="false">IF(F449="","",M449+N449)</f>
        <v/>
      </c>
      <c r="P449" s="34" t="str">
        <f aca="false">IF(F449="","",N(G449)*M449)</f>
        <v/>
      </c>
      <c r="Q449" s="34" t="str">
        <f aca="false">IF(F449="","",N(G449)*N449)</f>
        <v/>
      </c>
      <c r="R449" s="35" t="str">
        <f aca="false">IF(F449="","",P449+Q449)</f>
        <v/>
      </c>
      <c r="S449" s="36"/>
      <c r="T449" s="36"/>
      <c r="U449" s="34" t="str">
        <f aca="false">IF(F449="","",N(G449)*N(I449))</f>
        <v/>
      </c>
      <c r="V449" s="34" t="str">
        <f aca="false">IF(F449="","",N(G449)*N(J449))</f>
        <v/>
      </c>
      <c r="W449" s="13" t="str">
        <f aca="false">IF(F449="","",IF(B449="Excluded","",COUNTIFS($F$6:F449,"?*",$B$6:B449,"&lt;&gt;Excluded")))</f>
        <v/>
      </c>
      <c r="X449" s="34" t="str">
        <f aca="false">IF(F449="","",N(G449)*N(I449)/(1-IF(K449="",'Job Info'!$B$39,K449))*IF('Job Info'!$B$38="Yes",'Job Info'!$B$37,0))</f>
        <v/>
      </c>
    </row>
    <row r="450" customFormat="false" ht="15" hidden="false" customHeight="false" outlineLevel="0" collapsed="false">
      <c r="A450" s="13" t="str">
        <f aca="false">IF(F450="","",ROW()-5)</f>
        <v/>
      </c>
      <c r="B450" s="14"/>
      <c r="C450" s="14"/>
      <c r="D450" s="14"/>
      <c r="E450" s="14"/>
      <c r="F450" s="36"/>
      <c r="G450" s="37"/>
      <c r="H450" s="14"/>
      <c r="I450" s="38"/>
      <c r="J450" s="38"/>
      <c r="K450" s="33"/>
      <c r="L450" s="33"/>
      <c r="M450" s="34" t="str">
        <f aca="false">IF(F450="","",N(I450)/(1-IF(K450="",'Job Info'!$B$39,K450))*(1+IF('Job Info'!$B$38="Yes",'Job Info'!$B$37,0)))</f>
        <v/>
      </c>
      <c r="N450" s="34" t="str">
        <f aca="false">IF(F450="","",N(J450)/(1-IF(L450="",'Job Info'!$B$40,L450)))</f>
        <v/>
      </c>
      <c r="O450" s="34" t="str">
        <f aca="false">IF(F450="","",M450+N450)</f>
        <v/>
      </c>
      <c r="P450" s="34" t="str">
        <f aca="false">IF(F450="","",N(G450)*M450)</f>
        <v/>
      </c>
      <c r="Q450" s="34" t="str">
        <f aca="false">IF(F450="","",N(G450)*N450)</f>
        <v/>
      </c>
      <c r="R450" s="35" t="str">
        <f aca="false">IF(F450="","",P450+Q450)</f>
        <v/>
      </c>
      <c r="S450" s="36"/>
      <c r="T450" s="36"/>
      <c r="U450" s="34" t="str">
        <f aca="false">IF(F450="","",N(G450)*N(I450))</f>
        <v/>
      </c>
      <c r="V450" s="34" t="str">
        <f aca="false">IF(F450="","",N(G450)*N(J450))</f>
        <v/>
      </c>
      <c r="W450" s="13" t="str">
        <f aca="false">IF(F450="","",IF(B450="Excluded","",COUNTIFS($F$6:F450,"?*",$B$6:B450,"&lt;&gt;Excluded")))</f>
        <v/>
      </c>
      <c r="X450" s="34" t="str">
        <f aca="false">IF(F450="","",N(G450)*N(I450)/(1-IF(K450="",'Job Info'!$B$39,K450))*IF('Job Info'!$B$38="Yes",'Job Info'!$B$37,0))</f>
        <v/>
      </c>
    </row>
    <row r="451" customFormat="false" ht="15" hidden="false" customHeight="false" outlineLevel="0" collapsed="false">
      <c r="A451" s="13" t="str">
        <f aca="false">IF(F451="","",ROW()-5)</f>
        <v/>
      </c>
      <c r="B451" s="14"/>
      <c r="C451" s="14"/>
      <c r="D451" s="14"/>
      <c r="E451" s="14"/>
      <c r="F451" s="36"/>
      <c r="G451" s="37"/>
      <c r="H451" s="14"/>
      <c r="I451" s="38"/>
      <c r="J451" s="38"/>
      <c r="K451" s="33"/>
      <c r="L451" s="33"/>
      <c r="M451" s="34" t="str">
        <f aca="false">IF(F451="","",N(I451)/(1-IF(K451="",'Job Info'!$B$39,K451))*(1+IF('Job Info'!$B$38="Yes",'Job Info'!$B$37,0)))</f>
        <v/>
      </c>
      <c r="N451" s="34" t="str">
        <f aca="false">IF(F451="","",N(J451)/(1-IF(L451="",'Job Info'!$B$40,L451)))</f>
        <v/>
      </c>
      <c r="O451" s="34" t="str">
        <f aca="false">IF(F451="","",M451+N451)</f>
        <v/>
      </c>
      <c r="P451" s="34" t="str">
        <f aca="false">IF(F451="","",N(G451)*M451)</f>
        <v/>
      </c>
      <c r="Q451" s="34" t="str">
        <f aca="false">IF(F451="","",N(G451)*N451)</f>
        <v/>
      </c>
      <c r="R451" s="35" t="str">
        <f aca="false">IF(F451="","",P451+Q451)</f>
        <v/>
      </c>
      <c r="S451" s="36"/>
      <c r="T451" s="36"/>
      <c r="U451" s="34" t="str">
        <f aca="false">IF(F451="","",N(G451)*N(I451))</f>
        <v/>
      </c>
      <c r="V451" s="34" t="str">
        <f aca="false">IF(F451="","",N(G451)*N(J451))</f>
        <v/>
      </c>
      <c r="W451" s="13" t="str">
        <f aca="false">IF(F451="","",IF(B451="Excluded","",COUNTIFS($F$6:F451,"?*",$B$6:B451,"&lt;&gt;Excluded")))</f>
        <v/>
      </c>
      <c r="X451" s="34" t="str">
        <f aca="false">IF(F451="","",N(G451)*N(I451)/(1-IF(K451="",'Job Info'!$B$39,K451))*IF('Job Info'!$B$38="Yes",'Job Info'!$B$37,0))</f>
        <v/>
      </c>
    </row>
    <row r="452" customFormat="false" ht="15" hidden="false" customHeight="false" outlineLevel="0" collapsed="false">
      <c r="A452" s="13" t="str">
        <f aca="false">IF(F452="","",ROW()-5)</f>
        <v/>
      </c>
      <c r="B452" s="14"/>
      <c r="C452" s="14"/>
      <c r="D452" s="14"/>
      <c r="E452" s="14"/>
      <c r="F452" s="36"/>
      <c r="G452" s="37"/>
      <c r="H452" s="14"/>
      <c r="I452" s="38"/>
      <c r="J452" s="38"/>
      <c r="K452" s="33"/>
      <c r="L452" s="33"/>
      <c r="M452" s="34" t="str">
        <f aca="false">IF(F452="","",N(I452)/(1-IF(K452="",'Job Info'!$B$39,K452))*(1+IF('Job Info'!$B$38="Yes",'Job Info'!$B$37,0)))</f>
        <v/>
      </c>
      <c r="N452" s="34" t="str">
        <f aca="false">IF(F452="","",N(J452)/(1-IF(L452="",'Job Info'!$B$40,L452)))</f>
        <v/>
      </c>
      <c r="O452" s="34" t="str">
        <f aca="false">IF(F452="","",M452+N452)</f>
        <v/>
      </c>
      <c r="P452" s="34" t="str">
        <f aca="false">IF(F452="","",N(G452)*M452)</f>
        <v/>
      </c>
      <c r="Q452" s="34" t="str">
        <f aca="false">IF(F452="","",N(G452)*N452)</f>
        <v/>
      </c>
      <c r="R452" s="35" t="str">
        <f aca="false">IF(F452="","",P452+Q452)</f>
        <v/>
      </c>
      <c r="S452" s="36"/>
      <c r="T452" s="36"/>
      <c r="U452" s="34" t="str">
        <f aca="false">IF(F452="","",N(G452)*N(I452))</f>
        <v/>
      </c>
      <c r="V452" s="34" t="str">
        <f aca="false">IF(F452="","",N(G452)*N(J452))</f>
        <v/>
      </c>
      <c r="W452" s="13" t="str">
        <f aca="false">IF(F452="","",IF(B452="Excluded","",COUNTIFS($F$6:F452,"?*",$B$6:B452,"&lt;&gt;Excluded")))</f>
        <v/>
      </c>
      <c r="X452" s="34" t="str">
        <f aca="false">IF(F452="","",N(G452)*N(I452)/(1-IF(K452="",'Job Info'!$B$39,K452))*IF('Job Info'!$B$38="Yes",'Job Info'!$B$37,0))</f>
        <v/>
      </c>
    </row>
    <row r="453" customFormat="false" ht="15" hidden="false" customHeight="false" outlineLevel="0" collapsed="false">
      <c r="A453" s="13" t="str">
        <f aca="false">IF(F453="","",ROW()-5)</f>
        <v/>
      </c>
      <c r="B453" s="14"/>
      <c r="C453" s="14"/>
      <c r="D453" s="14"/>
      <c r="E453" s="14"/>
      <c r="F453" s="36"/>
      <c r="G453" s="37"/>
      <c r="H453" s="14"/>
      <c r="I453" s="38"/>
      <c r="J453" s="38"/>
      <c r="K453" s="33"/>
      <c r="L453" s="33"/>
      <c r="M453" s="34" t="str">
        <f aca="false">IF(F453="","",N(I453)/(1-IF(K453="",'Job Info'!$B$39,K453))*(1+IF('Job Info'!$B$38="Yes",'Job Info'!$B$37,0)))</f>
        <v/>
      </c>
      <c r="N453" s="34" t="str">
        <f aca="false">IF(F453="","",N(J453)/(1-IF(L453="",'Job Info'!$B$40,L453)))</f>
        <v/>
      </c>
      <c r="O453" s="34" t="str">
        <f aca="false">IF(F453="","",M453+N453)</f>
        <v/>
      </c>
      <c r="P453" s="34" t="str">
        <f aca="false">IF(F453="","",N(G453)*M453)</f>
        <v/>
      </c>
      <c r="Q453" s="34" t="str">
        <f aca="false">IF(F453="","",N(G453)*N453)</f>
        <v/>
      </c>
      <c r="R453" s="35" t="str">
        <f aca="false">IF(F453="","",P453+Q453)</f>
        <v/>
      </c>
      <c r="S453" s="36"/>
      <c r="T453" s="36"/>
      <c r="U453" s="34" t="str">
        <f aca="false">IF(F453="","",N(G453)*N(I453))</f>
        <v/>
      </c>
      <c r="V453" s="34" t="str">
        <f aca="false">IF(F453="","",N(G453)*N(J453))</f>
        <v/>
      </c>
      <c r="W453" s="13" t="str">
        <f aca="false">IF(F453="","",IF(B453="Excluded","",COUNTIFS($F$6:F453,"?*",$B$6:B453,"&lt;&gt;Excluded")))</f>
        <v/>
      </c>
      <c r="X453" s="34" t="str">
        <f aca="false">IF(F453="","",N(G453)*N(I453)/(1-IF(K453="",'Job Info'!$B$39,K453))*IF('Job Info'!$B$38="Yes",'Job Info'!$B$37,0))</f>
        <v/>
      </c>
    </row>
    <row r="454" customFormat="false" ht="15" hidden="false" customHeight="false" outlineLevel="0" collapsed="false">
      <c r="A454" s="13" t="str">
        <f aca="false">IF(F454="","",ROW()-5)</f>
        <v/>
      </c>
      <c r="B454" s="14"/>
      <c r="C454" s="14"/>
      <c r="D454" s="14"/>
      <c r="E454" s="14"/>
      <c r="F454" s="36"/>
      <c r="G454" s="37"/>
      <c r="H454" s="14"/>
      <c r="I454" s="38"/>
      <c r="J454" s="38"/>
      <c r="K454" s="33"/>
      <c r="L454" s="33"/>
      <c r="M454" s="34" t="str">
        <f aca="false">IF(F454="","",N(I454)/(1-IF(K454="",'Job Info'!$B$39,K454))*(1+IF('Job Info'!$B$38="Yes",'Job Info'!$B$37,0)))</f>
        <v/>
      </c>
      <c r="N454" s="34" t="str">
        <f aca="false">IF(F454="","",N(J454)/(1-IF(L454="",'Job Info'!$B$40,L454)))</f>
        <v/>
      </c>
      <c r="O454" s="34" t="str">
        <f aca="false">IF(F454="","",M454+N454)</f>
        <v/>
      </c>
      <c r="P454" s="34" t="str">
        <f aca="false">IF(F454="","",N(G454)*M454)</f>
        <v/>
      </c>
      <c r="Q454" s="34" t="str">
        <f aca="false">IF(F454="","",N(G454)*N454)</f>
        <v/>
      </c>
      <c r="R454" s="35" t="str">
        <f aca="false">IF(F454="","",P454+Q454)</f>
        <v/>
      </c>
      <c r="S454" s="36"/>
      <c r="T454" s="36"/>
      <c r="U454" s="34" t="str">
        <f aca="false">IF(F454="","",N(G454)*N(I454))</f>
        <v/>
      </c>
      <c r="V454" s="34" t="str">
        <f aca="false">IF(F454="","",N(G454)*N(J454))</f>
        <v/>
      </c>
      <c r="W454" s="13" t="str">
        <f aca="false">IF(F454="","",IF(B454="Excluded","",COUNTIFS($F$6:F454,"?*",$B$6:B454,"&lt;&gt;Excluded")))</f>
        <v/>
      </c>
      <c r="X454" s="34" t="str">
        <f aca="false">IF(F454="","",N(G454)*N(I454)/(1-IF(K454="",'Job Info'!$B$39,K454))*IF('Job Info'!$B$38="Yes",'Job Info'!$B$37,0))</f>
        <v/>
      </c>
    </row>
    <row r="455" customFormat="false" ht="15" hidden="false" customHeight="false" outlineLevel="0" collapsed="false">
      <c r="A455" s="13" t="str">
        <f aca="false">IF(F455="","",ROW()-5)</f>
        <v/>
      </c>
      <c r="B455" s="14"/>
      <c r="C455" s="14"/>
      <c r="D455" s="14"/>
      <c r="E455" s="14"/>
      <c r="F455" s="36"/>
      <c r="G455" s="37"/>
      <c r="H455" s="14"/>
      <c r="I455" s="38"/>
      <c r="J455" s="38"/>
      <c r="K455" s="33"/>
      <c r="L455" s="33"/>
      <c r="M455" s="34" t="str">
        <f aca="false">IF(F455="","",N(I455)/(1-IF(K455="",'Job Info'!$B$39,K455))*(1+IF('Job Info'!$B$38="Yes",'Job Info'!$B$37,0)))</f>
        <v/>
      </c>
      <c r="N455" s="34" t="str">
        <f aca="false">IF(F455="","",N(J455)/(1-IF(L455="",'Job Info'!$B$40,L455)))</f>
        <v/>
      </c>
      <c r="O455" s="34" t="str">
        <f aca="false">IF(F455="","",M455+N455)</f>
        <v/>
      </c>
      <c r="P455" s="34" t="str">
        <f aca="false">IF(F455="","",N(G455)*M455)</f>
        <v/>
      </c>
      <c r="Q455" s="34" t="str">
        <f aca="false">IF(F455="","",N(G455)*N455)</f>
        <v/>
      </c>
      <c r="R455" s="35" t="str">
        <f aca="false">IF(F455="","",P455+Q455)</f>
        <v/>
      </c>
      <c r="S455" s="36"/>
      <c r="T455" s="36"/>
      <c r="U455" s="34" t="str">
        <f aca="false">IF(F455="","",N(G455)*N(I455))</f>
        <v/>
      </c>
      <c r="V455" s="34" t="str">
        <f aca="false">IF(F455="","",N(G455)*N(J455))</f>
        <v/>
      </c>
      <c r="W455" s="13" t="str">
        <f aca="false">IF(F455="","",IF(B455="Excluded","",COUNTIFS($F$6:F455,"?*",$B$6:B455,"&lt;&gt;Excluded")))</f>
        <v/>
      </c>
      <c r="X455" s="34" t="str">
        <f aca="false">IF(F455="","",N(G455)*N(I455)/(1-IF(K455="",'Job Info'!$B$39,K455))*IF('Job Info'!$B$38="Yes",'Job Info'!$B$37,0))</f>
        <v/>
      </c>
    </row>
    <row r="456" customFormat="false" ht="15" hidden="false" customHeight="false" outlineLevel="0" collapsed="false">
      <c r="A456" s="13" t="str">
        <f aca="false">IF(F456="","",ROW()-5)</f>
        <v/>
      </c>
      <c r="B456" s="14"/>
      <c r="C456" s="14"/>
      <c r="D456" s="14"/>
      <c r="E456" s="14"/>
      <c r="F456" s="36"/>
      <c r="G456" s="37"/>
      <c r="H456" s="14"/>
      <c r="I456" s="38"/>
      <c r="J456" s="38"/>
      <c r="K456" s="33"/>
      <c r="L456" s="33"/>
      <c r="M456" s="34" t="str">
        <f aca="false">IF(F456="","",N(I456)/(1-IF(K456="",'Job Info'!$B$39,K456))*(1+IF('Job Info'!$B$38="Yes",'Job Info'!$B$37,0)))</f>
        <v/>
      </c>
      <c r="N456" s="34" t="str">
        <f aca="false">IF(F456="","",N(J456)/(1-IF(L456="",'Job Info'!$B$40,L456)))</f>
        <v/>
      </c>
      <c r="O456" s="34" t="str">
        <f aca="false">IF(F456="","",M456+N456)</f>
        <v/>
      </c>
      <c r="P456" s="34" t="str">
        <f aca="false">IF(F456="","",N(G456)*M456)</f>
        <v/>
      </c>
      <c r="Q456" s="34" t="str">
        <f aca="false">IF(F456="","",N(G456)*N456)</f>
        <v/>
      </c>
      <c r="R456" s="35" t="str">
        <f aca="false">IF(F456="","",P456+Q456)</f>
        <v/>
      </c>
      <c r="S456" s="36"/>
      <c r="T456" s="36"/>
      <c r="U456" s="34" t="str">
        <f aca="false">IF(F456="","",N(G456)*N(I456))</f>
        <v/>
      </c>
      <c r="V456" s="34" t="str">
        <f aca="false">IF(F456="","",N(G456)*N(J456))</f>
        <v/>
      </c>
      <c r="W456" s="13" t="str">
        <f aca="false">IF(F456="","",IF(B456="Excluded","",COUNTIFS($F$6:F456,"?*",$B$6:B456,"&lt;&gt;Excluded")))</f>
        <v/>
      </c>
      <c r="X456" s="34" t="str">
        <f aca="false">IF(F456="","",N(G456)*N(I456)/(1-IF(K456="",'Job Info'!$B$39,K456))*IF('Job Info'!$B$38="Yes",'Job Info'!$B$37,0))</f>
        <v/>
      </c>
    </row>
    <row r="457" customFormat="false" ht="15" hidden="false" customHeight="false" outlineLevel="0" collapsed="false">
      <c r="A457" s="13" t="str">
        <f aca="false">IF(F457="","",ROW()-5)</f>
        <v/>
      </c>
      <c r="B457" s="14"/>
      <c r="C457" s="14"/>
      <c r="D457" s="14"/>
      <c r="E457" s="14"/>
      <c r="F457" s="36"/>
      <c r="G457" s="37"/>
      <c r="H457" s="14"/>
      <c r="I457" s="38"/>
      <c r="J457" s="38"/>
      <c r="K457" s="33"/>
      <c r="L457" s="33"/>
      <c r="M457" s="34" t="str">
        <f aca="false">IF(F457="","",N(I457)/(1-IF(K457="",'Job Info'!$B$39,K457))*(1+IF('Job Info'!$B$38="Yes",'Job Info'!$B$37,0)))</f>
        <v/>
      </c>
      <c r="N457" s="34" t="str">
        <f aca="false">IF(F457="","",N(J457)/(1-IF(L457="",'Job Info'!$B$40,L457)))</f>
        <v/>
      </c>
      <c r="O457" s="34" t="str">
        <f aca="false">IF(F457="","",M457+N457)</f>
        <v/>
      </c>
      <c r="P457" s="34" t="str">
        <f aca="false">IF(F457="","",N(G457)*M457)</f>
        <v/>
      </c>
      <c r="Q457" s="34" t="str">
        <f aca="false">IF(F457="","",N(G457)*N457)</f>
        <v/>
      </c>
      <c r="R457" s="35" t="str">
        <f aca="false">IF(F457="","",P457+Q457)</f>
        <v/>
      </c>
      <c r="S457" s="36"/>
      <c r="T457" s="36"/>
      <c r="U457" s="34" t="str">
        <f aca="false">IF(F457="","",N(G457)*N(I457))</f>
        <v/>
      </c>
      <c r="V457" s="34" t="str">
        <f aca="false">IF(F457="","",N(G457)*N(J457))</f>
        <v/>
      </c>
      <c r="W457" s="13" t="str">
        <f aca="false">IF(F457="","",IF(B457="Excluded","",COUNTIFS($F$6:F457,"?*",$B$6:B457,"&lt;&gt;Excluded")))</f>
        <v/>
      </c>
      <c r="X457" s="34" t="str">
        <f aca="false">IF(F457="","",N(G457)*N(I457)/(1-IF(K457="",'Job Info'!$B$39,K457))*IF('Job Info'!$B$38="Yes",'Job Info'!$B$37,0))</f>
        <v/>
      </c>
    </row>
    <row r="458" customFormat="false" ht="15" hidden="false" customHeight="false" outlineLevel="0" collapsed="false">
      <c r="A458" s="13" t="str">
        <f aca="false">IF(F458="","",ROW()-5)</f>
        <v/>
      </c>
      <c r="B458" s="14"/>
      <c r="C458" s="14"/>
      <c r="D458" s="14"/>
      <c r="E458" s="14"/>
      <c r="F458" s="36"/>
      <c r="G458" s="37"/>
      <c r="H458" s="14"/>
      <c r="I458" s="38"/>
      <c r="J458" s="38"/>
      <c r="K458" s="33"/>
      <c r="L458" s="33"/>
      <c r="M458" s="34" t="str">
        <f aca="false">IF(F458="","",N(I458)/(1-IF(K458="",'Job Info'!$B$39,K458))*(1+IF('Job Info'!$B$38="Yes",'Job Info'!$B$37,0)))</f>
        <v/>
      </c>
      <c r="N458" s="34" t="str">
        <f aca="false">IF(F458="","",N(J458)/(1-IF(L458="",'Job Info'!$B$40,L458)))</f>
        <v/>
      </c>
      <c r="O458" s="34" t="str">
        <f aca="false">IF(F458="","",M458+N458)</f>
        <v/>
      </c>
      <c r="P458" s="34" t="str">
        <f aca="false">IF(F458="","",N(G458)*M458)</f>
        <v/>
      </c>
      <c r="Q458" s="34" t="str">
        <f aca="false">IF(F458="","",N(G458)*N458)</f>
        <v/>
      </c>
      <c r="R458" s="35" t="str">
        <f aca="false">IF(F458="","",P458+Q458)</f>
        <v/>
      </c>
      <c r="S458" s="36"/>
      <c r="T458" s="36"/>
      <c r="U458" s="34" t="str">
        <f aca="false">IF(F458="","",N(G458)*N(I458))</f>
        <v/>
      </c>
      <c r="V458" s="34" t="str">
        <f aca="false">IF(F458="","",N(G458)*N(J458))</f>
        <v/>
      </c>
      <c r="W458" s="13" t="str">
        <f aca="false">IF(F458="","",IF(B458="Excluded","",COUNTIFS($F$6:F458,"?*",$B$6:B458,"&lt;&gt;Excluded")))</f>
        <v/>
      </c>
      <c r="X458" s="34" t="str">
        <f aca="false">IF(F458="","",N(G458)*N(I458)/(1-IF(K458="",'Job Info'!$B$39,K458))*IF('Job Info'!$B$38="Yes",'Job Info'!$B$37,0))</f>
        <v/>
      </c>
    </row>
    <row r="459" customFormat="false" ht="15" hidden="false" customHeight="false" outlineLevel="0" collapsed="false">
      <c r="A459" s="13" t="str">
        <f aca="false">IF(F459="","",ROW()-5)</f>
        <v/>
      </c>
      <c r="B459" s="14"/>
      <c r="C459" s="14"/>
      <c r="D459" s="14"/>
      <c r="E459" s="14"/>
      <c r="F459" s="36"/>
      <c r="G459" s="37"/>
      <c r="H459" s="14"/>
      <c r="I459" s="38"/>
      <c r="J459" s="38"/>
      <c r="K459" s="33"/>
      <c r="L459" s="33"/>
      <c r="M459" s="34" t="str">
        <f aca="false">IF(F459="","",N(I459)/(1-IF(K459="",'Job Info'!$B$39,K459))*(1+IF('Job Info'!$B$38="Yes",'Job Info'!$B$37,0)))</f>
        <v/>
      </c>
      <c r="N459" s="34" t="str">
        <f aca="false">IF(F459="","",N(J459)/(1-IF(L459="",'Job Info'!$B$40,L459)))</f>
        <v/>
      </c>
      <c r="O459" s="34" t="str">
        <f aca="false">IF(F459="","",M459+N459)</f>
        <v/>
      </c>
      <c r="P459" s="34" t="str">
        <f aca="false">IF(F459="","",N(G459)*M459)</f>
        <v/>
      </c>
      <c r="Q459" s="34" t="str">
        <f aca="false">IF(F459="","",N(G459)*N459)</f>
        <v/>
      </c>
      <c r="R459" s="35" t="str">
        <f aca="false">IF(F459="","",P459+Q459)</f>
        <v/>
      </c>
      <c r="S459" s="36"/>
      <c r="T459" s="36"/>
      <c r="U459" s="34" t="str">
        <f aca="false">IF(F459="","",N(G459)*N(I459))</f>
        <v/>
      </c>
      <c r="V459" s="34" t="str">
        <f aca="false">IF(F459="","",N(G459)*N(J459))</f>
        <v/>
      </c>
      <c r="W459" s="13" t="str">
        <f aca="false">IF(F459="","",IF(B459="Excluded","",COUNTIFS($F$6:F459,"?*",$B$6:B459,"&lt;&gt;Excluded")))</f>
        <v/>
      </c>
      <c r="X459" s="34" t="str">
        <f aca="false">IF(F459="","",N(G459)*N(I459)/(1-IF(K459="",'Job Info'!$B$39,K459))*IF('Job Info'!$B$38="Yes",'Job Info'!$B$37,0))</f>
        <v/>
      </c>
    </row>
    <row r="460" customFormat="false" ht="15" hidden="false" customHeight="false" outlineLevel="0" collapsed="false">
      <c r="A460" s="13" t="str">
        <f aca="false">IF(F460="","",ROW()-5)</f>
        <v/>
      </c>
      <c r="B460" s="14"/>
      <c r="C460" s="14"/>
      <c r="D460" s="14"/>
      <c r="E460" s="14"/>
      <c r="F460" s="36"/>
      <c r="G460" s="37"/>
      <c r="H460" s="14"/>
      <c r="I460" s="38"/>
      <c r="J460" s="38"/>
      <c r="K460" s="33"/>
      <c r="L460" s="33"/>
      <c r="M460" s="34" t="str">
        <f aca="false">IF(F460="","",N(I460)/(1-IF(K460="",'Job Info'!$B$39,K460))*(1+IF('Job Info'!$B$38="Yes",'Job Info'!$B$37,0)))</f>
        <v/>
      </c>
      <c r="N460" s="34" t="str">
        <f aca="false">IF(F460="","",N(J460)/(1-IF(L460="",'Job Info'!$B$40,L460)))</f>
        <v/>
      </c>
      <c r="O460" s="34" t="str">
        <f aca="false">IF(F460="","",M460+N460)</f>
        <v/>
      </c>
      <c r="P460" s="34" t="str">
        <f aca="false">IF(F460="","",N(G460)*M460)</f>
        <v/>
      </c>
      <c r="Q460" s="34" t="str">
        <f aca="false">IF(F460="","",N(G460)*N460)</f>
        <v/>
      </c>
      <c r="R460" s="35" t="str">
        <f aca="false">IF(F460="","",P460+Q460)</f>
        <v/>
      </c>
      <c r="S460" s="36"/>
      <c r="T460" s="36"/>
      <c r="U460" s="34" t="str">
        <f aca="false">IF(F460="","",N(G460)*N(I460))</f>
        <v/>
      </c>
      <c r="V460" s="34" t="str">
        <f aca="false">IF(F460="","",N(G460)*N(J460))</f>
        <v/>
      </c>
      <c r="W460" s="13" t="str">
        <f aca="false">IF(F460="","",IF(B460="Excluded","",COUNTIFS($F$6:F460,"?*",$B$6:B460,"&lt;&gt;Excluded")))</f>
        <v/>
      </c>
      <c r="X460" s="34" t="str">
        <f aca="false">IF(F460="","",N(G460)*N(I460)/(1-IF(K460="",'Job Info'!$B$39,K460))*IF('Job Info'!$B$38="Yes",'Job Info'!$B$37,0))</f>
        <v/>
      </c>
    </row>
    <row r="461" customFormat="false" ht="15" hidden="false" customHeight="false" outlineLevel="0" collapsed="false">
      <c r="A461" s="13" t="str">
        <f aca="false">IF(F461="","",ROW()-5)</f>
        <v/>
      </c>
      <c r="B461" s="14"/>
      <c r="C461" s="14"/>
      <c r="D461" s="14"/>
      <c r="E461" s="14"/>
      <c r="F461" s="36"/>
      <c r="G461" s="37"/>
      <c r="H461" s="14"/>
      <c r="I461" s="38"/>
      <c r="J461" s="38"/>
      <c r="K461" s="33"/>
      <c r="L461" s="33"/>
      <c r="M461" s="34" t="str">
        <f aca="false">IF(F461="","",N(I461)/(1-IF(K461="",'Job Info'!$B$39,K461))*(1+IF('Job Info'!$B$38="Yes",'Job Info'!$B$37,0)))</f>
        <v/>
      </c>
      <c r="N461" s="34" t="str">
        <f aca="false">IF(F461="","",N(J461)/(1-IF(L461="",'Job Info'!$B$40,L461)))</f>
        <v/>
      </c>
      <c r="O461" s="34" t="str">
        <f aca="false">IF(F461="","",M461+N461)</f>
        <v/>
      </c>
      <c r="P461" s="34" t="str">
        <f aca="false">IF(F461="","",N(G461)*M461)</f>
        <v/>
      </c>
      <c r="Q461" s="34" t="str">
        <f aca="false">IF(F461="","",N(G461)*N461)</f>
        <v/>
      </c>
      <c r="R461" s="35" t="str">
        <f aca="false">IF(F461="","",P461+Q461)</f>
        <v/>
      </c>
      <c r="S461" s="36"/>
      <c r="T461" s="36"/>
      <c r="U461" s="34" t="str">
        <f aca="false">IF(F461="","",N(G461)*N(I461))</f>
        <v/>
      </c>
      <c r="V461" s="34" t="str">
        <f aca="false">IF(F461="","",N(G461)*N(J461))</f>
        <v/>
      </c>
      <c r="W461" s="13" t="str">
        <f aca="false">IF(F461="","",IF(B461="Excluded","",COUNTIFS($F$6:F461,"?*",$B$6:B461,"&lt;&gt;Excluded")))</f>
        <v/>
      </c>
      <c r="X461" s="34" t="str">
        <f aca="false">IF(F461="","",N(G461)*N(I461)/(1-IF(K461="",'Job Info'!$B$39,K461))*IF('Job Info'!$B$38="Yes",'Job Info'!$B$37,0))</f>
        <v/>
      </c>
    </row>
    <row r="462" customFormat="false" ht="15" hidden="false" customHeight="false" outlineLevel="0" collapsed="false">
      <c r="A462" s="13" t="str">
        <f aca="false">IF(F462="","",ROW()-5)</f>
        <v/>
      </c>
      <c r="B462" s="14"/>
      <c r="C462" s="14"/>
      <c r="D462" s="14"/>
      <c r="E462" s="14"/>
      <c r="F462" s="36"/>
      <c r="G462" s="37"/>
      <c r="H462" s="14"/>
      <c r="I462" s="38"/>
      <c r="J462" s="38"/>
      <c r="K462" s="33"/>
      <c r="L462" s="33"/>
      <c r="M462" s="34" t="str">
        <f aca="false">IF(F462="","",N(I462)/(1-IF(K462="",'Job Info'!$B$39,K462))*(1+IF('Job Info'!$B$38="Yes",'Job Info'!$B$37,0)))</f>
        <v/>
      </c>
      <c r="N462" s="34" t="str">
        <f aca="false">IF(F462="","",N(J462)/(1-IF(L462="",'Job Info'!$B$40,L462)))</f>
        <v/>
      </c>
      <c r="O462" s="34" t="str">
        <f aca="false">IF(F462="","",M462+N462)</f>
        <v/>
      </c>
      <c r="P462" s="34" t="str">
        <f aca="false">IF(F462="","",N(G462)*M462)</f>
        <v/>
      </c>
      <c r="Q462" s="34" t="str">
        <f aca="false">IF(F462="","",N(G462)*N462)</f>
        <v/>
      </c>
      <c r="R462" s="35" t="str">
        <f aca="false">IF(F462="","",P462+Q462)</f>
        <v/>
      </c>
      <c r="S462" s="36"/>
      <c r="T462" s="36"/>
      <c r="U462" s="34" t="str">
        <f aca="false">IF(F462="","",N(G462)*N(I462))</f>
        <v/>
      </c>
      <c r="V462" s="34" t="str">
        <f aca="false">IF(F462="","",N(G462)*N(J462))</f>
        <v/>
      </c>
      <c r="W462" s="13" t="str">
        <f aca="false">IF(F462="","",IF(B462="Excluded","",COUNTIFS($F$6:F462,"?*",$B$6:B462,"&lt;&gt;Excluded")))</f>
        <v/>
      </c>
      <c r="X462" s="34" t="str">
        <f aca="false">IF(F462="","",N(G462)*N(I462)/(1-IF(K462="",'Job Info'!$B$39,K462))*IF('Job Info'!$B$38="Yes",'Job Info'!$B$37,0))</f>
        <v/>
      </c>
    </row>
    <row r="463" customFormat="false" ht="15" hidden="false" customHeight="false" outlineLevel="0" collapsed="false">
      <c r="A463" s="13" t="str">
        <f aca="false">IF(F463="","",ROW()-5)</f>
        <v/>
      </c>
      <c r="B463" s="14"/>
      <c r="C463" s="14"/>
      <c r="D463" s="14"/>
      <c r="E463" s="14"/>
      <c r="F463" s="36"/>
      <c r="G463" s="37"/>
      <c r="H463" s="14"/>
      <c r="I463" s="38"/>
      <c r="J463" s="38"/>
      <c r="K463" s="33"/>
      <c r="L463" s="33"/>
      <c r="M463" s="34" t="str">
        <f aca="false">IF(F463="","",N(I463)/(1-IF(K463="",'Job Info'!$B$39,K463))*(1+IF('Job Info'!$B$38="Yes",'Job Info'!$B$37,0)))</f>
        <v/>
      </c>
      <c r="N463" s="34" t="str">
        <f aca="false">IF(F463="","",N(J463)/(1-IF(L463="",'Job Info'!$B$40,L463)))</f>
        <v/>
      </c>
      <c r="O463" s="34" t="str">
        <f aca="false">IF(F463="","",M463+N463)</f>
        <v/>
      </c>
      <c r="P463" s="34" t="str">
        <f aca="false">IF(F463="","",N(G463)*M463)</f>
        <v/>
      </c>
      <c r="Q463" s="34" t="str">
        <f aca="false">IF(F463="","",N(G463)*N463)</f>
        <v/>
      </c>
      <c r="R463" s="35" t="str">
        <f aca="false">IF(F463="","",P463+Q463)</f>
        <v/>
      </c>
      <c r="S463" s="36"/>
      <c r="T463" s="36"/>
      <c r="U463" s="34" t="str">
        <f aca="false">IF(F463="","",N(G463)*N(I463))</f>
        <v/>
      </c>
      <c r="V463" s="34" t="str">
        <f aca="false">IF(F463="","",N(G463)*N(J463))</f>
        <v/>
      </c>
      <c r="W463" s="13" t="str">
        <f aca="false">IF(F463="","",IF(B463="Excluded","",COUNTIFS($F$6:F463,"?*",$B$6:B463,"&lt;&gt;Excluded")))</f>
        <v/>
      </c>
      <c r="X463" s="34" t="str">
        <f aca="false">IF(F463="","",N(G463)*N(I463)/(1-IF(K463="",'Job Info'!$B$39,K463))*IF('Job Info'!$B$38="Yes",'Job Info'!$B$37,0))</f>
        <v/>
      </c>
    </row>
    <row r="464" customFormat="false" ht="15" hidden="false" customHeight="false" outlineLevel="0" collapsed="false">
      <c r="A464" s="13" t="str">
        <f aca="false">IF(F464="","",ROW()-5)</f>
        <v/>
      </c>
      <c r="B464" s="14"/>
      <c r="C464" s="14"/>
      <c r="D464" s="14"/>
      <c r="E464" s="14"/>
      <c r="F464" s="36"/>
      <c r="G464" s="37"/>
      <c r="H464" s="14"/>
      <c r="I464" s="38"/>
      <c r="J464" s="38"/>
      <c r="K464" s="33"/>
      <c r="L464" s="33"/>
      <c r="M464" s="34" t="str">
        <f aca="false">IF(F464="","",N(I464)/(1-IF(K464="",'Job Info'!$B$39,K464))*(1+IF('Job Info'!$B$38="Yes",'Job Info'!$B$37,0)))</f>
        <v/>
      </c>
      <c r="N464" s="34" t="str">
        <f aca="false">IF(F464="","",N(J464)/(1-IF(L464="",'Job Info'!$B$40,L464)))</f>
        <v/>
      </c>
      <c r="O464" s="34" t="str">
        <f aca="false">IF(F464="","",M464+N464)</f>
        <v/>
      </c>
      <c r="P464" s="34" t="str">
        <f aca="false">IF(F464="","",N(G464)*M464)</f>
        <v/>
      </c>
      <c r="Q464" s="34" t="str">
        <f aca="false">IF(F464="","",N(G464)*N464)</f>
        <v/>
      </c>
      <c r="R464" s="35" t="str">
        <f aca="false">IF(F464="","",P464+Q464)</f>
        <v/>
      </c>
      <c r="S464" s="36"/>
      <c r="T464" s="36"/>
      <c r="U464" s="34" t="str">
        <f aca="false">IF(F464="","",N(G464)*N(I464))</f>
        <v/>
      </c>
      <c r="V464" s="34" t="str">
        <f aca="false">IF(F464="","",N(G464)*N(J464))</f>
        <v/>
      </c>
      <c r="W464" s="13" t="str">
        <f aca="false">IF(F464="","",IF(B464="Excluded","",COUNTIFS($F$6:F464,"?*",$B$6:B464,"&lt;&gt;Excluded")))</f>
        <v/>
      </c>
      <c r="X464" s="34" t="str">
        <f aca="false">IF(F464="","",N(G464)*N(I464)/(1-IF(K464="",'Job Info'!$B$39,K464))*IF('Job Info'!$B$38="Yes",'Job Info'!$B$37,0))</f>
        <v/>
      </c>
    </row>
    <row r="465" customFormat="false" ht="15" hidden="false" customHeight="false" outlineLevel="0" collapsed="false">
      <c r="A465" s="13" t="str">
        <f aca="false">IF(F465="","",ROW()-5)</f>
        <v/>
      </c>
      <c r="B465" s="14"/>
      <c r="C465" s="14"/>
      <c r="D465" s="14"/>
      <c r="E465" s="14"/>
      <c r="F465" s="36"/>
      <c r="G465" s="37"/>
      <c r="H465" s="14"/>
      <c r="I465" s="38"/>
      <c r="J465" s="38"/>
      <c r="K465" s="33"/>
      <c r="L465" s="33"/>
      <c r="M465" s="34" t="str">
        <f aca="false">IF(F465="","",N(I465)/(1-IF(K465="",'Job Info'!$B$39,K465))*(1+IF('Job Info'!$B$38="Yes",'Job Info'!$B$37,0)))</f>
        <v/>
      </c>
      <c r="N465" s="34" t="str">
        <f aca="false">IF(F465="","",N(J465)/(1-IF(L465="",'Job Info'!$B$40,L465)))</f>
        <v/>
      </c>
      <c r="O465" s="34" t="str">
        <f aca="false">IF(F465="","",M465+N465)</f>
        <v/>
      </c>
      <c r="P465" s="34" t="str">
        <f aca="false">IF(F465="","",N(G465)*M465)</f>
        <v/>
      </c>
      <c r="Q465" s="34" t="str">
        <f aca="false">IF(F465="","",N(G465)*N465)</f>
        <v/>
      </c>
      <c r="R465" s="35" t="str">
        <f aca="false">IF(F465="","",P465+Q465)</f>
        <v/>
      </c>
      <c r="S465" s="36"/>
      <c r="T465" s="36"/>
      <c r="U465" s="34" t="str">
        <f aca="false">IF(F465="","",N(G465)*N(I465))</f>
        <v/>
      </c>
      <c r="V465" s="34" t="str">
        <f aca="false">IF(F465="","",N(G465)*N(J465))</f>
        <v/>
      </c>
      <c r="W465" s="13" t="str">
        <f aca="false">IF(F465="","",IF(B465="Excluded","",COUNTIFS($F$6:F465,"?*",$B$6:B465,"&lt;&gt;Excluded")))</f>
        <v/>
      </c>
      <c r="X465" s="34" t="str">
        <f aca="false">IF(F465="","",N(G465)*N(I465)/(1-IF(K465="",'Job Info'!$B$39,K465))*IF('Job Info'!$B$38="Yes",'Job Info'!$B$37,0))</f>
        <v/>
      </c>
    </row>
    <row r="466" customFormat="false" ht="15" hidden="false" customHeight="false" outlineLevel="0" collapsed="false">
      <c r="A466" s="13" t="str">
        <f aca="false">IF(F466="","",ROW()-5)</f>
        <v/>
      </c>
      <c r="B466" s="14"/>
      <c r="C466" s="14"/>
      <c r="D466" s="14"/>
      <c r="E466" s="14"/>
      <c r="F466" s="36"/>
      <c r="G466" s="37"/>
      <c r="H466" s="14"/>
      <c r="I466" s="38"/>
      <c r="J466" s="38"/>
      <c r="K466" s="33"/>
      <c r="L466" s="33"/>
      <c r="M466" s="34" t="str">
        <f aca="false">IF(F466="","",N(I466)/(1-IF(K466="",'Job Info'!$B$39,K466))*(1+IF('Job Info'!$B$38="Yes",'Job Info'!$B$37,0)))</f>
        <v/>
      </c>
      <c r="N466" s="34" t="str">
        <f aca="false">IF(F466="","",N(J466)/(1-IF(L466="",'Job Info'!$B$40,L466)))</f>
        <v/>
      </c>
      <c r="O466" s="34" t="str">
        <f aca="false">IF(F466="","",M466+N466)</f>
        <v/>
      </c>
      <c r="P466" s="34" t="str">
        <f aca="false">IF(F466="","",N(G466)*M466)</f>
        <v/>
      </c>
      <c r="Q466" s="34" t="str">
        <f aca="false">IF(F466="","",N(G466)*N466)</f>
        <v/>
      </c>
      <c r="R466" s="35" t="str">
        <f aca="false">IF(F466="","",P466+Q466)</f>
        <v/>
      </c>
      <c r="S466" s="36"/>
      <c r="T466" s="36"/>
      <c r="U466" s="34" t="str">
        <f aca="false">IF(F466="","",N(G466)*N(I466))</f>
        <v/>
      </c>
      <c r="V466" s="34" t="str">
        <f aca="false">IF(F466="","",N(G466)*N(J466))</f>
        <v/>
      </c>
      <c r="W466" s="13" t="str">
        <f aca="false">IF(F466="","",IF(B466="Excluded","",COUNTIFS($F$6:F466,"?*",$B$6:B466,"&lt;&gt;Excluded")))</f>
        <v/>
      </c>
      <c r="X466" s="34" t="str">
        <f aca="false">IF(F466="","",N(G466)*N(I466)/(1-IF(K466="",'Job Info'!$B$39,K466))*IF('Job Info'!$B$38="Yes",'Job Info'!$B$37,0))</f>
        <v/>
      </c>
    </row>
    <row r="467" customFormat="false" ht="15" hidden="false" customHeight="false" outlineLevel="0" collapsed="false">
      <c r="A467" s="13" t="str">
        <f aca="false">IF(F467="","",ROW()-5)</f>
        <v/>
      </c>
      <c r="B467" s="14"/>
      <c r="C467" s="14"/>
      <c r="D467" s="14"/>
      <c r="E467" s="14"/>
      <c r="F467" s="36"/>
      <c r="G467" s="37"/>
      <c r="H467" s="14"/>
      <c r="I467" s="38"/>
      <c r="J467" s="38"/>
      <c r="K467" s="33"/>
      <c r="L467" s="33"/>
      <c r="M467" s="34" t="str">
        <f aca="false">IF(F467="","",N(I467)/(1-IF(K467="",'Job Info'!$B$39,K467))*(1+IF('Job Info'!$B$38="Yes",'Job Info'!$B$37,0)))</f>
        <v/>
      </c>
      <c r="N467" s="34" t="str">
        <f aca="false">IF(F467="","",N(J467)/(1-IF(L467="",'Job Info'!$B$40,L467)))</f>
        <v/>
      </c>
      <c r="O467" s="34" t="str">
        <f aca="false">IF(F467="","",M467+N467)</f>
        <v/>
      </c>
      <c r="P467" s="34" t="str">
        <f aca="false">IF(F467="","",N(G467)*M467)</f>
        <v/>
      </c>
      <c r="Q467" s="34" t="str">
        <f aca="false">IF(F467="","",N(G467)*N467)</f>
        <v/>
      </c>
      <c r="R467" s="35" t="str">
        <f aca="false">IF(F467="","",P467+Q467)</f>
        <v/>
      </c>
      <c r="S467" s="36"/>
      <c r="T467" s="36"/>
      <c r="U467" s="34" t="str">
        <f aca="false">IF(F467="","",N(G467)*N(I467))</f>
        <v/>
      </c>
      <c r="V467" s="34" t="str">
        <f aca="false">IF(F467="","",N(G467)*N(J467))</f>
        <v/>
      </c>
      <c r="W467" s="13" t="str">
        <f aca="false">IF(F467="","",IF(B467="Excluded","",COUNTIFS($F$6:F467,"?*",$B$6:B467,"&lt;&gt;Excluded")))</f>
        <v/>
      </c>
      <c r="X467" s="34" t="str">
        <f aca="false">IF(F467="","",N(G467)*N(I467)/(1-IF(K467="",'Job Info'!$B$39,K467))*IF('Job Info'!$B$38="Yes",'Job Info'!$B$37,0))</f>
        <v/>
      </c>
    </row>
    <row r="468" customFormat="false" ht="15" hidden="false" customHeight="false" outlineLevel="0" collapsed="false">
      <c r="A468" s="13" t="str">
        <f aca="false">IF(F468="","",ROW()-5)</f>
        <v/>
      </c>
      <c r="B468" s="14"/>
      <c r="C468" s="14"/>
      <c r="D468" s="14"/>
      <c r="E468" s="14"/>
      <c r="F468" s="36"/>
      <c r="G468" s="37"/>
      <c r="H468" s="14"/>
      <c r="I468" s="38"/>
      <c r="J468" s="38"/>
      <c r="K468" s="33"/>
      <c r="L468" s="33"/>
      <c r="M468" s="34" t="str">
        <f aca="false">IF(F468="","",N(I468)/(1-IF(K468="",'Job Info'!$B$39,K468))*(1+IF('Job Info'!$B$38="Yes",'Job Info'!$B$37,0)))</f>
        <v/>
      </c>
      <c r="N468" s="34" t="str">
        <f aca="false">IF(F468="","",N(J468)/(1-IF(L468="",'Job Info'!$B$40,L468)))</f>
        <v/>
      </c>
      <c r="O468" s="34" t="str">
        <f aca="false">IF(F468="","",M468+N468)</f>
        <v/>
      </c>
      <c r="P468" s="34" t="str">
        <f aca="false">IF(F468="","",N(G468)*M468)</f>
        <v/>
      </c>
      <c r="Q468" s="34" t="str">
        <f aca="false">IF(F468="","",N(G468)*N468)</f>
        <v/>
      </c>
      <c r="R468" s="35" t="str">
        <f aca="false">IF(F468="","",P468+Q468)</f>
        <v/>
      </c>
      <c r="S468" s="36"/>
      <c r="T468" s="36"/>
      <c r="U468" s="34" t="str">
        <f aca="false">IF(F468="","",N(G468)*N(I468))</f>
        <v/>
      </c>
      <c r="V468" s="34" t="str">
        <f aca="false">IF(F468="","",N(G468)*N(J468))</f>
        <v/>
      </c>
      <c r="W468" s="13" t="str">
        <f aca="false">IF(F468="","",IF(B468="Excluded","",COUNTIFS($F$6:F468,"?*",$B$6:B468,"&lt;&gt;Excluded")))</f>
        <v/>
      </c>
      <c r="X468" s="34" t="str">
        <f aca="false">IF(F468="","",N(G468)*N(I468)/(1-IF(K468="",'Job Info'!$B$39,K468))*IF('Job Info'!$B$38="Yes",'Job Info'!$B$37,0))</f>
        <v/>
      </c>
    </row>
    <row r="469" customFormat="false" ht="15" hidden="false" customHeight="false" outlineLevel="0" collapsed="false">
      <c r="A469" s="13" t="str">
        <f aca="false">IF(F469="","",ROW()-5)</f>
        <v/>
      </c>
      <c r="B469" s="14"/>
      <c r="C469" s="14"/>
      <c r="D469" s="14"/>
      <c r="E469" s="14"/>
      <c r="F469" s="36"/>
      <c r="G469" s="37"/>
      <c r="H469" s="14"/>
      <c r="I469" s="38"/>
      <c r="J469" s="38"/>
      <c r="K469" s="33"/>
      <c r="L469" s="33"/>
      <c r="M469" s="34" t="str">
        <f aca="false">IF(F469="","",N(I469)/(1-IF(K469="",'Job Info'!$B$39,K469))*(1+IF('Job Info'!$B$38="Yes",'Job Info'!$B$37,0)))</f>
        <v/>
      </c>
      <c r="N469" s="34" t="str">
        <f aca="false">IF(F469="","",N(J469)/(1-IF(L469="",'Job Info'!$B$40,L469)))</f>
        <v/>
      </c>
      <c r="O469" s="34" t="str">
        <f aca="false">IF(F469="","",M469+N469)</f>
        <v/>
      </c>
      <c r="P469" s="34" t="str">
        <f aca="false">IF(F469="","",N(G469)*M469)</f>
        <v/>
      </c>
      <c r="Q469" s="34" t="str">
        <f aca="false">IF(F469="","",N(G469)*N469)</f>
        <v/>
      </c>
      <c r="R469" s="35" t="str">
        <f aca="false">IF(F469="","",P469+Q469)</f>
        <v/>
      </c>
      <c r="S469" s="36"/>
      <c r="T469" s="36"/>
      <c r="U469" s="34" t="str">
        <f aca="false">IF(F469="","",N(G469)*N(I469))</f>
        <v/>
      </c>
      <c r="V469" s="34" t="str">
        <f aca="false">IF(F469="","",N(G469)*N(J469))</f>
        <v/>
      </c>
      <c r="W469" s="13" t="str">
        <f aca="false">IF(F469="","",IF(B469="Excluded","",COUNTIFS($F$6:F469,"?*",$B$6:B469,"&lt;&gt;Excluded")))</f>
        <v/>
      </c>
      <c r="X469" s="34" t="str">
        <f aca="false">IF(F469="","",N(G469)*N(I469)/(1-IF(K469="",'Job Info'!$B$39,K469))*IF('Job Info'!$B$38="Yes",'Job Info'!$B$37,0))</f>
        <v/>
      </c>
    </row>
    <row r="470" customFormat="false" ht="15" hidden="false" customHeight="false" outlineLevel="0" collapsed="false">
      <c r="A470" s="13" t="str">
        <f aca="false">IF(F470="","",ROW()-5)</f>
        <v/>
      </c>
      <c r="B470" s="14"/>
      <c r="C470" s="14"/>
      <c r="D470" s="14"/>
      <c r="E470" s="14"/>
      <c r="F470" s="36"/>
      <c r="G470" s="37"/>
      <c r="H470" s="14"/>
      <c r="I470" s="38"/>
      <c r="J470" s="38"/>
      <c r="K470" s="33"/>
      <c r="L470" s="33"/>
      <c r="M470" s="34" t="str">
        <f aca="false">IF(F470="","",N(I470)/(1-IF(K470="",'Job Info'!$B$39,K470))*(1+IF('Job Info'!$B$38="Yes",'Job Info'!$B$37,0)))</f>
        <v/>
      </c>
      <c r="N470" s="34" t="str">
        <f aca="false">IF(F470="","",N(J470)/(1-IF(L470="",'Job Info'!$B$40,L470)))</f>
        <v/>
      </c>
      <c r="O470" s="34" t="str">
        <f aca="false">IF(F470="","",M470+N470)</f>
        <v/>
      </c>
      <c r="P470" s="34" t="str">
        <f aca="false">IF(F470="","",N(G470)*M470)</f>
        <v/>
      </c>
      <c r="Q470" s="34" t="str">
        <f aca="false">IF(F470="","",N(G470)*N470)</f>
        <v/>
      </c>
      <c r="R470" s="35" t="str">
        <f aca="false">IF(F470="","",P470+Q470)</f>
        <v/>
      </c>
      <c r="S470" s="36"/>
      <c r="T470" s="36"/>
      <c r="U470" s="34" t="str">
        <f aca="false">IF(F470="","",N(G470)*N(I470))</f>
        <v/>
      </c>
      <c r="V470" s="34" t="str">
        <f aca="false">IF(F470="","",N(G470)*N(J470))</f>
        <v/>
      </c>
      <c r="W470" s="13" t="str">
        <f aca="false">IF(F470="","",IF(B470="Excluded","",COUNTIFS($F$6:F470,"?*",$B$6:B470,"&lt;&gt;Excluded")))</f>
        <v/>
      </c>
      <c r="X470" s="34" t="str">
        <f aca="false">IF(F470="","",N(G470)*N(I470)/(1-IF(K470="",'Job Info'!$B$39,K470))*IF('Job Info'!$B$38="Yes",'Job Info'!$B$37,0))</f>
        <v/>
      </c>
    </row>
    <row r="471" customFormat="false" ht="15" hidden="false" customHeight="false" outlineLevel="0" collapsed="false">
      <c r="A471" s="13" t="str">
        <f aca="false">IF(F471="","",ROW()-5)</f>
        <v/>
      </c>
      <c r="B471" s="14"/>
      <c r="C471" s="14"/>
      <c r="D471" s="14"/>
      <c r="E471" s="14"/>
      <c r="F471" s="36"/>
      <c r="G471" s="37"/>
      <c r="H471" s="14"/>
      <c r="I471" s="38"/>
      <c r="J471" s="38"/>
      <c r="K471" s="33"/>
      <c r="L471" s="33"/>
      <c r="M471" s="34" t="str">
        <f aca="false">IF(F471="","",N(I471)/(1-IF(K471="",'Job Info'!$B$39,K471))*(1+IF('Job Info'!$B$38="Yes",'Job Info'!$B$37,0)))</f>
        <v/>
      </c>
      <c r="N471" s="34" t="str">
        <f aca="false">IF(F471="","",N(J471)/(1-IF(L471="",'Job Info'!$B$40,L471)))</f>
        <v/>
      </c>
      <c r="O471" s="34" t="str">
        <f aca="false">IF(F471="","",M471+N471)</f>
        <v/>
      </c>
      <c r="P471" s="34" t="str">
        <f aca="false">IF(F471="","",N(G471)*M471)</f>
        <v/>
      </c>
      <c r="Q471" s="34" t="str">
        <f aca="false">IF(F471="","",N(G471)*N471)</f>
        <v/>
      </c>
      <c r="R471" s="35" t="str">
        <f aca="false">IF(F471="","",P471+Q471)</f>
        <v/>
      </c>
      <c r="S471" s="36"/>
      <c r="T471" s="36"/>
      <c r="U471" s="34" t="str">
        <f aca="false">IF(F471="","",N(G471)*N(I471))</f>
        <v/>
      </c>
      <c r="V471" s="34" t="str">
        <f aca="false">IF(F471="","",N(G471)*N(J471))</f>
        <v/>
      </c>
      <c r="W471" s="13" t="str">
        <f aca="false">IF(F471="","",IF(B471="Excluded","",COUNTIFS($F$6:F471,"?*",$B$6:B471,"&lt;&gt;Excluded")))</f>
        <v/>
      </c>
      <c r="X471" s="34" t="str">
        <f aca="false">IF(F471="","",N(G471)*N(I471)/(1-IF(K471="",'Job Info'!$B$39,K471))*IF('Job Info'!$B$38="Yes",'Job Info'!$B$37,0))</f>
        <v/>
      </c>
    </row>
    <row r="472" customFormat="false" ht="15" hidden="false" customHeight="false" outlineLevel="0" collapsed="false">
      <c r="A472" s="13" t="str">
        <f aca="false">IF(F472="","",ROW()-5)</f>
        <v/>
      </c>
      <c r="B472" s="14"/>
      <c r="C472" s="14"/>
      <c r="D472" s="14"/>
      <c r="E472" s="14"/>
      <c r="F472" s="36"/>
      <c r="G472" s="37"/>
      <c r="H472" s="14"/>
      <c r="I472" s="38"/>
      <c r="J472" s="38"/>
      <c r="K472" s="33"/>
      <c r="L472" s="33"/>
      <c r="M472" s="34" t="str">
        <f aca="false">IF(F472="","",N(I472)/(1-IF(K472="",'Job Info'!$B$39,K472))*(1+IF('Job Info'!$B$38="Yes",'Job Info'!$B$37,0)))</f>
        <v/>
      </c>
      <c r="N472" s="34" t="str">
        <f aca="false">IF(F472="","",N(J472)/(1-IF(L472="",'Job Info'!$B$40,L472)))</f>
        <v/>
      </c>
      <c r="O472" s="34" t="str">
        <f aca="false">IF(F472="","",M472+N472)</f>
        <v/>
      </c>
      <c r="P472" s="34" t="str">
        <f aca="false">IF(F472="","",N(G472)*M472)</f>
        <v/>
      </c>
      <c r="Q472" s="34" t="str">
        <f aca="false">IF(F472="","",N(G472)*N472)</f>
        <v/>
      </c>
      <c r="R472" s="35" t="str">
        <f aca="false">IF(F472="","",P472+Q472)</f>
        <v/>
      </c>
      <c r="S472" s="36"/>
      <c r="T472" s="36"/>
      <c r="U472" s="34" t="str">
        <f aca="false">IF(F472="","",N(G472)*N(I472))</f>
        <v/>
      </c>
      <c r="V472" s="34" t="str">
        <f aca="false">IF(F472="","",N(G472)*N(J472))</f>
        <v/>
      </c>
      <c r="W472" s="13" t="str">
        <f aca="false">IF(F472="","",IF(B472="Excluded","",COUNTIFS($F$6:F472,"?*",$B$6:B472,"&lt;&gt;Excluded")))</f>
        <v/>
      </c>
      <c r="X472" s="34" t="str">
        <f aca="false">IF(F472="","",N(G472)*N(I472)/(1-IF(K472="",'Job Info'!$B$39,K472))*IF('Job Info'!$B$38="Yes",'Job Info'!$B$37,0))</f>
        <v/>
      </c>
    </row>
    <row r="473" customFormat="false" ht="15" hidden="false" customHeight="false" outlineLevel="0" collapsed="false">
      <c r="A473" s="13" t="str">
        <f aca="false">IF(F473="","",ROW()-5)</f>
        <v/>
      </c>
      <c r="B473" s="14"/>
      <c r="C473" s="14"/>
      <c r="D473" s="14"/>
      <c r="E473" s="14"/>
      <c r="F473" s="36"/>
      <c r="G473" s="37"/>
      <c r="H473" s="14"/>
      <c r="I473" s="38"/>
      <c r="J473" s="38"/>
      <c r="K473" s="33"/>
      <c r="L473" s="33"/>
      <c r="M473" s="34" t="str">
        <f aca="false">IF(F473="","",N(I473)/(1-IF(K473="",'Job Info'!$B$39,K473))*(1+IF('Job Info'!$B$38="Yes",'Job Info'!$B$37,0)))</f>
        <v/>
      </c>
      <c r="N473" s="34" t="str">
        <f aca="false">IF(F473="","",N(J473)/(1-IF(L473="",'Job Info'!$B$40,L473)))</f>
        <v/>
      </c>
      <c r="O473" s="34" t="str">
        <f aca="false">IF(F473="","",M473+N473)</f>
        <v/>
      </c>
      <c r="P473" s="34" t="str">
        <f aca="false">IF(F473="","",N(G473)*M473)</f>
        <v/>
      </c>
      <c r="Q473" s="34" t="str">
        <f aca="false">IF(F473="","",N(G473)*N473)</f>
        <v/>
      </c>
      <c r="R473" s="35" t="str">
        <f aca="false">IF(F473="","",P473+Q473)</f>
        <v/>
      </c>
      <c r="S473" s="36"/>
      <c r="T473" s="36"/>
      <c r="U473" s="34" t="str">
        <f aca="false">IF(F473="","",N(G473)*N(I473))</f>
        <v/>
      </c>
      <c r="V473" s="34" t="str">
        <f aca="false">IF(F473="","",N(G473)*N(J473))</f>
        <v/>
      </c>
      <c r="W473" s="13" t="str">
        <f aca="false">IF(F473="","",IF(B473="Excluded","",COUNTIFS($F$6:F473,"?*",$B$6:B473,"&lt;&gt;Excluded")))</f>
        <v/>
      </c>
      <c r="X473" s="34" t="str">
        <f aca="false">IF(F473="","",N(G473)*N(I473)/(1-IF(K473="",'Job Info'!$B$39,K473))*IF('Job Info'!$B$38="Yes",'Job Info'!$B$37,0))</f>
        <v/>
      </c>
    </row>
    <row r="474" customFormat="false" ht="15" hidden="false" customHeight="false" outlineLevel="0" collapsed="false">
      <c r="A474" s="13" t="str">
        <f aca="false">IF(F474="","",ROW()-5)</f>
        <v/>
      </c>
      <c r="B474" s="14"/>
      <c r="C474" s="14"/>
      <c r="D474" s="14"/>
      <c r="E474" s="14"/>
      <c r="F474" s="36"/>
      <c r="G474" s="37"/>
      <c r="H474" s="14"/>
      <c r="I474" s="38"/>
      <c r="J474" s="38"/>
      <c r="K474" s="33"/>
      <c r="L474" s="33"/>
      <c r="M474" s="34" t="str">
        <f aca="false">IF(F474="","",N(I474)/(1-IF(K474="",'Job Info'!$B$39,K474))*(1+IF('Job Info'!$B$38="Yes",'Job Info'!$B$37,0)))</f>
        <v/>
      </c>
      <c r="N474" s="34" t="str">
        <f aca="false">IF(F474="","",N(J474)/(1-IF(L474="",'Job Info'!$B$40,L474)))</f>
        <v/>
      </c>
      <c r="O474" s="34" t="str">
        <f aca="false">IF(F474="","",M474+N474)</f>
        <v/>
      </c>
      <c r="P474" s="34" t="str">
        <f aca="false">IF(F474="","",N(G474)*M474)</f>
        <v/>
      </c>
      <c r="Q474" s="34" t="str">
        <f aca="false">IF(F474="","",N(G474)*N474)</f>
        <v/>
      </c>
      <c r="R474" s="35" t="str">
        <f aca="false">IF(F474="","",P474+Q474)</f>
        <v/>
      </c>
      <c r="S474" s="36"/>
      <c r="T474" s="36"/>
      <c r="U474" s="34" t="str">
        <f aca="false">IF(F474="","",N(G474)*N(I474))</f>
        <v/>
      </c>
      <c r="V474" s="34" t="str">
        <f aca="false">IF(F474="","",N(G474)*N(J474))</f>
        <v/>
      </c>
      <c r="W474" s="13" t="str">
        <f aca="false">IF(F474="","",IF(B474="Excluded","",COUNTIFS($F$6:F474,"?*",$B$6:B474,"&lt;&gt;Excluded")))</f>
        <v/>
      </c>
      <c r="X474" s="34" t="str">
        <f aca="false">IF(F474="","",N(G474)*N(I474)/(1-IF(K474="",'Job Info'!$B$39,K474))*IF('Job Info'!$B$38="Yes",'Job Info'!$B$37,0))</f>
        <v/>
      </c>
    </row>
    <row r="475" customFormat="false" ht="15" hidden="false" customHeight="false" outlineLevel="0" collapsed="false">
      <c r="A475" s="13" t="str">
        <f aca="false">IF(F475="","",ROW()-5)</f>
        <v/>
      </c>
      <c r="B475" s="14"/>
      <c r="C475" s="14"/>
      <c r="D475" s="14"/>
      <c r="E475" s="14"/>
      <c r="F475" s="36"/>
      <c r="G475" s="37"/>
      <c r="H475" s="14"/>
      <c r="I475" s="38"/>
      <c r="J475" s="38"/>
      <c r="K475" s="33"/>
      <c r="L475" s="33"/>
      <c r="M475" s="34" t="str">
        <f aca="false">IF(F475="","",N(I475)/(1-IF(K475="",'Job Info'!$B$39,K475))*(1+IF('Job Info'!$B$38="Yes",'Job Info'!$B$37,0)))</f>
        <v/>
      </c>
      <c r="N475" s="34" t="str">
        <f aca="false">IF(F475="","",N(J475)/(1-IF(L475="",'Job Info'!$B$40,L475)))</f>
        <v/>
      </c>
      <c r="O475" s="34" t="str">
        <f aca="false">IF(F475="","",M475+N475)</f>
        <v/>
      </c>
      <c r="P475" s="34" t="str">
        <f aca="false">IF(F475="","",N(G475)*M475)</f>
        <v/>
      </c>
      <c r="Q475" s="34" t="str">
        <f aca="false">IF(F475="","",N(G475)*N475)</f>
        <v/>
      </c>
      <c r="R475" s="35" t="str">
        <f aca="false">IF(F475="","",P475+Q475)</f>
        <v/>
      </c>
      <c r="S475" s="36"/>
      <c r="T475" s="36"/>
      <c r="U475" s="34" t="str">
        <f aca="false">IF(F475="","",N(G475)*N(I475))</f>
        <v/>
      </c>
      <c r="V475" s="34" t="str">
        <f aca="false">IF(F475="","",N(G475)*N(J475))</f>
        <v/>
      </c>
      <c r="W475" s="13" t="str">
        <f aca="false">IF(F475="","",IF(B475="Excluded","",COUNTIFS($F$6:F475,"?*",$B$6:B475,"&lt;&gt;Excluded")))</f>
        <v/>
      </c>
      <c r="X475" s="34" t="str">
        <f aca="false">IF(F475="","",N(G475)*N(I475)/(1-IF(K475="",'Job Info'!$B$39,K475))*IF('Job Info'!$B$38="Yes",'Job Info'!$B$37,0))</f>
        <v/>
      </c>
    </row>
    <row r="476" customFormat="false" ht="15" hidden="false" customHeight="false" outlineLevel="0" collapsed="false">
      <c r="A476" s="13" t="str">
        <f aca="false">IF(F476="","",ROW()-5)</f>
        <v/>
      </c>
      <c r="B476" s="14"/>
      <c r="C476" s="14"/>
      <c r="D476" s="14"/>
      <c r="E476" s="14"/>
      <c r="F476" s="36"/>
      <c r="G476" s="37"/>
      <c r="H476" s="14"/>
      <c r="I476" s="38"/>
      <c r="J476" s="38"/>
      <c r="K476" s="33"/>
      <c r="L476" s="33"/>
      <c r="M476" s="34" t="str">
        <f aca="false">IF(F476="","",N(I476)/(1-IF(K476="",'Job Info'!$B$39,K476))*(1+IF('Job Info'!$B$38="Yes",'Job Info'!$B$37,0)))</f>
        <v/>
      </c>
      <c r="N476" s="34" t="str">
        <f aca="false">IF(F476="","",N(J476)/(1-IF(L476="",'Job Info'!$B$40,L476)))</f>
        <v/>
      </c>
      <c r="O476" s="34" t="str">
        <f aca="false">IF(F476="","",M476+N476)</f>
        <v/>
      </c>
      <c r="P476" s="34" t="str">
        <f aca="false">IF(F476="","",N(G476)*M476)</f>
        <v/>
      </c>
      <c r="Q476" s="34" t="str">
        <f aca="false">IF(F476="","",N(G476)*N476)</f>
        <v/>
      </c>
      <c r="R476" s="35" t="str">
        <f aca="false">IF(F476="","",P476+Q476)</f>
        <v/>
      </c>
      <c r="S476" s="36"/>
      <c r="T476" s="36"/>
      <c r="U476" s="34" t="str">
        <f aca="false">IF(F476="","",N(G476)*N(I476))</f>
        <v/>
      </c>
      <c r="V476" s="34" t="str">
        <f aca="false">IF(F476="","",N(G476)*N(J476))</f>
        <v/>
      </c>
      <c r="W476" s="13" t="str">
        <f aca="false">IF(F476="","",IF(B476="Excluded","",COUNTIFS($F$6:F476,"?*",$B$6:B476,"&lt;&gt;Excluded")))</f>
        <v/>
      </c>
      <c r="X476" s="34" t="str">
        <f aca="false">IF(F476="","",N(G476)*N(I476)/(1-IF(K476="",'Job Info'!$B$39,K476))*IF('Job Info'!$B$38="Yes",'Job Info'!$B$37,0))</f>
        <v/>
      </c>
    </row>
    <row r="477" customFormat="false" ht="15" hidden="false" customHeight="false" outlineLevel="0" collapsed="false">
      <c r="A477" s="13" t="str">
        <f aca="false">IF(F477="","",ROW()-5)</f>
        <v/>
      </c>
      <c r="B477" s="14"/>
      <c r="C477" s="14"/>
      <c r="D477" s="14"/>
      <c r="E477" s="14"/>
      <c r="F477" s="36"/>
      <c r="G477" s="37"/>
      <c r="H477" s="14"/>
      <c r="I477" s="38"/>
      <c r="J477" s="38"/>
      <c r="K477" s="33"/>
      <c r="L477" s="33"/>
      <c r="M477" s="34" t="str">
        <f aca="false">IF(F477="","",N(I477)/(1-IF(K477="",'Job Info'!$B$39,K477))*(1+IF('Job Info'!$B$38="Yes",'Job Info'!$B$37,0)))</f>
        <v/>
      </c>
      <c r="N477" s="34" t="str">
        <f aca="false">IF(F477="","",N(J477)/(1-IF(L477="",'Job Info'!$B$40,L477)))</f>
        <v/>
      </c>
      <c r="O477" s="34" t="str">
        <f aca="false">IF(F477="","",M477+N477)</f>
        <v/>
      </c>
      <c r="P477" s="34" t="str">
        <f aca="false">IF(F477="","",N(G477)*M477)</f>
        <v/>
      </c>
      <c r="Q477" s="34" t="str">
        <f aca="false">IF(F477="","",N(G477)*N477)</f>
        <v/>
      </c>
      <c r="R477" s="35" t="str">
        <f aca="false">IF(F477="","",P477+Q477)</f>
        <v/>
      </c>
      <c r="S477" s="36"/>
      <c r="T477" s="36"/>
      <c r="U477" s="34" t="str">
        <f aca="false">IF(F477="","",N(G477)*N(I477))</f>
        <v/>
      </c>
      <c r="V477" s="34" t="str">
        <f aca="false">IF(F477="","",N(G477)*N(J477))</f>
        <v/>
      </c>
      <c r="W477" s="13" t="str">
        <f aca="false">IF(F477="","",IF(B477="Excluded","",COUNTIFS($F$6:F477,"?*",$B$6:B477,"&lt;&gt;Excluded")))</f>
        <v/>
      </c>
      <c r="X477" s="34" t="str">
        <f aca="false">IF(F477="","",N(G477)*N(I477)/(1-IF(K477="",'Job Info'!$B$39,K477))*IF('Job Info'!$B$38="Yes",'Job Info'!$B$37,0))</f>
        <v/>
      </c>
    </row>
    <row r="478" customFormat="false" ht="15" hidden="false" customHeight="false" outlineLevel="0" collapsed="false">
      <c r="A478" s="13" t="str">
        <f aca="false">IF(F478="","",ROW()-5)</f>
        <v/>
      </c>
      <c r="B478" s="14"/>
      <c r="C478" s="14"/>
      <c r="D478" s="14"/>
      <c r="E478" s="14"/>
      <c r="F478" s="36"/>
      <c r="G478" s="37"/>
      <c r="H478" s="14"/>
      <c r="I478" s="38"/>
      <c r="J478" s="38"/>
      <c r="K478" s="33"/>
      <c r="L478" s="33"/>
      <c r="M478" s="34" t="str">
        <f aca="false">IF(F478="","",N(I478)/(1-IF(K478="",'Job Info'!$B$39,K478))*(1+IF('Job Info'!$B$38="Yes",'Job Info'!$B$37,0)))</f>
        <v/>
      </c>
      <c r="N478" s="34" t="str">
        <f aca="false">IF(F478="","",N(J478)/(1-IF(L478="",'Job Info'!$B$40,L478)))</f>
        <v/>
      </c>
      <c r="O478" s="34" t="str">
        <f aca="false">IF(F478="","",M478+N478)</f>
        <v/>
      </c>
      <c r="P478" s="34" t="str">
        <f aca="false">IF(F478="","",N(G478)*M478)</f>
        <v/>
      </c>
      <c r="Q478" s="34" t="str">
        <f aca="false">IF(F478="","",N(G478)*N478)</f>
        <v/>
      </c>
      <c r="R478" s="35" t="str">
        <f aca="false">IF(F478="","",P478+Q478)</f>
        <v/>
      </c>
      <c r="S478" s="36"/>
      <c r="T478" s="36"/>
      <c r="U478" s="34" t="str">
        <f aca="false">IF(F478="","",N(G478)*N(I478))</f>
        <v/>
      </c>
      <c r="V478" s="34" t="str">
        <f aca="false">IF(F478="","",N(G478)*N(J478))</f>
        <v/>
      </c>
      <c r="W478" s="13" t="str">
        <f aca="false">IF(F478="","",IF(B478="Excluded","",COUNTIFS($F$6:F478,"?*",$B$6:B478,"&lt;&gt;Excluded")))</f>
        <v/>
      </c>
      <c r="X478" s="34" t="str">
        <f aca="false">IF(F478="","",N(G478)*N(I478)/(1-IF(K478="",'Job Info'!$B$39,K478))*IF('Job Info'!$B$38="Yes",'Job Info'!$B$37,0))</f>
        <v/>
      </c>
    </row>
    <row r="479" customFormat="false" ht="15" hidden="false" customHeight="false" outlineLevel="0" collapsed="false">
      <c r="A479" s="13" t="str">
        <f aca="false">IF(F479="","",ROW()-5)</f>
        <v/>
      </c>
      <c r="B479" s="14"/>
      <c r="C479" s="14"/>
      <c r="D479" s="14"/>
      <c r="E479" s="14"/>
      <c r="F479" s="36"/>
      <c r="G479" s="37"/>
      <c r="H479" s="14"/>
      <c r="I479" s="38"/>
      <c r="J479" s="38"/>
      <c r="K479" s="33"/>
      <c r="L479" s="33"/>
      <c r="M479" s="34" t="str">
        <f aca="false">IF(F479="","",N(I479)/(1-IF(K479="",'Job Info'!$B$39,K479))*(1+IF('Job Info'!$B$38="Yes",'Job Info'!$B$37,0)))</f>
        <v/>
      </c>
      <c r="N479" s="34" t="str">
        <f aca="false">IF(F479="","",N(J479)/(1-IF(L479="",'Job Info'!$B$40,L479)))</f>
        <v/>
      </c>
      <c r="O479" s="34" t="str">
        <f aca="false">IF(F479="","",M479+N479)</f>
        <v/>
      </c>
      <c r="P479" s="34" t="str">
        <f aca="false">IF(F479="","",N(G479)*M479)</f>
        <v/>
      </c>
      <c r="Q479" s="34" t="str">
        <f aca="false">IF(F479="","",N(G479)*N479)</f>
        <v/>
      </c>
      <c r="R479" s="35" t="str">
        <f aca="false">IF(F479="","",P479+Q479)</f>
        <v/>
      </c>
      <c r="S479" s="36"/>
      <c r="T479" s="36"/>
      <c r="U479" s="34" t="str">
        <f aca="false">IF(F479="","",N(G479)*N(I479))</f>
        <v/>
      </c>
      <c r="V479" s="34" t="str">
        <f aca="false">IF(F479="","",N(G479)*N(J479))</f>
        <v/>
      </c>
      <c r="W479" s="13" t="str">
        <f aca="false">IF(F479="","",IF(B479="Excluded","",COUNTIFS($F$6:F479,"?*",$B$6:B479,"&lt;&gt;Excluded")))</f>
        <v/>
      </c>
      <c r="X479" s="34" t="str">
        <f aca="false">IF(F479="","",N(G479)*N(I479)/(1-IF(K479="",'Job Info'!$B$39,K479))*IF('Job Info'!$B$38="Yes",'Job Info'!$B$37,0))</f>
        <v/>
      </c>
    </row>
    <row r="480" customFormat="false" ht="15" hidden="false" customHeight="false" outlineLevel="0" collapsed="false">
      <c r="A480" s="13" t="str">
        <f aca="false">IF(F480="","",ROW()-5)</f>
        <v/>
      </c>
      <c r="B480" s="14"/>
      <c r="C480" s="14"/>
      <c r="D480" s="14"/>
      <c r="E480" s="14"/>
      <c r="F480" s="36"/>
      <c r="G480" s="37"/>
      <c r="H480" s="14"/>
      <c r="I480" s="38"/>
      <c r="J480" s="38"/>
      <c r="K480" s="33"/>
      <c r="L480" s="33"/>
      <c r="M480" s="34" t="str">
        <f aca="false">IF(F480="","",N(I480)/(1-IF(K480="",'Job Info'!$B$39,K480))*(1+IF('Job Info'!$B$38="Yes",'Job Info'!$B$37,0)))</f>
        <v/>
      </c>
      <c r="N480" s="34" t="str">
        <f aca="false">IF(F480="","",N(J480)/(1-IF(L480="",'Job Info'!$B$40,L480)))</f>
        <v/>
      </c>
      <c r="O480" s="34" t="str">
        <f aca="false">IF(F480="","",M480+N480)</f>
        <v/>
      </c>
      <c r="P480" s="34" t="str">
        <f aca="false">IF(F480="","",N(G480)*M480)</f>
        <v/>
      </c>
      <c r="Q480" s="34" t="str">
        <f aca="false">IF(F480="","",N(G480)*N480)</f>
        <v/>
      </c>
      <c r="R480" s="35" t="str">
        <f aca="false">IF(F480="","",P480+Q480)</f>
        <v/>
      </c>
      <c r="S480" s="36"/>
      <c r="T480" s="36"/>
      <c r="U480" s="34" t="str">
        <f aca="false">IF(F480="","",N(G480)*N(I480))</f>
        <v/>
      </c>
      <c r="V480" s="34" t="str">
        <f aca="false">IF(F480="","",N(G480)*N(J480))</f>
        <v/>
      </c>
      <c r="W480" s="13" t="str">
        <f aca="false">IF(F480="","",IF(B480="Excluded","",COUNTIFS($F$6:F480,"?*",$B$6:B480,"&lt;&gt;Excluded")))</f>
        <v/>
      </c>
      <c r="X480" s="34" t="str">
        <f aca="false">IF(F480="","",N(G480)*N(I480)/(1-IF(K480="",'Job Info'!$B$39,K480))*IF('Job Info'!$B$38="Yes",'Job Info'!$B$37,0))</f>
        <v/>
      </c>
    </row>
    <row r="481" customFormat="false" ht="15" hidden="false" customHeight="false" outlineLevel="0" collapsed="false">
      <c r="A481" s="13" t="str">
        <f aca="false">IF(F481="","",ROW()-5)</f>
        <v/>
      </c>
      <c r="B481" s="14"/>
      <c r="C481" s="14"/>
      <c r="D481" s="14"/>
      <c r="E481" s="14"/>
      <c r="F481" s="36"/>
      <c r="G481" s="37"/>
      <c r="H481" s="14"/>
      <c r="I481" s="38"/>
      <c r="J481" s="38"/>
      <c r="K481" s="33"/>
      <c r="L481" s="33"/>
      <c r="M481" s="34" t="str">
        <f aca="false">IF(F481="","",N(I481)/(1-IF(K481="",'Job Info'!$B$39,K481))*(1+IF('Job Info'!$B$38="Yes",'Job Info'!$B$37,0)))</f>
        <v/>
      </c>
      <c r="N481" s="34" t="str">
        <f aca="false">IF(F481="","",N(J481)/(1-IF(L481="",'Job Info'!$B$40,L481)))</f>
        <v/>
      </c>
      <c r="O481" s="34" t="str">
        <f aca="false">IF(F481="","",M481+N481)</f>
        <v/>
      </c>
      <c r="P481" s="34" t="str">
        <f aca="false">IF(F481="","",N(G481)*M481)</f>
        <v/>
      </c>
      <c r="Q481" s="34" t="str">
        <f aca="false">IF(F481="","",N(G481)*N481)</f>
        <v/>
      </c>
      <c r="R481" s="35" t="str">
        <f aca="false">IF(F481="","",P481+Q481)</f>
        <v/>
      </c>
      <c r="S481" s="36"/>
      <c r="T481" s="36"/>
      <c r="U481" s="34" t="str">
        <f aca="false">IF(F481="","",N(G481)*N(I481))</f>
        <v/>
      </c>
      <c r="V481" s="34" t="str">
        <f aca="false">IF(F481="","",N(G481)*N(J481))</f>
        <v/>
      </c>
      <c r="W481" s="13" t="str">
        <f aca="false">IF(F481="","",IF(B481="Excluded","",COUNTIFS($F$6:F481,"?*",$B$6:B481,"&lt;&gt;Excluded")))</f>
        <v/>
      </c>
      <c r="X481" s="34" t="str">
        <f aca="false">IF(F481="","",N(G481)*N(I481)/(1-IF(K481="",'Job Info'!$B$39,K481))*IF('Job Info'!$B$38="Yes",'Job Info'!$B$37,0))</f>
        <v/>
      </c>
    </row>
    <row r="482" customFormat="false" ht="15" hidden="false" customHeight="false" outlineLevel="0" collapsed="false">
      <c r="A482" s="13" t="str">
        <f aca="false">IF(F482="","",ROW()-5)</f>
        <v/>
      </c>
      <c r="B482" s="14"/>
      <c r="C482" s="14"/>
      <c r="D482" s="14"/>
      <c r="E482" s="14"/>
      <c r="F482" s="36"/>
      <c r="G482" s="37"/>
      <c r="H482" s="14"/>
      <c r="I482" s="38"/>
      <c r="J482" s="38"/>
      <c r="K482" s="33"/>
      <c r="L482" s="33"/>
      <c r="M482" s="34" t="str">
        <f aca="false">IF(F482="","",N(I482)/(1-IF(K482="",'Job Info'!$B$39,K482))*(1+IF('Job Info'!$B$38="Yes",'Job Info'!$B$37,0)))</f>
        <v/>
      </c>
      <c r="N482" s="34" t="str">
        <f aca="false">IF(F482="","",N(J482)/(1-IF(L482="",'Job Info'!$B$40,L482)))</f>
        <v/>
      </c>
      <c r="O482" s="34" t="str">
        <f aca="false">IF(F482="","",M482+N482)</f>
        <v/>
      </c>
      <c r="P482" s="34" t="str">
        <f aca="false">IF(F482="","",N(G482)*M482)</f>
        <v/>
      </c>
      <c r="Q482" s="34" t="str">
        <f aca="false">IF(F482="","",N(G482)*N482)</f>
        <v/>
      </c>
      <c r="R482" s="35" t="str">
        <f aca="false">IF(F482="","",P482+Q482)</f>
        <v/>
      </c>
      <c r="S482" s="36"/>
      <c r="T482" s="36"/>
      <c r="U482" s="34" t="str">
        <f aca="false">IF(F482="","",N(G482)*N(I482))</f>
        <v/>
      </c>
      <c r="V482" s="34" t="str">
        <f aca="false">IF(F482="","",N(G482)*N(J482))</f>
        <v/>
      </c>
      <c r="W482" s="13" t="str">
        <f aca="false">IF(F482="","",IF(B482="Excluded","",COUNTIFS($F$6:F482,"?*",$B$6:B482,"&lt;&gt;Excluded")))</f>
        <v/>
      </c>
      <c r="X482" s="34" t="str">
        <f aca="false">IF(F482="","",N(G482)*N(I482)/(1-IF(K482="",'Job Info'!$B$39,K482))*IF('Job Info'!$B$38="Yes",'Job Info'!$B$37,0))</f>
        <v/>
      </c>
    </row>
    <row r="483" customFormat="false" ht="15" hidden="false" customHeight="false" outlineLevel="0" collapsed="false">
      <c r="A483" s="13" t="str">
        <f aca="false">IF(F483="","",ROW()-5)</f>
        <v/>
      </c>
      <c r="B483" s="14"/>
      <c r="C483" s="14"/>
      <c r="D483" s="14"/>
      <c r="E483" s="14"/>
      <c r="F483" s="36"/>
      <c r="G483" s="37"/>
      <c r="H483" s="14"/>
      <c r="I483" s="38"/>
      <c r="J483" s="38"/>
      <c r="K483" s="33"/>
      <c r="L483" s="33"/>
      <c r="M483" s="34" t="str">
        <f aca="false">IF(F483="","",N(I483)/(1-IF(K483="",'Job Info'!$B$39,K483))*(1+IF('Job Info'!$B$38="Yes",'Job Info'!$B$37,0)))</f>
        <v/>
      </c>
      <c r="N483" s="34" t="str">
        <f aca="false">IF(F483="","",N(J483)/(1-IF(L483="",'Job Info'!$B$40,L483)))</f>
        <v/>
      </c>
      <c r="O483" s="34" t="str">
        <f aca="false">IF(F483="","",M483+N483)</f>
        <v/>
      </c>
      <c r="P483" s="34" t="str">
        <f aca="false">IF(F483="","",N(G483)*M483)</f>
        <v/>
      </c>
      <c r="Q483" s="34" t="str">
        <f aca="false">IF(F483="","",N(G483)*N483)</f>
        <v/>
      </c>
      <c r="R483" s="35" t="str">
        <f aca="false">IF(F483="","",P483+Q483)</f>
        <v/>
      </c>
      <c r="S483" s="36"/>
      <c r="T483" s="36"/>
      <c r="U483" s="34" t="str">
        <f aca="false">IF(F483="","",N(G483)*N(I483))</f>
        <v/>
      </c>
      <c r="V483" s="34" t="str">
        <f aca="false">IF(F483="","",N(G483)*N(J483))</f>
        <v/>
      </c>
      <c r="W483" s="13" t="str">
        <f aca="false">IF(F483="","",IF(B483="Excluded","",COUNTIFS($F$6:F483,"?*",$B$6:B483,"&lt;&gt;Excluded")))</f>
        <v/>
      </c>
      <c r="X483" s="34" t="str">
        <f aca="false">IF(F483="","",N(G483)*N(I483)/(1-IF(K483="",'Job Info'!$B$39,K483))*IF('Job Info'!$B$38="Yes",'Job Info'!$B$37,0))</f>
        <v/>
      </c>
    </row>
    <row r="484" customFormat="false" ht="15" hidden="false" customHeight="false" outlineLevel="0" collapsed="false">
      <c r="A484" s="13" t="str">
        <f aca="false">IF(F484="","",ROW()-5)</f>
        <v/>
      </c>
      <c r="B484" s="14"/>
      <c r="C484" s="14"/>
      <c r="D484" s="14"/>
      <c r="E484" s="14"/>
      <c r="F484" s="36"/>
      <c r="G484" s="37"/>
      <c r="H484" s="14"/>
      <c r="I484" s="38"/>
      <c r="J484" s="38"/>
      <c r="K484" s="33"/>
      <c r="L484" s="33"/>
      <c r="M484" s="34" t="str">
        <f aca="false">IF(F484="","",N(I484)/(1-IF(K484="",'Job Info'!$B$39,K484))*(1+IF('Job Info'!$B$38="Yes",'Job Info'!$B$37,0)))</f>
        <v/>
      </c>
      <c r="N484" s="34" t="str">
        <f aca="false">IF(F484="","",N(J484)/(1-IF(L484="",'Job Info'!$B$40,L484)))</f>
        <v/>
      </c>
      <c r="O484" s="34" t="str">
        <f aca="false">IF(F484="","",M484+N484)</f>
        <v/>
      </c>
      <c r="P484" s="34" t="str">
        <f aca="false">IF(F484="","",N(G484)*M484)</f>
        <v/>
      </c>
      <c r="Q484" s="34" t="str">
        <f aca="false">IF(F484="","",N(G484)*N484)</f>
        <v/>
      </c>
      <c r="R484" s="35" t="str">
        <f aca="false">IF(F484="","",P484+Q484)</f>
        <v/>
      </c>
      <c r="S484" s="36"/>
      <c r="T484" s="36"/>
      <c r="U484" s="34" t="str">
        <f aca="false">IF(F484="","",N(G484)*N(I484))</f>
        <v/>
      </c>
      <c r="V484" s="34" t="str">
        <f aca="false">IF(F484="","",N(G484)*N(J484))</f>
        <v/>
      </c>
      <c r="W484" s="13" t="str">
        <f aca="false">IF(F484="","",IF(B484="Excluded","",COUNTIFS($F$6:F484,"?*",$B$6:B484,"&lt;&gt;Excluded")))</f>
        <v/>
      </c>
      <c r="X484" s="34" t="str">
        <f aca="false">IF(F484="","",N(G484)*N(I484)/(1-IF(K484="",'Job Info'!$B$39,K484))*IF('Job Info'!$B$38="Yes",'Job Info'!$B$37,0))</f>
        <v/>
      </c>
    </row>
    <row r="485" customFormat="false" ht="15" hidden="false" customHeight="false" outlineLevel="0" collapsed="false">
      <c r="A485" s="13" t="str">
        <f aca="false">IF(F485="","",ROW()-5)</f>
        <v/>
      </c>
      <c r="B485" s="14"/>
      <c r="C485" s="14"/>
      <c r="D485" s="14"/>
      <c r="E485" s="14"/>
      <c r="F485" s="36"/>
      <c r="G485" s="37"/>
      <c r="H485" s="14"/>
      <c r="I485" s="38"/>
      <c r="J485" s="38"/>
      <c r="K485" s="33"/>
      <c r="L485" s="33"/>
      <c r="M485" s="34" t="str">
        <f aca="false">IF(F485="","",N(I485)/(1-IF(K485="",'Job Info'!$B$39,K485))*(1+IF('Job Info'!$B$38="Yes",'Job Info'!$B$37,0)))</f>
        <v/>
      </c>
      <c r="N485" s="34" t="str">
        <f aca="false">IF(F485="","",N(J485)/(1-IF(L485="",'Job Info'!$B$40,L485)))</f>
        <v/>
      </c>
      <c r="O485" s="34" t="str">
        <f aca="false">IF(F485="","",M485+N485)</f>
        <v/>
      </c>
      <c r="P485" s="34" t="str">
        <f aca="false">IF(F485="","",N(G485)*M485)</f>
        <v/>
      </c>
      <c r="Q485" s="34" t="str">
        <f aca="false">IF(F485="","",N(G485)*N485)</f>
        <v/>
      </c>
      <c r="R485" s="35" t="str">
        <f aca="false">IF(F485="","",P485+Q485)</f>
        <v/>
      </c>
      <c r="S485" s="36"/>
      <c r="T485" s="36"/>
      <c r="U485" s="34" t="str">
        <f aca="false">IF(F485="","",N(G485)*N(I485))</f>
        <v/>
      </c>
      <c r="V485" s="34" t="str">
        <f aca="false">IF(F485="","",N(G485)*N(J485))</f>
        <v/>
      </c>
      <c r="W485" s="13" t="str">
        <f aca="false">IF(F485="","",IF(B485="Excluded","",COUNTIFS($F$6:F485,"?*",$B$6:B485,"&lt;&gt;Excluded")))</f>
        <v/>
      </c>
      <c r="X485" s="34" t="str">
        <f aca="false">IF(F485="","",N(G485)*N(I485)/(1-IF(K485="",'Job Info'!$B$39,K485))*IF('Job Info'!$B$38="Yes",'Job Info'!$B$37,0))</f>
        <v/>
      </c>
    </row>
    <row r="486" customFormat="false" ht="15" hidden="false" customHeight="false" outlineLevel="0" collapsed="false">
      <c r="A486" s="13" t="str">
        <f aca="false">IF(F486="","",ROW()-5)</f>
        <v/>
      </c>
      <c r="B486" s="14"/>
      <c r="C486" s="14"/>
      <c r="D486" s="14"/>
      <c r="E486" s="14"/>
      <c r="F486" s="36"/>
      <c r="G486" s="37"/>
      <c r="H486" s="14"/>
      <c r="I486" s="38"/>
      <c r="J486" s="38"/>
      <c r="K486" s="33"/>
      <c r="L486" s="33"/>
      <c r="M486" s="34" t="str">
        <f aca="false">IF(F486="","",N(I486)/(1-IF(K486="",'Job Info'!$B$39,K486))*(1+IF('Job Info'!$B$38="Yes",'Job Info'!$B$37,0)))</f>
        <v/>
      </c>
      <c r="N486" s="34" t="str">
        <f aca="false">IF(F486="","",N(J486)/(1-IF(L486="",'Job Info'!$B$40,L486)))</f>
        <v/>
      </c>
      <c r="O486" s="34" t="str">
        <f aca="false">IF(F486="","",M486+N486)</f>
        <v/>
      </c>
      <c r="P486" s="34" t="str">
        <f aca="false">IF(F486="","",N(G486)*M486)</f>
        <v/>
      </c>
      <c r="Q486" s="34" t="str">
        <f aca="false">IF(F486="","",N(G486)*N486)</f>
        <v/>
      </c>
      <c r="R486" s="35" t="str">
        <f aca="false">IF(F486="","",P486+Q486)</f>
        <v/>
      </c>
      <c r="S486" s="36"/>
      <c r="T486" s="36"/>
      <c r="U486" s="34" t="str">
        <f aca="false">IF(F486="","",N(G486)*N(I486))</f>
        <v/>
      </c>
      <c r="V486" s="34" t="str">
        <f aca="false">IF(F486="","",N(G486)*N(J486))</f>
        <v/>
      </c>
      <c r="W486" s="13" t="str">
        <f aca="false">IF(F486="","",IF(B486="Excluded","",COUNTIFS($F$6:F486,"?*",$B$6:B486,"&lt;&gt;Excluded")))</f>
        <v/>
      </c>
      <c r="X486" s="34" t="str">
        <f aca="false">IF(F486="","",N(G486)*N(I486)/(1-IF(K486="",'Job Info'!$B$39,K486))*IF('Job Info'!$B$38="Yes",'Job Info'!$B$37,0))</f>
        <v/>
      </c>
    </row>
    <row r="487" customFormat="false" ht="15" hidden="false" customHeight="false" outlineLevel="0" collapsed="false">
      <c r="A487" s="13" t="str">
        <f aca="false">IF(F487="","",ROW()-5)</f>
        <v/>
      </c>
      <c r="B487" s="14"/>
      <c r="C487" s="14"/>
      <c r="D487" s="14"/>
      <c r="E487" s="14"/>
      <c r="F487" s="36"/>
      <c r="G487" s="37"/>
      <c r="H487" s="14"/>
      <c r="I487" s="38"/>
      <c r="J487" s="38"/>
      <c r="K487" s="33"/>
      <c r="L487" s="33"/>
      <c r="M487" s="34" t="str">
        <f aca="false">IF(F487="","",N(I487)/(1-IF(K487="",'Job Info'!$B$39,K487))*(1+IF('Job Info'!$B$38="Yes",'Job Info'!$B$37,0)))</f>
        <v/>
      </c>
      <c r="N487" s="34" t="str">
        <f aca="false">IF(F487="","",N(J487)/(1-IF(L487="",'Job Info'!$B$40,L487)))</f>
        <v/>
      </c>
      <c r="O487" s="34" t="str">
        <f aca="false">IF(F487="","",M487+N487)</f>
        <v/>
      </c>
      <c r="P487" s="34" t="str">
        <f aca="false">IF(F487="","",N(G487)*M487)</f>
        <v/>
      </c>
      <c r="Q487" s="34" t="str">
        <f aca="false">IF(F487="","",N(G487)*N487)</f>
        <v/>
      </c>
      <c r="R487" s="35" t="str">
        <f aca="false">IF(F487="","",P487+Q487)</f>
        <v/>
      </c>
      <c r="S487" s="36"/>
      <c r="T487" s="36"/>
      <c r="U487" s="34" t="str">
        <f aca="false">IF(F487="","",N(G487)*N(I487))</f>
        <v/>
      </c>
      <c r="V487" s="34" t="str">
        <f aca="false">IF(F487="","",N(G487)*N(J487))</f>
        <v/>
      </c>
      <c r="W487" s="13" t="str">
        <f aca="false">IF(F487="","",IF(B487="Excluded","",COUNTIFS($F$6:F487,"?*",$B$6:B487,"&lt;&gt;Excluded")))</f>
        <v/>
      </c>
      <c r="X487" s="34" t="str">
        <f aca="false">IF(F487="","",N(G487)*N(I487)/(1-IF(K487="",'Job Info'!$B$39,K487))*IF('Job Info'!$B$38="Yes",'Job Info'!$B$37,0))</f>
        <v/>
      </c>
    </row>
    <row r="488" customFormat="false" ht="15" hidden="false" customHeight="false" outlineLevel="0" collapsed="false">
      <c r="A488" s="13" t="str">
        <f aca="false">IF(F488="","",ROW()-5)</f>
        <v/>
      </c>
      <c r="B488" s="14"/>
      <c r="C488" s="14"/>
      <c r="D488" s="14"/>
      <c r="E488" s="14"/>
      <c r="F488" s="36"/>
      <c r="G488" s="37"/>
      <c r="H488" s="14"/>
      <c r="I488" s="38"/>
      <c r="J488" s="38"/>
      <c r="K488" s="33"/>
      <c r="L488" s="33"/>
      <c r="M488" s="34" t="str">
        <f aca="false">IF(F488="","",N(I488)/(1-IF(K488="",'Job Info'!$B$39,K488))*(1+IF('Job Info'!$B$38="Yes",'Job Info'!$B$37,0)))</f>
        <v/>
      </c>
      <c r="N488" s="34" t="str">
        <f aca="false">IF(F488="","",N(J488)/(1-IF(L488="",'Job Info'!$B$40,L488)))</f>
        <v/>
      </c>
      <c r="O488" s="34" t="str">
        <f aca="false">IF(F488="","",M488+N488)</f>
        <v/>
      </c>
      <c r="P488" s="34" t="str">
        <f aca="false">IF(F488="","",N(G488)*M488)</f>
        <v/>
      </c>
      <c r="Q488" s="34" t="str">
        <f aca="false">IF(F488="","",N(G488)*N488)</f>
        <v/>
      </c>
      <c r="R488" s="35" t="str">
        <f aca="false">IF(F488="","",P488+Q488)</f>
        <v/>
      </c>
      <c r="S488" s="36"/>
      <c r="T488" s="36"/>
      <c r="U488" s="34" t="str">
        <f aca="false">IF(F488="","",N(G488)*N(I488))</f>
        <v/>
      </c>
      <c r="V488" s="34" t="str">
        <f aca="false">IF(F488="","",N(G488)*N(J488))</f>
        <v/>
      </c>
      <c r="W488" s="13" t="str">
        <f aca="false">IF(F488="","",IF(B488="Excluded","",COUNTIFS($F$6:F488,"?*",$B$6:B488,"&lt;&gt;Excluded")))</f>
        <v/>
      </c>
      <c r="X488" s="34" t="str">
        <f aca="false">IF(F488="","",N(G488)*N(I488)/(1-IF(K488="",'Job Info'!$B$39,K488))*IF('Job Info'!$B$38="Yes",'Job Info'!$B$37,0))</f>
        <v/>
      </c>
    </row>
    <row r="489" customFormat="false" ht="15" hidden="false" customHeight="false" outlineLevel="0" collapsed="false">
      <c r="A489" s="13" t="str">
        <f aca="false">IF(F489="","",ROW()-5)</f>
        <v/>
      </c>
      <c r="B489" s="14"/>
      <c r="C489" s="14"/>
      <c r="D489" s="14"/>
      <c r="E489" s="14"/>
      <c r="F489" s="36"/>
      <c r="G489" s="37"/>
      <c r="H489" s="14"/>
      <c r="I489" s="38"/>
      <c r="J489" s="38"/>
      <c r="K489" s="33"/>
      <c r="L489" s="33"/>
      <c r="M489" s="34" t="str">
        <f aca="false">IF(F489="","",N(I489)/(1-IF(K489="",'Job Info'!$B$39,K489))*(1+IF('Job Info'!$B$38="Yes",'Job Info'!$B$37,0)))</f>
        <v/>
      </c>
      <c r="N489" s="34" t="str">
        <f aca="false">IF(F489="","",N(J489)/(1-IF(L489="",'Job Info'!$B$40,L489)))</f>
        <v/>
      </c>
      <c r="O489" s="34" t="str">
        <f aca="false">IF(F489="","",M489+N489)</f>
        <v/>
      </c>
      <c r="P489" s="34" t="str">
        <f aca="false">IF(F489="","",N(G489)*M489)</f>
        <v/>
      </c>
      <c r="Q489" s="34" t="str">
        <f aca="false">IF(F489="","",N(G489)*N489)</f>
        <v/>
      </c>
      <c r="R489" s="35" t="str">
        <f aca="false">IF(F489="","",P489+Q489)</f>
        <v/>
      </c>
      <c r="S489" s="36"/>
      <c r="T489" s="36"/>
      <c r="U489" s="34" t="str">
        <f aca="false">IF(F489="","",N(G489)*N(I489))</f>
        <v/>
      </c>
      <c r="V489" s="34" t="str">
        <f aca="false">IF(F489="","",N(G489)*N(J489))</f>
        <v/>
      </c>
      <c r="W489" s="13" t="str">
        <f aca="false">IF(F489="","",IF(B489="Excluded","",COUNTIFS($F$6:F489,"?*",$B$6:B489,"&lt;&gt;Excluded")))</f>
        <v/>
      </c>
      <c r="X489" s="34" t="str">
        <f aca="false">IF(F489="","",N(G489)*N(I489)/(1-IF(K489="",'Job Info'!$B$39,K489))*IF('Job Info'!$B$38="Yes",'Job Info'!$B$37,0))</f>
        <v/>
      </c>
    </row>
    <row r="490" customFormat="false" ht="15" hidden="false" customHeight="false" outlineLevel="0" collapsed="false">
      <c r="A490" s="13" t="str">
        <f aca="false">IF(F490="","",ROW()-5)</f>
        <v/>
      </c>
      <c r="B490" s="14"/>
      <c r="C490" s="14"/>
      <c r="D490" s="14"/>
      <c r="E490" s="14"/>
      <c r="F490" s="36"/>
      <c r="G490" s="37"/>
      <c r="H490" s="14"/>
      <c r="I490" s="38"/>
      <c r="J490" s="38"/>
      <c r="K490" s="33"/>
      <c r="L490" s="33"/>
      <c r="M490" s="34" t="str">
        <f aca="false">IF(F490="","",N(I490)/(1-IF(K490="",'Job Info'!$B$39,K490))*(1+IF('Job Info'!$B$38="Yes",'Job Info'!$B$37,0)))</f>
        <v/>
      </c>
      <c r="N490" s="34" t="str">
        <f aca="false">IF(F490="","",N(J490)/(1-IF(L490="",'Job Info'!$B$40,L490)))</f>
        <v/>
      </c>
      <c r="O490" s="34" t="str">
        <f aca="false">IF(F490="","",M490+N490)</f>
        <v/>
      </c>
      <c r="P490" s="34" t="str">
        <f aca="false">IF(F490="","",N(G490)*M490)</f>
        <v/>
      </c>
      <c r="Q490" s="34" t="str">
        <f aca="false">IF(F490="","",N(G490)*N490)</f>
        <v/>
      </c>
      <c r="R490" s="35" t="str">
        <f aca="false">IF(F490="","",P490+Q490)</f>
        <v/>
      </c>
      <c r="S490" s="36"/>
      <c r="T490" s="36"/>
      <c r="U490" s="34" t="str">
        <f aca="false">IF(F490="","",N(G490)*N(I490))</f>
        <v/>
      </c>
      <c r="V490" s="34" t="str">
        <f aca="false">IF(F490="","",N(G490)*N(J490))</f>
        <v/>
      </c>
      <c r="W490" s="13" t="str">
        <f aca="false">IF(F490="","",IF(B490="Excluded","",COUNTIFS($F$6:F490,"?*",$B$6:B490,"&lt;&gt;Excluded")))</f>
        <v/>
      </c>
      <c r="X490" s="34" t="str">
        <f aca="false">IF(F490="","",N(G490)*N(I490)/(1-IF(K490="",'Job Info'!$B$39,K490))*IF('Job Info'!$B$38="Yes",'Job Info'!$B$37,0))</f>
        <v/>
      </c>
    </row>
    <row r="491" customFormat="false" ht="15" hidden="false" customHeight="false" outlineLevel="0" collapsed="false">
      <c r="A491" s="13" t="str">
        <f aca="false">IF(F491="","",ROW()-5)</f>
        <v/>
      </c>
      <c r="B491" s="14"/>
      <c r="C491" s="14"/>
      <c r="D491" s="14"/>
      <c r="E491" s="14"/>
      <c r="F491" s="36"/>
      <c r="G491" s="37"/>
      <c r="H491" s="14"/>
      <c r="I491" s="38"/>
      <c r="J491" s="38"/>
      <c r="K491" s="33"/>
      <c r="L491" s="33"/>
      <c r="M491" s="34" t="str">
        <f aca="false">IF(F491="","",N(I491)/(1-IF(K491="",'Job Info'!$B$39,K491))*(1+IF('Job Info'!$B$38="Yes",'Job Info'!$B$37,0)))</f>
        <v/>
      </c>
      <c r="N491" s="34" t="str">
        <f aca="false">IF(F491="","",N(J491)/(1-IF(L491="",'Job Info'!$B$40,L491)))</f>
        <v/>
      </c>
      <c r="O491" s="34" t="str">
        <f aca="false">IF(F491="","",M491+N491)</f>
        <v/>
      </c>
      <c r="P491" s="34" t="str">
        <f aca="false">IF(F491="","",N(G491)*M491)</f>
        <v/>
      </c>
      <c r="Q491" s="34" t="str">
        <f aca="false">IF(F491="","",N(G491)*N491)</f>
        <v/>
      </c>
      <c r="R491" s="35" t="str">
        <f aca="false">IF(F491="","",P491+Q491)</f>
        <v/>
      </c>
      <c r="S491" s="36"/>
      <c r="T491" s="36"/>
      <c r="U491" s="34" t="str">
        <f aca="false">IF(F491="","",N(G491)*N(I491))</f>
        <v/>
      </c>
      <c r="V491" s="34" t="str">
        <f aca="false">IF(F491="","",N(G491)*N(J491))</f>
        <v/>
      </c>
      <c r="W491" s="13" t="str">
        <f aca="false">IF(F491="","",IF(B491="Excluded","",COUNTIFS($F$6:F491,"?*",$B$6:B491,"&lt;&gt;Excluded")))</f>
        <v/>
      </c>
      <c r="X491" s="34" t="str">
        <f aca="false">IF(F491="","",N(G491)*N(I491)/(1-IF(K491="",'Job Info'!$B$39,K491))*IF('Job Info'!$B$38="Yes",'Job Info'!$B$37,0))</f>
        <v/>
      </c>
    </row>
    <row r="492" customFormat="false" ht="15" hidden="false" customHeight="false" outlineLevel="0" collapsed="false">
      <c r="A492" s="13" t="str">
        <f aca="false">IF(F492="","",ROW()-5)</f>
        <v/>
      </c>
      <c r="B492" s="14"/>
      <c r="C492" s="14"/>
      <c r="D492" s="14"/>
      <c r="E492" s="14"/>
      <c r="F492" s="36"/>
      <c r="G492" s="37"/>
      <c r="H492" s="14"/>
      <c r="I492" s="38"/>
      <c r="J492" s="38"/>
      <c r="K492" s="33"/>
      <c r="L492" s="33"/>
      <c r="M492" s="34" t="str">
        <f aca="false">IF(F492="","",N(I492)/(1-IF(K492="",'Job Info'!$B$39,K492))*(1+IF('Job Info'!$B$38="Yes",'Job Info'!$B$37,0)))</f>
        <v/>
      </c>
      <c r="N492" s="34" t="str">
        <f aca="false">IF(F492="","",N(J492)/(1-IF(L492="",'Job Info'!$B$40,L492)))</f>
        <v/>
      </c>
      <c r="O492" s="34" t="str">
        <f aca="false">IF(F492="","",M492+N492)</f>
        <v/>
      </c>
      <c r="P492" s="34" t="str">
        <f aca="false">IF(F492="","",N(G492)*M492)</f>
        <v/>
      </c>
      <c r="Q492" s="34" t="str">
        <f aca="false">IF(F492="","",N(G492)*N492)</f>
        <v/>
      </c>
      <c r="R492" s="35" t="str">
        <f aca="false">IF(F492="","",P492+Q492)</f>
        <v/>
      </c>
      <c r="S492" s="36"/>
      <c r="T492" s="36"/>
      <c r="U492" s="34" t="str">
        <f aca="false">IF(F492="","",N(G492)*N(I492))</f>
        <v/>
      </c>
      <c r="V492" s="34" t="str">
        <f aca="false">IF(F492="","",N(G492)*N(J492))</f>
        <v/>
      </c>
      <c r="W492" s="13" t="str">
        <f aca="false">IF(F492="","",IF(B492="Excluded","",COUNTIFS($F$6:F492,"?*",$B$6:B492,"&lt;&gt;Excluded")))</f>
        <v/>
      </c>
      <c r="X492" s="34" t="str">
        <f aca="false">IF(F492="","",N(G492)*N(I492)/(1-IF(K492="",'Job Info'!$B$39,K492))*IF('Job Info'!$B$38="Yes",'Job Info'!$B$37,0))</f>
        <v/>
      </c>
    </row>
    <row r="493" customFormat="false" ht="15" hidden="false" customHeight="false" outlineLevel="0" collapsed="false">
      <c r="A493" s="13" t="str">
        <f aca="false">IF(F493="","",ROW()-5)</f>
        <v/>
      </c>
      <c r="B493" s="14"/>
      <c r="C493" s="14"/>
      <c r="D493" s="14"/>
      <c r="E493" s="14"/>
      <c r="F493" s="36"/>
      <c r="G493" s="37"/>
      <c r="H493" s="14"/>
      <c r="I493" s="38"/>
      <c r="J493" s="38"/>
      <c r="K493" s="33"/>
      <c r="L493" s="33"/>
      <c r="M493" s="34" t="str">
        <f aca="false">IF(F493="","",N(I493)/(1-IF(K493="",'Job Info'!$B$39,K493))*(1+IF('Job Info'!$B$38="Yes",'Job Info'!$B$37,0)))</f>
        <v/>
      </c>
      <c r="N493" s="34" t="str">
        <f aca="false">IF(F493="","",N(J493)/(1-IF(L493="",'Job Info'!$B$40,L493)))</f>
        <v/>
      </c>
      <c r="O493" s="34" t="str">
        <f aca="false">IF(F493="","",M493+N493)</f>
        <v/>
      </c>
      <c r="P493" s="34" t="str">
        <f aca="false">IF(F493="","",N(G493)*M493)</f>
        <v/>
      </c>
      <c r="Q493" s="34" t="str">
        <f aca="false">IF(F493="","",N(G493)*N493)</f>
        <v/>
      </c>
      <c r="R493" s="35" t="str">
        <f aca="false">IF(F493="","",P493+Q493)</f>
        <v/>
      </c>
      <c r="S493" s="36"/>
      <c r="T493" s="36"/>
      <c r="U493" s="34" t="str">
        <f aca="false">IF(F493="","",N(G493)*N(I493))</f>
        <v/>
      </c>
      <c r="V493" s="34" t="str">
        <f aca="false">IF(F493="","",N(G493)*N(J493))</f>
        <v/>
      </c>
      <c r="W493" s="13" t="str">
        <f aca="false">IF(F493="","",IF(B493="Excluded","",COUNTIFS($F$6:F493,"?*",$B$6:B493,"&lt;&gt;Excluded")))</f>
        <v/>
      </c>
      <c r="X493" s="34" t="str">
        <f aca="false">IF(F493="","",N(G493)*N(I493)/(1-IF(K493="",'Job Info'!$B$39,K493))*IF('Job Info'!$B$38="Yes",'Job Info'!$B$37,0))</f>
        <v/>
      </c>
    </row>
    <row r="494" customFormat="false" ht="15" hidden="false" customHeight="false" outlineLevel="0" collapsed="false">
      <c r="A494" s="13" t="str">
        <f aca="false">IF(F494="","",ROW()-5)</f>
        <v/>
      </c>
      <c r="B494" s="14"/>
      <c r="C494" s="14"/>
      <c r="D494" s="14"/>
      <c r="E494" s="14"/>
      <c r="F494" s="36"/>
      <c r="G494" s="37"/>
      <c r="H494" s="14"/>
      <c r="I494" s="38"/>
      <c r="J494" s="38"/>
      <c r="K494" s="33"/>
      <c r="L494" s="33"/>
      <c r="M494" s="34" t="str">
        <f aca="false">IF(F494="","",N(I494)/(1-IF(K494="",'Job Info'!$B$39,K494))*(1+IF('Job Info'!$B$38="Yes",'Job Info'!$B$37,0)))</f>
        <v/>
      </c>
      <c r="N494" s="34" t="str">
        <f aca="false">IF(F494="","",N(J494)/(1-IF(L494="",'Job Info'!$B$40,L494)))</f>
        <v/>
      </c>
      <c r="O494" s="34" t="str">
        <f aca="false">IF(F494="","",M494+N494)</f>
        <v/>
      </c>
      <c r="P494" s="34" t="str">
        <f aca="false">IF(F494="","",N(G494)*M494)</f>
        <v/>
      </c>
      <c r="Q494" s="34" t="str">
        <f aca="false">IF(F494="","",N(G494)*N494)</f>
        <v/>
      </c>
      <c r="R494" s="35" t="str">
        <f aca="false">IF(F494="","",P494+Q494)</f>
        <v/>
      </c>
      <c r="S494" s="36"/>
      <c r="T494" s="36"/>
      <c r="U494" s="34" t="str">
        <f aca="false">IF(F494="","",N(G494)*N(I494))</f>
        <v/>
      </c>
      <c r="V494" s="34" t="str">
        <f aca="false">IF(F494="","",N(G494)*N(J494))</f>
        <v/>
      </c>
      <c r="W494" s="13" t="str">
        <f aca="false">IF(F494="","",IF(B494="Excluded","",COUNTIFS($F$6:F494,"?*",$B$6:B494,"&lt;&gt;Excluded")))</f>
        <v/>
      </c>
      <c r="X494" s="34" t="str">
        <f aca="false">IF(F494="","",N(G494)*N(I494)/(1-IF(K494="",'Job Info'!$B$39,K494))*IF('Job Info'!$B$38="Yes",'Job Info'!$B$37,0))</f>
        <v/>
      </c>
    </row>
    <row r="495" customFormat="false" ht="15" hidden="false" customHeight="false" outlineLevel="0" collapsed="false">
      <c r="A495" s="13" t="str">
        <f aca="false">IF(F495="","",ROW()-5)</f>
        <v/>
      </c>
      <c r="B495" s="14"/>
      <c r="C495" s="14"/>
      <c r="D495" s="14"/>
      <c r="E495" s="14"/>
      <c r="F495" s="36"/>
      <c r="G495" s="37"/>
      <c r="H495" s="14"/>
      <c r="I495" s="38"/>
      <c r="J495" s="38"/>
      <c r="K495" s="33"/>
      <c r="L495" s="33"/>
      <c r="M495" s="34" t="str">
        <f aca="false">IF(F495="","",N(I495)/(1-IF(K495="",'Job Info'!$B$39,K495))*(1+IF('Job Info'!$B$38="Yes",'Job Info'!$B$37,0)))</f>
        <v/>
      </c>
      <c r="N495" s="34" t="str">
        <f aca="false">IF(F495="","",N(J495)/(1-IF(L495="",'Job Info'!$B$40,L495)))</f>
        <v/>
      </c>
      <c r="O495" s="34" t="str">
        <f aca="false">IF(F495="","",M495+N495)</f>
        <v/>
      </c>
      <c r="P495" s="34" t="str">
        <f aca="false">IF(F495="","",N(G495)*M495)</f>
        <v/>
      </c>
      <c r="Q495" s="34" t="str">
        <f aca="false">IF(F495="","",N(G495)*N495)</f>
        <v/>
      </c>
      <c r="R495" s="35" t="str">
        <f aca="false">IF(F495="","",P495+Q495)</f>
        <v/>
      </c>
      <c r="S495" s="36"/>
      <c r="T495" s="36"/>
      <c r="U495" s="34" t="str">
        <f aca="false">IF(F495="","",N(G495)*N(I495))</f>
        <v/>
      </c>
      <c r="V495" s="34" t="str">
        <f aca="false">IF(F495="","",N(G495)*N(J495))</f>
        <v/>
      </c>
      <c r="W495" s="13" t="str">
        <f aca="false">IF(F495="","",IF(B495="Excluded","",COUNTIFS($F$6:F495,"?*",$B$6:B495,"&lt;&gt;Excluded")))</f>
        <v/>
      </c>
      <c r="X495" s="34" t="str">
        <f aca="false">IF(F495="","",N(G495)*N(I495)/(1-IF(K495="",'Job Info'!$B$39,K495))*IF('Job Info'!$B$38="Yes",'Job Info'!$B$37,0))</f>
        <v/>
      </c>
    </row>
    <row r="496" customFormat="false" ht="15" hidden="false" customHeight="false" outlineLevel="0" collapsed="false">
      <c r="A496" s="13" t="str">
        <f aca="false">IF(F496="","",ROW()-5)</f>
        <v/>
      </c>
      <c r="B496" s="14"/>
      <c r="C496" s="14"/>
      <c r="D496" s="14"/>
      <c r="E496" s="14"/>
      <c r="F496" s="36"/>
      <c r="G496" s="37"/>
      <c r="H496" s="14"/>
      <c r="I496" s="38"/>
      <c r="J496" s="38"/>
      <c r="K496" s="33"/>
      <c r="L496" s="33"/>
      <c r="M496" s="34" t="str">
        <f aca="false">IF(F496="","",N(I496)/(1-IF(K496="",'Job Info'!$B$39,K496))*(1+IF('Job Info'!$B$38="Yes",'Job Info'!$B$37,0)))</f>
        <v/>
      </c>
      <c r="N496" s="34" t="str">
        <f aca="false">IF(F496="","",N(J496)/(1-IF(L496="",'Job Info'!$B$40,L496)))</f>
        <v/>
      </c>
      <c r="O496" s="34" t="str">
        <f aca="false">IF(F496="","",M496+N496)</f>
        <v/>
      </c>
      <c r="P496" s="34" t="str">
        <f aca="false">IF(F496="","",N(G496)*M496)</f>
        <v/>
      </c>
      <c r="Q496" s="34" t="str">
        <f aca="false">IF(F496="","",N(G496)*N496)</f>
        <v/>
      </c>
      <c r="R496" s="35" t="str">
        <f aca="false">IF(F496="","",P496+Q496)</f>
        <v/>
      </c>
      <c r="S496" s="36"/>
      <c r="T496" s="36"/>
      <c r="U496" s="34" t="str">
        <f aca="false">IF(F496="","",N(G496)*N(I496))</f>
        <v/>
      </c>
      <c r="V496" s="34" t="str">
        <f aca="false">IF(F496="","",N(G496)*N(J496))</f>
        <v/>
      </c>
      <c r="W496" s="13" t="str">
        <f aca="false">IF(F496="","",IF(B496="Excluded","",COUNTIFS($F$6:F496,"?*",$B$6:B496,"&lt;&gt;Excluded")))</f>
        <v/>
      </c>
      <c r="X496" s="34" t="str">
        <f aca="false">IF(F496="","",N(G496)*N(I496)/(1-IF(K496="",'Job Info'!$B$39,K496))*IF('Job Info'!$B$38="Yes",'Job Info'!$B$37,0))</f>
        <v/>
      </c>
    </row>
    <row r="497" customFormat="false" ht="15" hidden="false" customHeight="false" outlineLevel="0" collapsed="false">
      <c r="A497" s="13" t="str">
        <f aca="false">IF(F497="","",ROW()-5)</f>
        <v/>
      </c>
      <c r="B497" s="14"/>
      <c r="C497" s="14"/>
      <c r="D497" s="14"/>
      <c r="E497" s="14"/>
      <c r="F497" s="36"/>
      <c r="G497" s="37"/>
      <c r="H497" s="14"/>
      <c r="I497" s="38"/>
      <c r="J497" s="38"/>
      <c r="K497" s="33"/>
      <c r="L497" s="33"/>
      <c r="M497" s="34" t="str">
        <f aca="false">IF(F497="","",N(I497)/(1-IF(K497="",'Job Info'!$B$39,K497))*(1+IF('Job Info'!$B$38="Yes",'Job Info'!$B$37,0)))</f>
        <v/>
      </c>
      <c r="N497" s="34" t="str">
        <f aca="false">IF(F497="","",N(J497)/(1-IF(L497="",'Job Info'!$B$40,L497)))</f>
        <v/>
      </c>
      <c r="O497" s="34" t="str">
        <f aca="false">IF(F497="","",M497+N497)</f>
        <v/>
      </c>
      <c r="P497" s="34" t="str">
        <f aca="false">IF(F497="","",N(G497)*M497)</f>
        <v/>
      </c>
      <c r="Q497" s="34" t="str">
        <f aca="false">IF(F497="","",N(G497)*N497)</f>
        <v/>
      </c>
      <c r="R497" s="35" t="str">
        <f aca="false">IF(F497="","",P497+Q497)</f>
        <v/>
      </c>
      <c r="S497" s="36"/>
      <c r="T497" s="36"/>
      <c r="U497" s="34" t="str">
        <f aca="false">IF(F497="","",N(G497)*N(I497))</f>
        <v/>
      </c>
      <c r="V497" s="34" t="str">
        <f aca="false">IF(F497="","",N(G497)*N(J497))</f>
        <v/>
      </c>
      <c r="W497" s="13" t="str">
        <f aca="false">IF(F497="","",IF(B497="Excluded","",COUNTIFS($F$6:F497,"?*",$B$6:B497,"&lt;&gt;Excluded")))</f>
        <v/>
      </c>
      <c r="X497" s="34" t="str">
        <f aca="false">IF(F497="","",N(G497)*N(I497)/(1-IF(K497="",'Job Info'!$B$39,K497))*IF('Job Info'!$B$38="Yes",'Job Info'!$B$37,0))</f>
        <v/>
      </c>
    </row>
    <row r="498" customFormat="false" ht="15" hidden="false" customHeight="false" outlineLevel="0" collapsed="false">
      <c r="A498" s="13" t="str">
        <f aca="false">IF(F498="","",ROW()-5)</f>
        <v/>
      </c>
      <c r="B498" s="14"/>
      <c r="C498" s="14"/>
      <c r="D498" s="14"/>
      <c r="E498" s="14"/>
      <c r="F498" s="36"/>
      <c r="G498" s="37"/>
      <c r="H498" s="14"/>
      <c r="I498" s="38"/>
      <c r="J498" s="38"/>
      <c r="K498" s="33"/>
      <c r="L498" s="33"/>
      <c r="M498" s="34" t="str">
        <f aca="false">IF(F498="","",N(I498)/(1-IF(K498="",'Job Info'!$B$39,K498))*(1+IF('Job Info'!$B$38="Yes",'Job Info'!$B$37,0)))</f>
        <v/>
      </c>
      <c r="N498" s="34" t="str">
        <f aca="false">IF(F498="","",N(J498)/(1-IF(L498="",'Job Info'!$B$40,L498)))</f>
        <v/>
      </c>
      <c r="O498" s="34" t="str">
        <f aca="false">IF(F498="","",M498+N498)</f>
        <v/>
      </c>
      <c r="P498" s="34" t="str">
        <f aca="false">IF(F498="","",N(G498)*M498)</f>
        <v/>
      </c>
      <c r="Q498" s="34" t="str">
        <f aca="false">IF(F498="","",N(G498)*N498)</f>
        <v/>
      </c>
      <c r="R498" s="35" t="str">
        <f aca="false">IF(F498="","",P498+Q498)</f>
        <v/>
      </c>
      <c r="S498" s="36"/>
      <c r="T498" s="36"/>
      <c r="U498" s="34" t="str">
        <f aca="false">IF(F498="","",N(G498)*N(I498))</f>
        <v/>
      </c>
      <c r="V498" s="34" t="str">
        <f aca="false">IF(F498="","",N(G498)*N(J498))</f>
        <v/>
      </c>
      <c r="W498" s="13" t="str">
        <f aca="false">IF(F498="","",IF(B498="Excluded","",COUNTIFS($F$6:F498,"?*",$B$6:B498,"&lt;&gt;Excluded")))</f>
        <v/>
      </c>
      <c r="X498" s="34" t="str">
        <f aca="false">IF(F498="","",N(G498)*N(I498)/(1-IF(K498="",'Job Info'!$B$39,K498))*IF('Job Info'!$B$38="Yes",'Job Info'!$B$37,0))</f>
        <v/>
      </c>
    </row>
    <row r="499" customFormat="false" ht="15" hidden="false" customHeight="false" outlineLevel="0" collapsed="false">
      <c r="A499" s="13" t="str">
        <f aca="false">IF(F499="","",ROW()-5)</f>
        <v/>
      </c>
      <c r="B499" s="14"/>
      <c r="C499" s="14"/>
      <c r="D499" s="14"/>
      <c r="E499" s="14"/>
      <c r="F499" s="36"/>
      <c r="G499" s="37"/>
      <c r="H499" s="14"/>
      <c r="I499" s="38"/>
      <c r="J499" s="38"/>
      <c r="K499" s="33"/>
      <c r="L499" s="33"/>
      <c r="M499" s="34" t="str">
        <f aca="false">IF(F499="","",N(I499)/(1-IF(K499="",'Job Info'!$B$39,K499))*(1+IF('Job Info'!$B$38="Yes",'Job Info'!$B$37,0)))</f>
        <v/>
      </c>
      <c r="N499" s="34" t="str">
        <f aca="false">IF(F499="","",N(J499)/(1-IF(L499="",'Job Info'!$B$40,L499)))</f>
        <v/>
      </c>
      <c r="O499" s="34" t="str">
        <f aca="false">IF(F499="","",M499+N499)</f>
        <v/>
      </c>
      <c r="P499" s="34" t="str">
        <f aca="false">IF(F499="","",N(G499)*M499)</f>
        <v/>
      </c>
      <c r="Q499" s="34" t="str">
        <f aca="false">IF(F499="","",N(G499)*N499)</f>
        <v/>
      </c>
      <c r="R499" s="35" t="str">
        <f aca="false">IF(F499="","",P499+Q499)</f>
        <v/>
      </c>
      <c r="S499" s="36"/>
      <c r="T499" s="36"/>
      <c r="U499" s="34" t="str">
        <f aca="false">IF(F499="","",N(G499)*N(I499))</f>
        <v/>
      </c>
      <c r="V499" s="34" t="str">
        <f aca="false">IF(F499="","",N(G499)*N(J499))</f>
        <v/>
      </c>
      <c r="W499" s="13" t="str">
        <f aca="false">IF(F499="","",IF(B499="Excluded","",COUNTIFS($F$6:F499,"?*",$B$6:B499,"&lt;&gt;Excluded")))</f>
        <v/>
      </c>
      <c r="X499" s="34" t="str">
        <f aca="false">IF(F499="","",N(G499)*N(I499)/(1-IF(K499="",'Job Info'!$B$39,K499))*IF('Job Info'!$B$38="Yes",'Job Info'!$B$37,0))</f>
        <v/>
      </c>
    </row>
    <row r="500" customFormat="false" ht="15" hidden="false" customHeight="false" outlineLevel="0" collapsed="false">
      <c r="A500" s="13" t="str">
        <f aca="false">IF(F500="","",ROW()-5)</f>
        <v/>
      </c>
      <c r="B500" s="14"/>
      <c r="C500" s="14"/>
      <c r="D500" s="14"/>
      <c r="E500" s="14"/>
      <c r="F500" s="36"/>
      <c r="G500" s="37"/>
      <c r="H500" s="14"/>
      <c r="I500" s="38"/>
      <c r="J500" s="38"/>
      <c r="K500" s="33"/>
      <c r="L500" s="33"/>
      <c r="M500" s="34" t="str">
        <f aca="false">IF(F500="","",N(I500)/(1-IF(K500="",'Job Info'!$B$39,K500))*(1+IF('Job Info'!$B$38="Yes",'Job Info'!$B$37,0)))</f>
        <v/>
      </c>
      <c r="N500" s="34" t="str">
        <f aca="false">IF(F500="","",N(J500)/(1-IF(L500="",'Job Info'!$B$40,L500)))</f>
        <v/>
      </c>
      <c r="O500" s="34" t="str">
        <f aca="false">IF(F500="","",M500+N500)</f>
        <v/>
      </c>
      <c r="P500" s="34" t="str">
        <f aca="false">IF(F500="","",N(G500)*M500)</f>
        <v/>
      </c>
      <c r="Q500" s="34" t="str">
        <f aca="false">IF(F500="","",N(G500)*N500)</f>
        <v/>
      </c>
      <c r="R500" s="35" t="str">
        <f aca="false">IF(F500="","",P500+Q500)</f>
        <v/>
      </c>
      <c r="S500" s="36"/>
      <c r="T500" s="36"/>
      <c r="U500" s="34" t="str">
        <f aca="false">IF(F500="","",N(G500)*N(I500))</f>
        <v/>
      </c>
      <c r="V500" s="34" t="str">
        <f aca="false">IF(F500="","",N(G500)*N(J500))</f>
        <v/>
      </c>
      <c r="W500" s="13" t="str">
        <f aca="false">IF(F500="","",IF(B500="Excluded","",COUNTIFS($F$6:F500,"?*",$B$6:B500,"&lt;&gt;Excluded")))</f>
        <v/>
      </c>
      <c r="X500" s="34" t="str">
        <f aca="false">IF(F500="","",N(G500)*N(I500)/(1-IF(K500="",'Job Info'!$B$39,K500))*IF('Job Info'!$B$38="Yes",'Job Info'!$B$37,0))</f>
        <v/>
      </c>
    </row>
    <row r="501" customFormat="false" ht="15" hidden="false" customHeight="false" outlineLevel="0" collapsed="false">
      <c r="A501" s="13" t="str">
        <f aca="false">IF(F501="","",ROW()-5)</f>
        <v/>
      </c>
      <c r="B501" s="14"/>
      <c r="C501" s="14"/>
      <c r="D501" s="14"/>
      <c r="E501" s="14"/>
      <c r="F501" s="36"/>
      <c r="G501" s="37"/>
      <c r="H501" s="14"/>
      <c r="I501" s="38"/>
      <c r="J501" s="38"/>
      <c r="K501" s="33"/>
      <c r="L501" s="33"/>
      <c r="M501" s="34" t="str">
        <f aca="false">IF(F501="","",N(I501)/(1-IF(K501="",'Job Info'!$B$39,K501))*(1+IF('Job Info'!$B$38="Yes",'Job Info'!$B$37,0)))</f>
        <v/>
      </c>
      <c r="N501" s="34" t="str">
        <f aca="false">IF(F501="","",N(J501)/(1-IF(L501="",'Job Info'!$B$40,L501)))</f>
        <v/>
      </c>
      <c r="O501" s="34" t="str">
        <f aca="false">IF(F501="","",M501+N501)</f>
        <v/>
      </c>
      <c r="P501" s="34" t="str">
        <f aca="false">IF(F501="","",N(G501)*M501)</f>
        <v/>
      </c>
      <c r="Q501" s="34" t="str">
        <f aca="false">IF(F501="","",N(G501)*N501)</f>
        <v/>
      </c>
      <c r="R501" s="35" t="str">
        <f aca="false">IF(F501="","",P501+Q501)</f>
        <v/>
      </c>
      <c r="S501" s="36"/>
      <c r="T501" s="36"/>
      <c r="U501" s="34" t="str">
        <f aca="false">IF(F501="","",N(G501)*N(I501))</f>
        <v/>
      </c>
      <c r="V501" s="34" t="str">
        <f aca="false">IF(F501="","",N(G501)*N(J501))</f>
        <v/>
      </c>
      <c r="W501" s="13" t="str">
        <f aca="false">IF(F501="","",IF(B501="Excluded","",COUNTIFS($F$6:F501,"?*",$B$6:B501,"&lt;&gt;Excluded")))</f>
        <v/>
      </c>
      <c r="X501" s="34" t="str">
        <f aca="false">IF(F501="","",N(G501)*N(I501)/(1-IF(K501="",'Job Info'!$B$39,K501))*IF('Job Info'!$B$38="Yes",'Job Info'!$B$37,0))</f>
        <v/>
      </c>
    </row>
    <row r="502" customFormat="false" ht="15" hidden="false" customHeight="false" outlineLevel="0" collapsed="false">
      <c r="A502" s="13" t="str">
        <f aca="false">IF(F502="","",ROW()-5)</f>
        <v/>
      </c>
      <c r="B502" s="14"/>
      <c r="C502" s="14"/>
      <c r="D502" s="14"/>
      <c r="E502" s="14"/>
      <c r="F502" s="36"/>
      <c r="G502" s="37"/>
      <c r="H502" s="14"/>
      <c r="I502" s="38"/>
      <c r="J502" s="38"/>
      <c r="K502" s="33"/>
      <c r="L502" s="33"/>
      <c r="M502" s="34" t="str">
        <f aca="false">IF(F502="","",N(I502)/(1-IF(K502="",'Job Info'!$B$39,K502))*(1+IF('Job Info'!$B$38="Yes",'Job Info'!$B$37,0)))</f>
        <v/>
      </c>
      <c r="N502" s="34" t="str">
        <f aca="false">IF(F502="","",N(J502)/(1-IF(L502="",'Job Info'!$B$40,L502)))</f>
        <v/>
      </c>
      <c r="O502" s="34" t="str">
        <f aca="false">IF(F502="","",M502+N502)</f>
        <v/>
      </c>
      <c r="P502" s="34" t="str">
        <f aca="false">IF(F502="","",N(G502)*M502)</f>
        <v/>
      </c>
      <c r="Q502" s="34" t="str">
        <f aca="false">IF(F502="","",N(G502)*N502)</f>
        <v/>
      </c>
      <c r="R502" s="35" t="str">
        <f aca="false">IF(F502="","",P502+Q502)</f>
        <v/>
      </c>
      <c r="S502" s="36"/>
      <c r="T502" s="36"/>
      <c r="U502" s="34" t="str">
        <f aca="false">IF(F502="","",N(G502)*N(I502))</f>
        <v/>
      </c>
      <c r="V502" s="34" t="str">
        <f aca="false">IF(F502="","",N(G502)*N(J502))</f>
        <v/>
      </c>
      <c r="W502" s="13" t="str">
        <f aca="false">IF(F502="","",IF(B502="Excluded","",COUNTIFS($F$6:F502,"?*",$B$6:B502,"&lt;&gt;Excluded")))</f>
        <v/>
      </c>
      <c r="X502" s="34" t="str">
        <f aca="false">IF(F502="","",N(G502)*N(I502)/(1-IF(K502="",'Job Info'!$B$39,K502))*IF('Job Info'!$B$38="Yes",'Job Info'!$B$37,0))</f>
        <v/>
      </c>
    </row>
    <row r="503" customFormat="false" ht="15" hidden="false" customHeight="false" outlineLevel="0" collapsed="false">
      <c r="A503" s="13" t="str">
        <f aca="false">IF(F503="","",ROW()-5)</f>
        <v/>
      </c>
      <c r="B503" s="14"/>
      <c r="C503" s="14"/>
      <c r="D503" s="14"/>
      <c r="E503" s="14"/>
      <c r="F503" s="36"/>
      <c r="G503" s="37"/>
      <c r="H503" s="14"/>
      <c r="I503" s="38"/>
      <c r="J503" s="38"/>
      <c r="K503" s="33"/>
      <c r="L503" s="33"/>
      <c r="M503" s="34" t="str">
        <f aca="false">IF(F503="","",N(I503)/(1-IF(K503="",'Job Info'!$B$39,K503))*(1+IF('Job Info'!$B$38="Yes",'Job Info'!$B$37,0)))</f>
        <v/>
      </c>
      <c r="N503" s="34" t="str">
        <f aca="false">IF(F503="","",N(J503)/(1-IF(L503="",'Job Info'!$B$40,L503)))</f>
        <v/>
      </c>
      <c r="O503" s="34" t="str">
        <f aca="false">IF(F503="","",M503+N503)</f>
        <v/>
      </c>
      <c r="P503" s="34" t="str">
        <f aca="false">IF(F503="","",N(G503)*M503)</f>
        <v/>
      </c>
      <c r="Q503" s="34" t="str">
        <f aca="false">IF(F503="","",N(G503)*N503)</f>
        <v/>
      </c>
      <c r="R503" s="35" t="str">
        <f aca="false">IF(F503="","",P503+Q503)</f>
        <v/>
      </c>
      <c r="S503" s="36"/>
      <c r="T503" s="36"/>
      <c r="U503" s="34" t="str">
        <f aca="false">IF(F503="","",N(G503)*N(I503))</f>
        <v/>
      </c>
      <c r="V503" s="34" t="str">
        <f aca="false">IF(F503="","",N(G503)*N(J503))</f>
        <v/>
      </c>
      <c r="W503" s="13" t="str">
        <f aca="false">IF(F503="","",IF(B503="Excluded","",COUNTIFS($F$6:F503,"?*",$B$6:B503,"&lt;&gt;Excluded")))</f>
        <v/>
      </c>
      <c r="X503" s="34" t="str">
        <f aca="false">IF(F503="","",N(G503)*N(I503)/(1-IF(K503="",'Job Info'!$B$39,K503))*IF('Job Info'!$B$38="Yes",'Job Info'!$B$37,0))</f>
        <v/>
      </c>
    </row>
    <row r="504" customFormat="false" ht="15" hidden="false" customHeight="false" outlineLevel="0" collapsed="false">
      <c r="A504" s="13" t="str">
        <f aca="false">IF(F504="","",ROW()-5)</f>
        <v/>
      </c>
      <c r="B504" s="14"/>
      <c r="C504" s="14"/>
      <c r="D504" s="14"/>
      <c r="E504" s="14"/>
      <c r="F504" s="36"/>
      <c r="G504" s="37"/>
      <c r="H504" s="14"/>
      <c r="I504" s="38"/>
      <c r="J504" s="38"/>
      <c r="K504" s="33"/>
      <c r="L504" s="33"/>
      <c r="M504" s="34" t="str">
        <f aca="false">IF(F504="","",N(I504)/(1-IF(K504="",'Job Info'!$B$39,K504))*(1+IF('Job Info'!$B$38="Yes",'Job Info'!$B$37,0)))</f>
        <v/>
      </c>
      <c r="N504" s="34" t="str">
        <f aca="false">IF(F504="","",N(J504)/(1-IF(L504="",'Job Info'!$B$40,L504)))</f>
        <v/>
      </c>
      <c r="O504" s="34" t="str">
        <f aca="false">IF(F504="","",M504+N504)</f>
        <v/>
      </c>
      <c r="P504" s="34" t="str">
        <f aca="false">IF(F504="","",N(G504)*M504)</f>
        <v/>
      </c>
      <c r="Q504" s="34" t="str">
        <f aca="false">IF(F504="","",N(G504)*N504)</f>
        <v/>
      </c>
      <c r="R504" s="35" t="str">
        <f aca="false">IF(F504="","",P504+Q504)</f>
        <v/>
      </c>
      <c r="S504" s="36"/>
      <c r="T504" s="36"/>
      <c r="U504" s="34" t="str">
        <f aca="false">IF(F504="","",N(G504)*N(I504))</f>
        <v/>
      </c>
      <c r="V504" s="34" t="str">
        <f aca="false">IF(F504="","",N(G504)*N(J504))</f>
        <v/>
      </c>
      <c r="W504" s="13" t="str">
        <f aca="false">IF(F504="","",IF(B504="Excluded","",COUNTIFS($F$6:F504,"?*",$B$6:B504,"&lt;&gt;Excluded")))</f>
        <v/>
      </c>
      <c r="X504" s="34" t="str">
        <f aca="false">IF(F504="","",N(G504)*N(I504)/(1-IF(K504="",'Job Info'!$B$39,K504))*IF('Job Info'!$B$38="Yes",'Job Info'!$B$37,0))</f>
        <v/>
      </c>
    </row>
    <row r="505" customFormat="false" ht="15" hidden="false" customHeight="false" outlineLevel="0" collapsed="false">
      <c r="A505" s="13" t="str">
        <f aca="false">IF(F505="","",ROW()-5)</f>
        <v/>
      </c>
      <c r="B505" s="14"/>
      <c r="C505" s="14"/>
      <c r="D505" s="14"/>
      <c r="E505" s="14"/>
      <c r="F505" s="36"/>
      <c r="G505" s="37"/>
      <c r="H505" s="14"/>
      <c r="I505" s="38"/>
      <c r="J505" s="38"/>
      <c r="K505" s="33"/>
      <c r="L505" s="33"/>
      <c r="M505" s="34" t="str">
        <f aca="false">IF(F505="","",N(I505)/(1-IF(K505="",'Job Info'!$B$39,K505))*(1+IF('Job Info'!$B$38="Yes",'Job Info'!$B$37,0)))</f>
        <v/>
      </c>
      <c r="N505" s="34" t="str">
        <f aca="false">IF(F505="","",N(J505)/(1-IF(L505="",'Job Info'!$B$40,L505)))</f>
        <v/>
      </c>
      <c r="O505" s="34" t="str">
        <f aca="false">IF(F505="","",M505+N505)</f>
        <v/>
      </c>
      <c r="P505" s="34" t="str">
        <f aca="false">IF(F505="","",N(G505)*M505)</f>
        <v/>
      </c>
      <c r="Q505" s="34" t="str">
        <f aca="false">IF(F505="","",N(G505)*N505)</f>
        <v/>
      </c>
      <c r="R505" s="35" t="str">
        <f aca="false">IF(F505="","",P505+Q505)</f>
        <v/>
      </c>
      <c r="S505" s="36"/>
      <c r="T505" s="36"/>
      <c r="U505" s="34" t="str">
        <f aca="false">IF(F505="","",N(G505)*N(I505))</f>
        <v/>
      </c>
      <c r="V505" s="34" t="str">
        <f aca="false">IF(F505="","",N(G505)*N(J505))</f>
        <v/>
      </c>
      <c r="W505" s="13" t="str">
        <f aca="false">IF(F505="","",IF(B505="Excluded","",COUNTIFS($F$6:F505,"?*",$B$6:B505,"&lt;&gt;Excluded")))</f>
        <v/>
      </c>
      <c r="X505" s="34" t="str">
        <f aca="false">IF(F505="","",N(G505)*N(I505)/(1-IF(K505="",'Job Info'!$B$39,K505))*IF('Job Info'!$B$38="Yes",'Job Info'!$B$37,0))</f>
        <v/>
      </c>
    </row>
    <row r="506" customFormat="false" ht="15" hidden="false" customHeight="false" outlineLevel="0" collapsed="false">
      <c r="A506" s="1"/>
      <c r="B506" s="1"/>
      <c r="C506" s="1"/>
      <c r="D506" s="1"/>
      <c r="E506" s="1"/>
      <c r="F506" s="5" t="s">
        <v>193</v>
      </c>
      <c r="G506" s="1"/>
      <c r="H506" s="1"/>
      <c r="I506" s="1"/>
      <c r="J506" s="1"/>
      <c r="K506" s="1"/>
      <c r="L506" s="1"/>
      <c r="M506" s="1"/>
      <c r="N506" s="1"/>
      <c r="O506" s="1"/>
      <c r="P506" s="39" t="n">
        <f aca="false">SUMIFS(P6:P505,$B$6:$B$505,"Base")</f>
        <v>4475.8125</v>
      </c>
      <c r="Q506" s="39" t="n">
        <f aca="false">SUMIFS(Q6:Q505,$B$6:$B$505,"Base")</f>
        <v>1852.94117647059</v>
      </c>
      <c r="R506" s="39" t="n">
        <f aca="false">SUMIFS(R6:R505,$B$6:$B$505,"Base")</f>
        <v>6328.75367647059</v>
      </c>
      <c r="S506" s="1"/>
      <c r="T506" s="1"/>
      <c r="U506" s="39" t="n">
        <f aca="false">SUMIFS(U6:U505,$B$6:$B$505,"Base")</f>
        <v>3285</v>
      </c>
      <c r="V506" s="39" t="n">
        <f aca="false">SUMIFS(V6:V505,$B$6:$B$505,"Base")</f>
        <v>1575</v>
      </c>
      <c r="W506" s="1"/>
      <c r="X506" s="1"/>
    </row>
  </sheetData>
  <autoFilter ref="A5:X505"/>
  <mergeCells count="5">
    <mergeCell ref="A4:H4"/>
    <mergeCell ref="I4:L4"/>
    <mergeCell ref="M4:R4"/>
    <mergeCell ref="S4:T4"/>
    <mergeCell ref="U4:X4"/>
  </mergeCells>
  <conditionalFormatting sqref="B6:B505">
    <cfRule type="expression" priority="2" aboveAverage="0" equalAverage="0" bottom="0" percent="0" rank="0" text="" dxfId="5">
      <formula>AND($F6&lt;&gt;"",$B6="")</formula>
    </cfRule>
  </conditionalFormatting>
  <conditionalFormatting sqref="C6:C505">
    <cfRule type="expression" priority="3" aboveAverage="0" equalAverage="0" bottom="0" percent="0" rank="0" text="" dxfId="5">
      <formula>AND($F6&lt;&gt;"",$C6="")</formula>
    </cfRule>
  </conditionalFormatting>
  <conditionalFormatting sqref="G6:G505">
    <cfRule type="expression" priority="4" aboveAverage="0" equalAverage="0" bottom="0" percent="0" rank="0" text="" dxfId="5">
      <formula>AND($F6&lt;&gt;"",$G6="")</formula>
    </cfRule>
  </conditionalFormatting>
  <dataValidations count="4">
    <dataValidation allowBlank="true" errorStyle="stop" operator="between" prompt="Base, Alt 1-5, Optional, or Excluded (excluded lines don't print)" promptTitle="Pick from list" showDropDown="false" showErrorMessage="false" showInputMessage="false" sqref="B6:B505" type="list">
      <formula1>Lists!$A$2:$A$9</formula1>
      <formula2>0</formula2>
    </dataValidation>
    <dataValidation allowBlank="true" errorStyle="stop" operator="between" showDropDown="false" showErrorMessage="false" showInputMessage="false" sqref="C6:C505" type="list">
      <formula1>Lists!$B$2:$B$26</formula1>
      <formula2>0</formula2>
    </dataValidation>
    <dataValidation allowBlank="true" errorStyle="stop" operator="between" prompt="Areas come from Job Info" promptTitle="Pick from list" showDropDown="false" showErrorMessage="false" showInputMessage="false" sqref="D6:D505" type="list">
      <formula1>Lists!$H$2:$H$9</formula1>
      <formula2>0</formula2>
    </dataValidation>
    <dataValidation allowBlank="true" errorStyle="stop" operator="between" showDropDown="false" showErrorMessage="false" showInputMessage="false" sqref="H6:H505" type="list">
      <formula1>Lists!$E$2:$E$12</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9000"/>
    <pageSetUpPr fitToPage="tru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70"/>
    <col collapsed="false" customWidth="true" hidden="false" outlineLevel="0" max="5" min="3" style="0" width="16"/>
  </cols>
  <sheetData>
    <row r="1" customFormat="false" ht="19.7" hidden="false" customHeight="false" outlineLevel="0" collapsed="false">
      <c r="A1" s="2" t="s">
        <v>194</v>
      </c>
      <c r="B1" s="1"/>
      <c r="C1" s="1"/>
      <c r="D1" s="1"/>
      <c r="E1" s="1"/>
    </row>
    <row r="2" customFormat="false" ht="15" hidden="false" customHeight="false" outlineLevel="0" collapsed="false">
      <c r="A2" s="10" t="s">
        <v>195</v>
      </c>
      <c r="B2" s="1"/>
      <c r="C2" s="1"/>
      <c r="D2" s="1"/>
      <c r="E2" s="1"/>
    </row>
    <row r="3" customFormat="false" ht="15" hidden="false" customHeight="false" outlineLevel="0" collapsed="false">
      <c r="A3" s="1"/>
      <c r="B3" s="1"/>
      <c r="C3" s="1"/>
      <c r="D3" s="1"/>
      <c r="E3" s="1"/>
    </row>
    <row r="4" customFormat="false" ht="15" hidden="false" customHeight="false" outlineLevel="0" collapsed="false">
      <c r="A4" s="28" t="s">
        <v>196</v>
      </c>
      <c r="B4" s="28" t="s">
        <v>197</v>
      </c>
      <c r="C4" s="28" t="s">
        <v>198</v>
      </c>
      <c r="D4" s="28" t="s">
        <v>199</v>
      </c>
      <c r="E4" s="28" t="s">
        <v>200</v>
      </c>
    </row>
    <row r="5" customFormat="false" ht="15" hidden="false" customHeight="false" outlineLevel="0" collapsed="false">
      <c r="A5" s="5" t="s">
        <v>189</v>
      </c>
      <c r="B5" s="29" t="s">
        <v>201</v>
      </c>
      <c r="C5" s="21" t="n">
        <f aca="false">SUMIFS('Line Detail'!$R$6:$R$505,'Line Detail'!$B$6:$B$505,A5)</f>
        <v>3564.11764705882</v>
      </c>
      <c r="D5" s="21" t="n">
        <f aca="false">SUMIFS('Line Detail'!$P$6:$P$505,'Line Detail'!$B$6:$B$505,A5)</f>
        <v>3270</v>
      </c>
      <c r="E5" s="21" t="n">
        <f aca="false">SUMIFS('Line Detail'!$Q$6:$Q$505,'Line Detail'!$B$6:$B$505,A5)</f>
        <v>294.117647058824</v>
      </c>
    </row>
    <row r="6" customFormat="false" ht="15" hidden="false" customHeight="false" outlineLevel="0" collapsed="false">
      <c r="A6" s="5" t="s">
        <v>202</v>
      </c>
      <c r="B6" s="14"/>
      <c r="C6" s="21" t="n">
        <f aca="false">SUMIFS('Line Detail'!$R$6:$R$505,'Line Detail'!$B$6:$B$505,A6)</f>
        <v>0</v>
      </c>
      <c r="D6" s="21" t="n">
        <f aca="false">SUMIFS('Line Detail'!$P$6:$P$505,'Line Detail'!$B$6:$B$505,A6)</f>
        <v>0</v>
      </c>
      <c r="E6" s="21" t="n">
        <f aca="false">SUMIFS('Line Detail'!$Q$6:$Q$505,'Line Detail'!$B$6:$B$505,A6)</f>
        <v>0</v>
      </c>
    </row>
    <row r="7" customFormat="false" ht="15" hidden="false" customHeight="false" outlineLevel="0" collapsed="false">
      <c r="A7" s="5" t="s">
        <v>203</v>
      </c>
      <c r="B7" s="14"/>
      <c r="C7" s="21" t="n">
        <f aca="false">SUMIFS('Line Detail'!$R$6:$R$505,'Line Detail'!$B$6:$B$505,A7)</f>
        <v>0</v>
      </c>
      <c r="D7" s="21" t="n">
        <f aca="false">SUMIFS('Line Detail'!$P$6:$P$505,'Line Detail'!$B$6:$B$505,A7)</f>
        <v>0</v>
      </c>
      <c r="E7" s="21" t="n">
        <f aca="false">SUMIFS('Line Detail'!$Q$6:$Q$505,'Line Detail'!$B$6:$B$505,A7)</f>
        <v>0</v>
      </c>
    </row>
    <row r="8" customFormat="false" ht="15" hidden="false" customHeight="false" outlineLevel="0" collapsed="false">
      <c r="A8" s="5" t="s">
        <v>204</v>
      </c>
      <c r="B8" s="14"/>
      <c r="C8" s="21" t="n">
        <f aca="false">SUMIFS('Line Detail'!$R$6:$R$505,'Line Detail'!$B$6:$B$505,A8)</f>
        <v>0</v>
      </c>
      <c r="D8" s="21" t="n">
        <f aca="false">SUMIFS('Line Detail'!$P$6:$P$505,'Line Detail'!$B$6:$B$505,A8)</f>
        <v>0</v>
      </c>
      <c r="E8" s="21" t="n">
        <f aca="false">SUMIFS('Line Detail'!$Q$6:$Q$505,'Line Detail'!$B$6:$B$505,A8)</f>
        <v>0</v>
      </c>
    </row>
    <row r="9" customFormat="false" ht="15" hidden="false" customHeight="false" outlineLevel="0" collapsed="false">
      <c r="A9" s="5" t="s">
        <v>205</v>
      </c>
      <c r="B9" s="14"/>
      <c r="C9" s="21" t="n">
        <f aca="false">SUMIFS('Line Detail'!$R$6:$R$505,'Line Detail'!$B$6:$B$505,A9)</f>
        <v>0</v>
      </c>
      <c r="D9" s="21" t="n">
        <f aca="false">SUMIFS('Line Detail'!$P$6:$P$505,'Line Detail'!$B$6:$B$505,A9)</f>
        <v>0</v>
      </c>
      <c r="E9" s="21" t="n">
        <f aca="false">SUMIFS('Line Detail'!$Q$6:$Q$505,'Line Detail'!$B$6:$B$505,A9)</f>
        <v>0</v>
      </c>
    </row>
    <row r="10" customFormat="false" ht="15" hidden="false" customHeight="false" outlineLevel="0" collapsed="false">
      <c r="A10" s="1"/>
      <c r="B10" s="1"/>
      <c r="C10" s="1"/>
      <c r="D10" s="1"/>
      <c r="E10" s="1"/>
    </row>
    <row r="11" customFormat="false" ht="15" hidden="false" customHeight="false" outlineLevel="0" collapsed="false">
      <c r="A11" s="5" t="s">
        <v>206</v>
      </c>
      <c r="B11" s="14" t="s">
        <v>207</v>
      </c>
      <c r="C11" s="21" t="n">
        <f aca="false">SUMIFS('Line Detail'!$R$6:$R$505,'Line Detail'!$B$6:$B$505,"Optional")</f>
        <v>0</v>
      </c>
      <c r="D11" s="21" t="n">
        <f aca="false">SUMIFS('Line Detail'!$P$6:$P$505,'Line Detail'!$B$6:$B$505,"Optional")</f>
        <v>0</v>
      </c>
      <c r="E11" s="21" t="n">
        <f aca="false">SUMIFS('Line Detail'!$Q$6:$Q$505,'Line Detail'!$B$6:$B$505,"Optional")</f>
        <v>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9000"/>
    <pageSetUpPr fitToPage="true"/>
  </sheetPr>
  <dimension ref="A1:E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5"/>
    <col collapsed="false" customWidth="true" hidden="false" outlineLevel="0" max="2" min="2" style="0" width="10"/>
    <col collapsed="false" customWidth="true" hidden="false" outlineLevel="0" max="3" min="3" style="0" width="110"/>
    <col collapsed="false" customWidth="true" hidden="false" outlineLevel="0" max="4" min="4" style="0" width="6"/>
    <col collapsed="false" customWidth="true" hidden="false" outlineLevel="0" max="5" min="5" style="0" width="16"/>
  </cols>
  <sheetData>
    <row r="1" customFormat="false" ht="19.7" hidden="false" customHeight="false" outlineLevel="0" collapsed="false">
      <c r="A1" s="2" t="s">
        <v>208</v>
      </c>
      <c r="B1" s="1"/>
      <c r="C1" s="1"/>
      <c r="D1" s="1"/>
      <c r="E1" s="1"/>
    </row>
    <row r="2" customFormat="false" ht="15" hidden="false" customHeight="false" outlineLevel="0" collapsed="false">
      <c r="A2" s="10" t="s">
        <v>209</v>
      </c>
      <c r="B2" s="1"/>
      <c r="C2" s="1"/>
      <c r="D2" s="1"/>
      <c r="E2" s="1"/>
    </row>
    <row r="3" customFormat="false" ht="15" hidden="false" customHeight="false" outlineLevel="0" collapsed="false">
      <c r="A3" s="40" t="s">
        <v>210</v>
      </c>
      <c r="B3" s="1"/>
      <c r="C3" s="1"/>
      <c r="D3" s="1"/>
      <c r="E3" s="1"/>
    </row>
    <row r="4" customFormat="false" ht="15" hidden="false" customHeight="false" outlineLevel="0" collapsed="false">
      <c r="A4" s="28" t="s">
        <v>211</v>
      </c>
      <c r="B4" s="28" t="s">
        <v>212</v>
      </c>
      <c r="C4" s="28" t="s">
        <v>213</v>
      </c>
      <c r="D4" s="28" t="s">
        <v>214</v>
      </c>
      <c r="E4" s="28" t="s">
        <v>215</v>
      </c>
    </row>
    <row r="5" customFormat="false" ht="15" hidden="false" customHeight="false" outlineLevel="0" collapsed="false">
      <c r="A5" s="13" t="s">
        <v>216</v>
      </c>
      <c r="B5" s="14" t="s">
        <v>91</v>
      </c>
      <c r="C5" s="36" t="s">
        <v>217</v>
      </c>
      <c r="D5" s="13" t="n">
        <f aca="false">IF(AND(B5="Yes",LEN(C5)&gt;0),COUNTIFS($A$5:A5,A5,$B$5:B5,"Yes",$C$5:C5,"?*"),"")</f>
        <v>1</v>
      </c>
      <c r="E5" s="13" t="str">
        <f aca="false">IF(D5="","",A5&amp;"|"&amp;D5)</f>
        <v>Inclusion|1</v>
      </c>
    </row>
    <row r="6" customFormat="false" ht="15" hidden="false" customHeight="false" outlineLevel="0" collapsed="false">
      <c r="A6" s="13" t="s">
        <v>216</v>
      </c>
      <c r="B6" s="14" t="s">
        <v>91</v>
      </c>
      <c r="C6" s="41" t="str">
        <f aca="false">IF('Job Info'!$B$38="Yes","All material pricing includes "&amp;TEXT('Job Info'!$B$37,"0.0%")&amp;" sales tax.","Sales tax is NOT included in material pricing and will be added at invoicing.")</f>
        <v>All material pricing includes 9.0% sales tax.</v>
      </c>
      <c r="D6" s="13" t="n">
        <f aca="false">IF(AND(B6="Yes",LEN(C6)&gt;0),COUNTIFS($A$5:A6,A6,$B$5:B6,"Yes",$C$5:C6,"?*"),"")</f>
        <v>2</v>
      </c>
      <c r="E6" s="13" t="str">
        <f aca="false">IF(D6="","",A6&amp;"|"&amp;D6)</f>
        <v>Inclusion|2</v>
      </c>
    </row>
    <row r="7" customFormat="false" ht="15" hidden="false" customHeight="false" outlineLevel="0" collapsed="false">
      <c r="A7" s="13" t="s">
        <v>216</v>
      </c>
      <c r="B7" s="14" t="s">
        <v>91</v>
      </c>
      <c r="C7" s="41" t="str">
        <f aca="false">"Pricing is based on plans and specifications dated "&amp;IF('Job Info'!$B$25="","[date TBD]",TEXT('Job Info'!$B$25,"mmmm d, yyyy"))&amp;", and addenda: "&amp;'Job Info'!$B$26&amp;"."</f>
        <v>Pricing is based on plans and specifications dated [date TBD], and addenda: None.</v>
      </c>
      <c r="D7" s="13" t="n">
        <f aca="false">IF(AND(B7="Yes",LEN(C7)&gt;0),COUNTIFS($A$5:A7,A7,$B$5:B7,"Yes",$C$5:C7,"?*"),"")</f>
        <v>3</v>
      </c>
      <c r="E7" s="13" t="str">
        <f aca="false">IF(D7="","",A7&amp;"|"&amp;D7)</f>
        <v>Inclusion|3</v>
      </c>
    </row>
    <row r="8" customFormat="false" ht="15" hidden="false" customHeight="false" outlineLevel="0" collapsed="false">
      <c r="A8" s="13" t="s">
        <v>216</v>
      </c>
      <c r="B8" s="14" t="s">
        <v>91</v>
      </c>
      <c r="C8" s="36" t="s">
        <v>218</v>
      </c>
      <c r="D8" s="13" t="n">
        <f aca="false">IF(AND(B8="Yes",LEN(C8)&gt;0),COUNTIFS($A$5:A8,A8,$B$5:B8,"Yes",$C$5:C8,"?*"),"")</f>
        <v>4</v>
      </c>
      <c r="E8" s="13" t="str">
        <f aca="false">IF(D8="","",A8&amp;"|"&amp;D8)</f>
        <v>Inclusion|4</v>
      </c>
    </row>
    <row r="9" customFormat="false" ht="15" hidden="false" customHeight="false" outlineLevel="0" collapsed="false">
      <c r="A9" s="13" t="s">
        <v>216</v>
      </c>
      <c r="B9" s="14" t="s">
        <v>91</v>
      </c>
      <c r="C9" s="36" t="s">
        <v>219</v>
      </c>
      <c r="D9" s="13" t="n">
        <f aca="false">IF(AND(B9="Yes",LEN(C9)&gt;0),COUNTIFS($A$5:A9,A9,$B$5:B9,"Yes",$C$5:C9,"?*"),"")</f>
        <v>5</v>
      </c>
      <c r="E9" s="13" t="str">
        <f aca="false">IF(D9="","",A9&amp;"|"&amp;D9)</f>
        <v>Inclusion|5</v>
      </c>
    </row>
    <row r="10" customFormat="false" ht="15" hidden="false" customHeight="false" outlineLevel="0" collapsed="false">
      <c r="A10" s="13" t="s">
        <v>216</v>
      </c>
      <c r="B10" s="14" t="s">
        <v>91</v>
      </c>
      <c r="C10" s="36" t="s">
        <v>220</v>
      </c>
      <c r="D10" s="13" t="n">
        <f aca="false">IF(AND(B10="Yes",LEN(C10)&gt;0),COUNTIFS($A$5:A10,A10,$B$5:B10,"Yes",$C$5:C10,"?*"),"")</f>
        <v>6</v>
      </c>
      <c r="E10" s="13" t="str">
        <f aca="false">IF(D10="","",A10&amp;"|"&amp;D10)</f>
        <v>Inclusion|6</v>
      </c>
    </row>
    <row r="11" customFormat="false" ht="15" hidden="false" customHeight="false" outlineLevel="0" collapsed="false">
      <c r="A11" s="13" t="s">
        <v>216</v>
      </c>
      <c r="B11" s="14" t="s">
        <v>91</v>
      </c>
      <c r="C11" s="36" t="s">
        <v>221</v>
      </c>
      <c r="D11" s="13" t="n">
        <f aca="false">IF(AND(B11="Yes",LEN(C11)&gt;0),COUNTIFS($A$5:A11,A11,$B$5:B11,"Yes",$C$5:C11,"?*"),"")</f>
        <v>7</v>
      </c>
      <c r="E11" s="13" t="str">
        <f aca="false">IF(D11="","",A11&amp;"|"&amp;D11)</f>
        <v>Inclusion|7</v>
      </c>
    </row>
    <row r="12" customFormat="false" ht="15" hidden="false" customHeight="false" outlineLevel="0" collapsed="false">
      <c r="A12" s="13" t="s">
        <v>216</v>
      </c>
      <c r="B12" s="14" t="s">
        <v>91</v>
      </c>
      <c r="C12" s="36" t="s">
        <v>222</v>
      </c>
      <c r="D12" s="13" t="n">
        <f aca="false">IF(AND(B12="Yes",LEN(C12)&gt;0),COUNTIFS($A$5:A12,A12,$B$5:B12,"Yes",$C$5:C12,"?*"),"")</f>
        <v>8</v>
      </c>
      <c r="E12" s="13" t="str">
        <f aca="false">IF(D12="","",A12&amp;"|"&amp;D12)</f>
        <v>Inclusion|8</v>
      </c>
    </row>
    <row r="13" customFormat="false" ht="15" hidden="false" customHeight="false" outlineLevel="0" collapsed="false">
      <c r="A13" s="13" t="s">
        <v>216</v>
      </c>
      <c r="B13" s="14" t="s">
        <v>91</v>
      </c>
      <c r="C13" s="36" t="s">
        <v>223</v>
      </c>
      <c r="D13" s="13" t="n">
        <f aca="false">IF(AND(B13="Yes",LEN(C13)&gt;0),COUNTIFS($A$5:A13,A13,$B$5:B13,"Yes",$C$5:C13,"?*"),"")</f>
        <v>9</v>
      </c>
      <c r="E13" s="13" t="str">
        <f aca="false">IF(D13="","",A13&amp;"|"&amp;D13)</f>
        <v>Inclusion|9</v>
      </c>
    </row>
    <row r="14" customFormat="false" ht="15" hidden="false" customHeight="false" outlineLevel="0" collapsed="false">
      <c r="A14" s="13" t="s">
        <v>216</v>
      </c>
      <c r="B14" s="14" t="s">
        <v>97</v>
      </c>
      <c r="C14" s="36"/>
      <c r="D14" s="13" t="str">
        <f aca="false">IF(AND(B14="Yes",LEN(C14)&gt;0),COUNTIFS($A$5:A14,A14,$B$5:B14,"Yes",$C$5:C14,"?*"),"")</f>
        <v/>
      </c>
      <c r="E14" s="13" t="str">
        <f aca="false">IF(D14="","",A14&amp;"|"&amp;D14)</f>
        <v/>
      </c>
    </row>
    <row r="15" customFormat="false" ht="15" hidden="false" customHeight="false" outlineLevel="0" collapsed="false">
      <c r="A15" s="13" t="s">
        <v>216</v>
      </c>
      <c r="B15" s="14" t="s">
        <v>97</v>
      </c>
      <c r="C15" s="36"/>
      <c r="D15" s="13" t="str">
        <f aca="false">IF(AND(B15="Yes",LEN(C15)&gt;0),COUNTIFS($A$5:A15,A15,$B$5:B15,"Yes",$C$5:C15,"?*"),"")</f>
        <v/>
      </c>
      <c r="E15" s="13" t="str">
        <f aca="false">IF(D15="","",A15&amp;"|"&amp;D15)</f>
        <v/>
      </c>
    </row>
    <row r="16" customFormat="false" ht="15" hidden="false" customHeight="false" outlineLevel="0" collapsed="false">
      <c r="A16" s="13" t="s">
        <v>216</v>
      </c>
      <c r="B16" s="14" t="s">
        <v>97</v>
      </c>
      <c r="C16" s="36"/>
      <c r="D16" s="13" t="str">
        <f aca="false">IF(AND(B16="Yes",LEN(C16)&gt;0),COUNTIFS($A$5:A16,A16,$B$5:B16,"Yes",$C$5:C16,"?*"),"")</f>
        <v/>
      </c>
      <c r="E16" s="13" t="str">
        <f aca="false">IF(D16="","",A16&amp;"|"&amp;D16)</f>
        <v/>
      </c>
    </row>
    <row r="17" customFormat="false" ht="15" hidden="false" customHeight="false" outlineLevel="0" collapsed="false">
      <c r="A17" s="13" t="s">
        <v>216</v>
      </c>
      <c r="B17" s="14" t="s">
        <v>97</v>
      </c>
      <c r="C17" s="36"/>
      <c r="D17" s="13" t="str">
        <f aca="false">IF(AND(B17="Yes",LEN(C17)&gt;0),COUNTIFS($A$5:A17,A17,$B$5:B17,"Yes",$C$5:C17,"?*"),"")</f>
        <v/>
      </c>
      <c r="E17" s="13" t="str">
        <f aca="false">IF(D17="","",A17&amp;"|"&amp;D17)</f>
        <v/>
      </c>
    </row>
    <row r="18" customFormat="false" ht="15" hidden="false" customHeight="false" outlineLevel="0" collapsed="false">
      <c r="A18" s="13" t="s">
        <v>224</v>
      </c>
      <c r="B18" s="14" t="s">
        <v>91</v>
      </c>
      <c r="C18" s="36" t="s">
        <v>225</v>
      </c>
      <c r="D18" s="13" t="n">
        <f aca="false">IF(AND(B18="Yes",LEN(C18)&gt;0),COUNTIFS($A$5:A18,A18,$B$5:B18,"Yes",$C$5:C18,"?*"),"")</f>
        <v>1</v>
      </c>
      <c r="E18" s="13" t="str">
        <f aca="false">IF(D18="","",A18&amp;"|"&amp;D18)</f>
        <v>Exclusion|1</v>
      </c>
    </row>
    <row r="19" customFormat="false" ht="15" hidden="false" customHeight="false" outlineLevel="0" collapsed="false">
      <c r="A19" s="13" t="s">
        <v>224</v>
      </c>
      <c r="B19" s="14" t="s">
        <v>91</v>
      </c>
      <c r="C19" s="36" t="s">
        <v>226</v>
      </c>
      <c r="D19" s="13" t="n">
        <f aca="false">IF(AND(B19="Yes",LEN(C19)&gt;0),COUNTIFS($A$5:A19,A19,$B$5:B19,"Yes",$C$5:C19,"?*"),"")</f>
        <v>2</v>
      </c>
      <c r="E19" s="13" t="str">
        <f aca="false">IF(D19="","",A19&amp;"|"&amp;D19)</f>
        <v>Exclusion|2</v>
      </c>
    </row>
    <row r="20" customFormat="false" ht="15" hidden="false" customHeight="false" outlineLevel="0" collapsed="false">
      <c r="A20" s="13" t="s">
        <v>224</v>
      </c>
      <c r="B20" s="14" t="s">
        <v>91</v>
      </c>
      <c r="C20" s="36" t="s">
        <v>227</v>
      </c>
      <c r="D20" s="13" t="n">
        <f aca="false">IF(AND(B20="Yes",LEN(C20)&gt;0),COUNTIFS($A$5:A20,A20,$B$5:B20,"Yes",$C$5:C20,"?*"),"")</f>
        <v>3</v>
      </c>
      <c r="E20" s="13" t="str">
        <f aca="false">IF(D20="","",A20&amp;"|"&amp;D20)</f>
        <v>Exclusion|3</v>
      </c>
    </row>
    <row r="21" customFormat="false" ht="15" hidden="false" customHeight="false" outlineLevel="0" collapsed="false">
      <c r="A21" s="13" t="s">
        <v>224</v>
      </c>
      <c r="B21" s="14" t="s">
        <v>91</v>
      </c>
      <c r="C21" s="36" t="s">
        <v>228</v>
      </c>
      <c r="D21" s="13" t="n">
        <f aca="false">IF(AND(B21="Yes",LEN(C21)&gt;0),COUNTIFS($A$5:A21,A21,$B$5:B21,"Yes",$C$5:C21,"?*"),"")</f>
        <v>4</v>
      </c>
      <c r="E21" s="13" t="str">
        <f aca="false">IF(D21="","",A21&amp;"|"&amp;D21)</f>
        <v>Exclusion|4</v>
      </c>
    </row>
    <row r="22" customFormat="false" ht="15" hidden="false" customHeight="false" outlineLevel="0" collapsed="false">
      <c r="A22" s="13" t="s">
        <v>224</v>
      </c>
      <c r="B22" s="14" t="s">
        <v>91</v>
      </c>
      <c r="C22" s="36" t="s">
        <v>229</v>
      </c>
      <c r="D22" s="13" t="n">
        <f aca="false">IF(AND(B22="Yes",LEN(C22)&gt;0),COUNTIFS($A$5:A22,A22,$B$5:B22,"Yes",$C$5:C22,"?*"),"")</f>
        <v>5</v>
      </c>
      <c r="E22" s="13" t="str">
        <f aca="false">IF(D22="","",A22&amp;"|"&amp;D22)</f>
        <v>Exclusion|5</v>
      </c>
    </row>
    <row r="23" customFormat="false" ht="15" hidden="false" customHeight="false" outlineLevel="0" collapsed="false">
      <c r="A23" s="13" t="s">
        <v>224</v>
      </c>
      <c r="B23" s="14" t="s">
        <v>91</v>
      </c>
      <c r="C23" s="36" t="s">
        <v>230</v>
      </c>
      <c r="D23" s="13" t="n">
        <f aca="false">IF(AND(B23="Yes",LEN(C23)&gt;0),COUNTIFS($A$5:A23,A23,$B$5:B23,"Yes",$C$5:C23,"?*"),"")</f>
        <v>6</v>
      </c>
      <c r="E23" s="13" t="str">
        <f aca="false">IF(D23="","",A23&amp;"|"&amp;D23)</f>
        <v>Exclusion|6</v>
      </c>
    </row>
    <row r="24" customFormat="false" ht="15" hidden="false" customHeight="false" outlineLevel="0" collapsed="false">
      <c r="A24" s="13" t="s">
        <v>224</v>
      </c>
      <c r="B24" s="14" t="s">
        <v>91</v>
      </c>
      <c r="C24" s="36" t="s">
        <v>231</v>
      </c>
      <c r="D24" s="13" t="n">
        <f aca="false">IF(AND(B24="Yes",LEN(C24)&gt;0),COUNTIFS($A$5:A24,A24,$B$5:B24,"Yes",$C$5:C24,"?*"),"")</f>
        <v>7</v>
      </c>
      <c r="E24" s="13" t="str">
        <f aca="false">IF(D24="","",A24&amp;"|"&amp;D24)</f>
        <v>Exclusion|7</v>
      </c>
    </row>
    <row r="25" customFormat="false" ht="15" hidden="false" customHeight="false" outlineLevel="0" collapsed="false">
      <c r="A25" s="13" t="s">
        <v>224</v>
      </c>
      <c r="B25" s="14" t="s">
        <v>91</v>
      </c>
      <c r="C25" s="36" t="s">
        <v>232</v>
      </c>
      <c r="D25" s="13" t="n">
        <f aca="false">IF(AND(B25="Yes",LEN(C25)&gt;0),COUNTIFS($A$5:A25,A25,$B$5:B25,"Yes",$C$5:C25,"?*"),"")</f>
        <v>8</v>
      </c>
      <c r="E25" s="13" t="str">
        <f aca="false">IF(D25="","",A25&amp;"|"&amp;D25)</f>
        <v>Exclusion|8</v>
      </c>
    </row>
    <row r="26" customFormat="false" ht="15" hidden="false" customHeight="false" outlineLevel="0" collapsed="false">
      <c r="A26" s="13" t="s">
        <v>224</v>
      </c>
      <c r="B26" s="14" t="s">
        <v>91</v>
      </c>
      <c r="C26" s="36" t="s">
        <v>233</v>
      </c>
      <c r="D26" s="13" t="n">
        <f aca="false">IF(AND(B26="Yes",LEN(C26)&gt;0),COUNTIFS($A$5:A26,A26,$B$5:B26,"Yes",$C$5:C26,"?*"),"")</f>
        <v>9</v>
      </c>
      <c r="E26" s="13" t="str">
        <f aca="false">IF(D26="","",A26&amp;"|"&amp;D26)</f>
        <v>Exclusion|9</v>
      </c>
    </row>
    <row r="27" customFormat="false" ht="15" hidden="false" customHeight="false" outlineLevel="0" collapsed="false">
      <c r="A27" s="13" t="s">
        <v>224</v>
      </c>
      <c r="B27" s="14" t="s">
        <v>91</v>
      </c>
      <c r="C27" s="36" t="s">
        <v>234</v>
      </c>
      <c r="D27" s="13" t="n">
        <f aca="false">IF(AND(B27="Yes",LEN(C27)&gt;0),COUNTIFS($A$5:A27,A27,$B$5:B27,"Yes",$C$5:C27,"?*"),"")</f>
        <v>10</v>
      </c>
      <c r="E27" s="13" t="str">
        <f aca="false">IF(D27="","",A27&amp;"|"&amp;D27)</f>
        <v>Exclusion|10</v>
      </c>
    </row>
    <row r="28" customFormat="false" ht="15" hidden="false" customHeight="false" outlineLevel="0" collapsed="false">
      <c r="A28" s="13" t="s">
        <v>224</v>
      </c>
      <c r="B28" s="14" t="s">
        <v>91</v>
      </c>
      <c r="C28" s="36" t="s">
        <v>235</v>
      </c>
      <c r="D28" s="13" t="n">
        <f aca="false">IF(AND(B28="Yes",LEN(C28)&gt;0),COUNTIFS($A$5:A28,A28,$B$5:B28,"Yes",$C$5:C28,"?*"),"")</f>
        <v>11</v>
      </c>
      <c r="E28" s="13" t="str">
        <f aca="false">IF(D28="","",A28&amp;"|"&amp;D28)</f>
        <v>Exclusion|11</v>
      </c>
    </row>
    <row r="29" customFormat="false" ht="15" hidden="false" customHeight="false" outlineLevel="0" collapsed="false">
      <c r="A29" s="13" t="s">
        <v>224</v>
      </c>
      <c r="B29" s="14" t="s">
        <v>91</v>
      </c>
      <c r="C29" s="36" t="s">
        <v>236</v>
      </c>
      <c r="D29" s="13" t="n">
        <f aca="false">IF(AND(B29="Yes",LEN(C29)&gt;0),COUNTIFS($A$5:A29,A29,$B$5:B29,"Yes",$C$5:C29,"?*"),"")</f>
        <v>12</v>
      </c>
      <c r="E29" s="13" t="str">
        <f aca="false">IF(D29="","",A29&amp;"|"&amp;D29)</f>
        <v>Exclusion|12</v>
      </c>
    </row>
    <row r="30" customFormat="false" ht="15" hidden="false" customHeight="false" outlineLevel="0" collapsed="false">
      <c r="A30" s="13" t="s">
        <v>224</v>
      </c>
      <c r="B30" s="14" t="s">
        <v>91</v>
      </c>
      <c r="C30" s="36" t="s">
        <v>237</v>
      </c>
      <c r="D30" s="13" t="n">
        <f aca="false">IF(AND(B30="Yes",LEN(C30)&gt;0),COUNTIFS($A$5:A30,A30,$B$5:B30,"Yes",$C$5:C30,"?*"),"")</f>
        <v>13</v>
      </c>
      <c r="E30" s="13" t="str">
        <f aca="false">IF(D30="","",A30&amp;"|"&amp;D30)</f>
        <v>Exclusion|13</v>
      </c>
    </row>
    <row r="31" customFormat="false" ht="15" hidden="false" customHeight="false" outlineLevel="0" collapsed="false">
      <c r="A31" s="13" t="s">
        <v>224</v>
      </c>
      <c r="B31" s="14" t="s">
        <v>91</v>
      </c>
      <c r="C31" s="36" t="s">
        <v>238</v>
      </c>
      <c r="D31" s="13" t="n">
        <f aca="false">IF(AND(B31="Yes",LEN(C31)&gt;0),COUNTIFS($A$5:A31,A31,$B$5:B31,"Yes",$C$5:C31,"?*"),"")</f>
        <v>14</v>
      </c>
      <c r="E31" s="13" t="str">
        <f aca="false">IF(D31="","",A31&amp;"|"&amp;D31)</f>
        <v>Exclusion|14</v>
      </c>
    </row>
    <row r="32" customFormat="false" ht="15" hidden="false" customHeight="false" outlineLevel="0" collapsed="false">
      <c r="A32" s="13" t="s">
        <v>224</v>
      </c>
      <c r="B32" s="14" t="s">
        <v>91</v>
      </c>
      <c r="C32" s="36" t="s">
        <v>239</v>
      </c>
      <c r="D32" s="13" t="n">
        <f aca="false">IF(AND(B32="Yes",LEN(C32)&gt;0),COUNTIFS($A$5:A32,A32,$B$5:B32,"Yes",$C$5:C32,"?*"),"")</f>
        <v>15</v>
      </c>
      <c r="E32" s="13" t="str">
        <f aca="false">IF(D32="","",A32&amp;"|"&amp;D32)</f>
        <v>Exclusion|15</v>
      </c>
    </row>
    <row r="33" customFormat="false" ht="15" hidden="false" customHeight="false" outlineLevel="0" collapsed="false">
      <c r="A33" s="13" t="s">
        <v>224</v>
      </c>
      <c r="B33" s="14" t="s">
        <v>91</v>
      </c>
      <c r="C33" s="36" t="s">
        <v>240</v>
      </c>
      <c r="D33" s="13" t="n">
        <f aca="false">IF(AND(B33="Yes",LEN(C33)&gt;0),COUNTIFS($A$5:A33,A33,$B$5:B33,"Yes",$C$5:C33,"?*"),"")</f>
        <v>16</v>
      </c>
      <c r="E33" s="13" t="str">
        <f aca="false">IF(D33="","",A33&amp;"|"&amp;D33)</f>
        <v>Exclusion|16</v>
      </c>
    </row>
    <row r="34" customFormat="false" ht="15" hidden="false" customHeight="false" outlineLevel="0" collapsed="false">
      <c r="A34" s="13" t="s">
        <v>224</v>
      </c>
      <c r="B34" s="14" t="s">
        <v>91</v>
      </c>
      <c r="C34" s="36" t="s">
        <v>241</v>
      </c>
      <c r="D34" s="13" t="n">
        <f aca="false">IF(AND(B34="Yes",LEN(C34)&gt;0),COUNTIFS($A$5:A34,A34,$B$5:B34,"Yes",$C$5:C34,"?*"),"")</f>
        <v>17</v>
      </c>
      <c r="E34" s="13" t="str">
        <f aca="false">IF(D34="","",A34&amp;"|"&amp;D34)</f>
        <v>Exclusion|17</v>
      </c>
    </row>
    <row r="35" customFormat="false" ht="15" hidden="false" customHeight="false" outlineLevel="0" collapsed="false">
      <c r="A35" s="13" t="s">
        <v>224</v>
      </c>
      <c r="B35" s="14" t="s">
        <v>91</v>
      </c>
      <c r="C35" s="36" t="s">
        <v>242</v>
      </c>
      <c r="D35" s="13" t="n">
        <f aca="false">IF(AND(B35="Yes",LEN(C35)&gt;0),COUNTIFS($A$5:A35,A35,$B$5:B35,"Yes",$C$5:C35,"?*"),"")</f>
        <v>18</v>
      </c>
      <c r="E35" s="13" t="str">
        <f aca="false">IF(D35="","",A35&amp;"|"&amp;D35)</f>
        <v>Exclusion|18</v>
      </c>
    </row>
    <row r="36" customFormat="false" ht="15" hidden="false" customHeight="false" outlineLevel="0" collapsed="false">
      <c r="A36" s="13" t="s">
        <v>224</v>
      </c>
      <c r="B36" s="14" t="s">
        <v>91</v>
      </c>
      <c r="C36" s="36" t="s">
        <v>243</v>
      </c>
      <c r="D36" s="13" t="n">
        <f aca="false">IF(AND(B36="Yes",LEN(C36)&gt;0),COUNTIFS($A$5:A36,A36,$B$5:B36,"Yes",$C$5:C36,"?*"),"")</f>
        <v>19</v>
      </c>
      <c r="E36" s="13" t="str">
        <f aca="false">IF(D36="","",A36&amp;"|"&amp;D36)</f>
        <v>Exclusion|19</v>
      </c>
    </row>
    <row r="37" customFormat="false" ht="15" hidden="false" customHeight="false" outlineLevel="0" collapsed="false">
      <c r="A37" s="13" t="s">
        <v>224</v>
      </c>
      <c r="B37" s="14" t="s">
        <v>91</v>
      </c>
      <c r="C37" s="36" t="s">
        <v>244</v>
      </c>
      <c r="D37" s="13" t="n">
        <f aca="false">IF(AND(B37="Yes",LEN(C37)&gt;0),COUNTIFS($A$5:A37,A37,$B$5:B37,"Yes",$C$5:C37,"?*"),"")</f>
        <v>20</v>
      </c>
      <c r="E37" s="13" t="str">
        <f aca="false">IF(D37="","",A37&amp;"|"&amp;D37)</f>
        <v>Exclusion|20</v>
      </c>
    </row>
    <row r="38" customFormat="false" ht="15" hidden="false" customHeight="false" outlineLevel="0" collapsed="false">
      <c r="A38" s="13" t="s">
        <v>224</v>
      </c>
      <c r="B38" s="14" t="s">
        <v>91</v>
      </c>
      <c r="C38" s="41" t="str">
        <f aca="false">IF('Job Info'!$B$41="Yes","Bonds other than the payment and performance bond shown in the Proposal Summary","Payment and performance bonds")</f>
        <v>Payment and performance bonds</v>
      </c>
      <c r="D38" s="13" t="n">
        <f aca="false">IF(AND(B38="Yes",LEN(C38)&gt;0),COUNTIFS($A$5:A38,A38,$B$5:B38,"Yes",$C$5:C38,"?*"),"")</f>
        <v>21</v>
      </c>
      <c r="E38" s="13" t="str">
        <f aca="false">IF(D38="","",A38&amp;"|"&amp;D38)</f>
        <v>Exclusion|21</v>
      </c>
    </row>
    <row r="39" customFormat="false" ht="15" hidden="false" customHeight="false" outlineLevel="0" collapsed="false">
      <c r="A39" s="13" t="s">
        <v>224</v>
      </c>
      <c r="B39" s="14" t="s">
        <v>91</v>
      </c>
      <c r="C39" s="36" t="s">
        <v>245</v>
      </c>
      <c r="D39" s="13" t="n">
        <f aca="false">IF(AND(B39="Yes",LEN(C39)&gt;0),COUNTIFS($A$5:A39,A39,$B$5:B39,"Yes",$C$5:C39,"?*"),"")</f>
        <v>22</v>
      </c>
      <c r="E39" s="13" t="str">
        <f aca="false">IF(D39="","",A39&amp;"|"&amp;D39)</f>
        <v>Exclusion|22</v>
      </c>
    </row>
    <row r="40" customFormat="false" ht="15" hidden="false" customHeight="false" outlineLevel="0" collapsed="false">
      <c r="A40" s="13" t="s">
        <v>224</v>
      </c>
      <c r="B40" s="14" t="s">
        <v>91</v>
      </c>
      <c r="C40" s="36" t="s">
        <v>246</v>
      </c>
      <c r="D40" s="13" t="n">
        <f aca="false">IF(AND(B40="Yes",LEN(C40)&gt;0),COUNTIFS($A$5:A40,A40,$B$5:B40,"Yes",$C$5:C40,"?*"),"")</f>
        <v>23</v>
      </c>
      <c r="E40" s="13" t="str">
        <f aca="false">IF(D40="","",A40&amp;"|"&amp;D40)</f>
        <v>Exclusion|23</v>
      </c>
    </row>
    <row r="41" customFormat="false" ht="15" hidden="false" customHeight="false" outlineLevel="0" collapsed="false">
      <c r="A41" s="13" t="s">
        <v>224</v>
      </c>
      <c r="B41" s="14" t="s">
        <v>91</v>
      </c>
      <c r="C41" s="36" t="s">
        <v>247</v>
      </c>
      <c r="D41" s="13" t="n">
        <f aca="false">IF(AND(B41="Yes",LEN(C41)&gt;0),COUNTIFS($A$5:A41,A41,$B$5:B41,"Yes",$C$5:C41,"?*"),"")</f>
        <v>24</v>
      </c>
      <c r="E41" s="13" t="str">
        <f aca="false">IF(D41="","",A41&amp;"|"&amp;D41)</f>
        <v>Exclusion|24</v>
      </c>
    </row>
    <row r="42" customFormat="false" ht="15" hidden="false" customHeight="false" outlineLevel="0" collapsed="false">
      <c r="A42" s="13" t="s">
        <v>224</v>
      </c>
      <c r="B42" s="14" t="s">
        <v>91</v>
      </c>
      <c r="C42" s="36" t="s">
        <v>248</v>
      </c>
      <c r="D42" s="13" t="n">
        <f aca="false">IF(AND(B42="Yes",LEN(C42)&gt;0),COUNTIFS($A$5:A42,A42,$B$5:B42,"Yes",$C$5:C42,"?*"),"")</f>
        <v>25</v>
      </c>
      <c r="E42" s="13" t="str">
        <f aca="false">IF(D42="","",A42&amp;"|"&amp;D42)</f>
        <v>Exclusion|25</v>
      </c>
    </row>
    <row r="43" customFormat="false" ht="15" hidden="false" customHeight="false" outlineLevel="0" collapsed="false">
      <c r="A43" s="13" t="s">
        <v>224</v>
      </c>
      <c r="B43" s="14" t="s">
        <v>91</v>
      </c>
      <c r="C43" s="36" t="s">
        <v>249</v>
      </c>
      <c r="D43" s="13" t="n">
        <f aca="false">IF(AND(B43="Yes",LEN(C43)&gt;0),COUNTIFS($A$5:A43,A43,$B$5:B43,"Yes",$C$5:C43,"?*"),"")</f>
        <v>26</v>
      </c>
      <c r="E43" s="13" t="str">
        <f aca="false">IF(D43="","",A43&amp;"|"&amp;D43)</f>
        <v>Exclusion|26</v>
      </c>
    </row>
    <row r="44" customFormat="false" ht="15" hidden="false" customHeight="false" outlineLevel="0" collapsed="false">
      <c r="A44" s="13" t="s">
        <v>224</v>
      </c>
      <c r="B44" s="14" t="s">
        <v>91</v>
      </c>
      <c r="C44" s="36" t="s">
        <v>250</v>
      </c>
      <c r="D44" s="13" t="n">
        <f aca="false">IF(AND(B44="Yes",LEN(C44)&gt;0),COUNTIFS($A$5:A44,A44,$B$5:B44,"Yes",$C$5:C44,"?*"),"")</f>
        <v>27</v>
      </c>
      <c r="E44" s="13" t="str">
        <f aca="false">IF(D44="","",A44&amp;"|"&amp;D44)</f>
        <v>Exclusion|27</v>
      </c>
    </row>
    <row r="45" customFormat="false" ht="15" hidden="false" customHeight="false" outlineLevel="0" collapsed="false">
      <c r="A45" s="13" t="s">
        <v>224</v>
      </c>
      <c r="B45" s="14" t="s">
        <v>97</v>
      </c>
      <c r="C45" s="36" t="s">
        <v>251</v>
      </c>
      <c r="D45" s="13" t="str">
        <f aca="false">IF(AND(B45="Yes",LEN(C45)&gt;0),COUNTIFS($A$5:A45,A45,$B$5:B45,"Yes",$C$5:C45,"?*"),"")</f>
        <v/>
      </c>
      <c r="E45" s="13" t="str">
        <f aca="false">IF(D45="","",A45&amp;"|"&amp;D45)</f>
        <v/>
      </c>
    </row>
    <row r="46" customFormat="false" ht="15" hidden="false" customHeight="false" outlineLevel="0" collapsed="false">
      <c r="A46" s="13" t="s">
        <v>224</v>
      </c>
      <c r="B46" s="14" t="s">
        <v>97</v>
      </c>
      <c r="C46" s="36" t="s">
        <v>252</v>
      </c>
      <c r="D46" s="13" t="str">
        <f aca="false">IF(AND(B46="Yes",LEN(C46)&gt;0),COUNTIFS($A$5:A46,A46,$B$5:B46,"Yes",$C$5:C46,"?*"),"")</f>
        <v/>
      </c>
      <c r="E46" s="13" t="str">
        <f aca="false">IF(D46="","",A46&amp;"|"&amp;D46)</f>
        <v/>
      </c>
    </row>
    <row r="47" customFormat="false" ht="15" hidden="false" customHeight="false" outlineLevel="0" collapsed="false">
      <c r="A47" s="13" t="s">
        <v>224</v>
      </c>
      <c r="B47" s="14" t="s">
        <v>97</v>
      </c>
      <c r="C47" s="36" t="s">
        <v>253</v>
      </c>
      <c r="D47" s="13" t="str">
        <f aca="false">IF(AND(B47="Yes",LEN(C47)&gt;0),COUNTIFS($A$5:A47,A47,$B$5:B47,"Yes",$C$5:C47,"?*"),"")</f>
        <v/>
      </c>
      <c r="E47" s="13" t="str">
        <f aca="false">IF(D47="","",A47&amp;"|"&amp;D47)</f>
        <v/>
      </c>
    </row>
    <row r="48" customFormat="false" ht="15" hidden="false" customHeight="false" outlineLevel="0" collapsed="false">
      <c r="A48" s="13" t="s">
        <v>224</v>
      </c>
      <c r="B48" s="14" t="s">
        <v>97</v>
      </c>
      <c r="C48" s="36" t="s">
        <v>254</v>
      </c>
      <c r="D48" s="13" t="str">
        <f aca="false">IF(AND(B48="Yes",LEN(C48)&gt;0),COUNTIFS($A$5:A48,A48,$B$5:B48,"Yes",$C$5:C48,"?*"),"")</f>
        <v/>
      </c>
      <c r="E48" s="13" t="str">
        <f aca="false">IF(D48="","",A48&amp;"|"&amp;D48)</f>
        <v/>
      </c>
    </row>
    <row r="49" customFormat="false" ht="15" hidden="false" customHeight="false" outlineLevel="0" collapsed="false">
      <c r="A49" s="13" t="s">
        <v>224</v>
      </c>
      <c r="B49" s="14" t="s">
        <v>97</v>
      </c>
      <c r="C49" s="36" t="s">
        <v>255</v>
      </c>
      <c r="D49" s="13" t="str">
        <f aca="false">IF(AND(B49="Yes",LEN(C49)&gt;0),COUNTIFS($A$5:A49,A49,$B$5:B49,"Yes",$C$5:C49,"?*"),"")</f>
        <v/>
      </c>
      <c r="E49" s="13" t="str">
        <f aca="false">IF(D49="","",A49&amp;"|"&amp;D49)</f>
        <v/>
      </c>
    </row>
    <row r="50" customFormat="false" ht="15" hidden="false" customHeight="false" outlineLevel="0" collapsed="false">
      <c r="A50" s="13" t="s">
        <v>224</v>
      </c>
      <c r="B50" s="14" t="s">
        <v>97</v>
      </c>
      <c r="C50" s="36"/>
      <c r="D50" s="13" t="str">
        <f aca="false">IF(AND(B50="Yes",LEN(C50)&gt;0),COUNTIFS($A$5:A50,A50,$B$5:B50,"Yes",$C$5:C50,"?*"),"")</f>
        <v/>
      </c>
      <c r="E50" s="13" t="str">
        <f aca="false">IF(D50="","",A50&amp;"|"&amp;D50)</f>
        <v/>
      </c>
    </row>
    <row r="51" customFormat="false" ht="15" hidden="false" customHeight="false" outlineLevel="0" collapsed="false">
      <c r="A51" s="13" t="s">
        <v>224</v>
      </c>
      <c r="B51" s="14" t="s">
        <v>97</v>
      </c>
      <c r="C51" s="36"/>
      <c r="D51" s="13" t="str">
        <f aca="false">IF(AND(B51="Yes",LEN(C51)&gt;0),COUNTIFS($A$5:A51,A51,$B$5:B51,"Yes",$C$5:C51,"?*"),"")</f>
        <v/>
      </c>
      <c r="E51" s="13" t="str">
        <f aca="false">IF(D51="","",A51&amp;"|"&amp;D51)</f>
        <v/>
      </c>
    </row>
    <row r="52" customFormat="false" ht="15" hidden="false" customHeight="false" outlineLevel="0" collapsed="false">
      <c r="A52" s="13" t="s">
        <v>224</v>
      </c>
      <c r="B52" s="14" t="s">
        <v>97</v>
      </c>
      <c r="C52" s="36"/>
      <c r="D52" s="13" t="str">
        <f aca="false">IF(AND(B52="Yes",LEN(C52)&gt;0),COUNTIFS($A$5:A52,A52,$B$5:B52,"Yes",$C$5:C52,"?*"),"")</f>
        <v/>
      </c>
      <c r="E52" s="13" t="str">
        <f aca="false">IF(D52="","",A52&amp;"|"&amp;D52)</f>
        <v/>
      </c>
    </row>
    <row r="53" customFormat="false" ht="15" hidden="false" customHeight="false" outlineLevel="0" collapsed="false">
      <c r="A53" s="13" t="s">
        <v>224</v>
      </c>
      <c r="B53" s="14" t="s">
        <v>97</v>
      </c>
      <c r="C53" s="36"/>
      <c r="D53" s="13" t="str">
        <f aca="false">IF(AND(B53="Yes",LEN(C53)&gt;0),COUNTIFS($A$5:A53,A53,$B$5:B53,"Yes",$C$5:C53,"?*"),"")</f>
        <v/>
      </c>
      <c r="E53" s="13" t="str">
        <f aca="false">IF(D53="","",A53&amp;"|"&amp;D53)</f>
        <v/>
      </c>
    </row>
    <row r="54" customFormat="false" ht="15" hidden="false" customHeight="false" outlineLevel="0" collapsed="false">
      <c r="A54" s="13" t="s">
        <v>256</v>
      </c>
      <c r="B54" s="14" t="s">
        <v>91</v>
      </c>
      <c r="C54" s="41" t="str">
        <f aca="false">"This proposal is valid for "&amp;'Job Info'!$B$43&amp;" days from the proposal date."</f>
        <v>This proposal is valid for 30 days from the proposal date.</v>
      </c>
      <c r="D54" s="13" t="n">
        <f aca="false">IF(AND(B54="Yes",LEN(C54)&gt;0),COUNTIFS($A$5:A54,A54,$B$5:B54,"Yes",$C$5:C54,"?*"),"")</f>
        <v>1</v>
      </c>
      <c r="E54" s="13" t="str">
        <f aca="false">IF(D54="","",A54&amp;"|"&amp;D54)</f>
        <v>Qualification|1</v>
      </c>
    </row>
    <row r="55" customFormat="false" ht="23.85" hidden="false" customHeight="false" outlineLevel="0" collapsed="false">
      <c r="A55" s="13" t="s">
        <v>256</v>
      </c>
      <c r="B55" s="14" t="s">
        <v>91</v>
      </c>
      <c r="C55" s="41" t="str">
        <f aca="false">"Pricing is based on an executed contract and approved submittals by "&amp;IF('Job Info'!$B$45="","[date TBD]",TEXT('Job Info'!$B$45,"mmmm d, yyyy"))&amp;", and substantial completion by "&amp;IF('Job Info'!$B$46="","[date TBD]",TEXT('Job Info'!$B$46,"mmmm d, yyyy"))&amp;". If the schedule moves past these dates, Four Corners may revise pricing."</f>
        <v>Pricing is based on an executed contract and approved submittals by [date TBD], and substantial completion by [date TBD]. If the schedule moves past these dates, Four Corners may revise pricing.</v>
      </c>
      <c r="D55" s="13" t="n">
        <f aca="false">IF(AND(B55="Yes",LEN(C55)&gt;0),COUNTIFS($A$5:A55,A55,$B$5:B55,"Yes",$C$5:C55,"?*"),"")</f>
        <v>2</v>
      </c>
      <c r="E55" s="13" t="str">
        <f aca="false">IF(D55="","",A55&amp;"|"&amp;D55)</f>
        <v>Qualification|2</v>
      </c>
    </row>
    <row r="56" customFormat="false" ht="23.85" hidden="false" customHeight="false" outlineLevel="0" collapsed="false">
      <c r="A56" s="13" t="s">
        <v>256</v>
      </c>
      <c r="B56" s="14" t="s">
        <v>91</v>
      </c>
      <c r="C56" s="41" t="str">
        <f aca="false">"Material pricing reflects current market conditions. If a material cost goes up more than "&amp;TEXT('Job Info'!$B$44,"0%")&amp;" from proposal pricing before procurement, Four Corners will submit the increase to the GC with supporting documentation before ordering."</f>
        <v>Material pricing reflects current market conditions. If a material cost goes up more than 3% from proposal pricing before procurement, Four Corners will submit the increase to the GC with supporting documentation before ordering.</v>
      </c>
      <c r="D56" s="13" t="n">
        <f aca="false">IF(AND(B56="Yes",LEN(C56)&gt;0),COUNTIFS($A$5:A56,A56,$B$5:B56,"Yes",$C$5:C56,"?*"),"")</f>
        <v>3</v>
      </c>
      <c r="E56" s="13" t="str">
        <f aca="false">IF(D56="","",A56&amp;"|"&amp;D56)</f>
        <v>Qualification|3</v>
      </c>
    </row>
    <row r="57" customFormat="false" ht="23.85" hidden="false" customHeight="false" outlineLevel="0" collapsed="false">
      <c r="A57" s="13" t="s">
        <v>256</v>
      </c>
      <c r="B57" s="14" t="s">
        <v>91</v>
      </c>
      <c r="C57" s="36" t="s">
        <v>257</v>
      </c>
      <c r="D57" s="13" t="n">
        <f aca="false">IF(AND(B57="Yes",LEN(C57)&gt;0),COUNTIFS($A$5:A57,A57,$B$5:B57,"Yes",$C$5:C57,"?*"),"")</f>
        <v>4</v>
      </c>
      <c r="E57" s="13" t="str">
        <f aca="false">IF(D57="","",A57&amp;"|"&amp;D57)</f>
        <v>Qualification|4</v>
      </c>
    </row>
    <row r="58" customFormat="false" ht="15" hidden="false" customHeight="false" outlineLevel="0" collapsed="false">
      <c r="A58" s="13" t="s">
        <v>256</v>
      </c>
      <c r="B58" s="14" t="s">
        <v>91</v>
      </c>
      <c r="C58" s="41" t="str">
        <f aca="false">"Payment terms: "&amp;'Job Info'!$B$47&amp;". Retainage may not exceed "&amp;TEXT('Job Info'!$B$48,"0%")&amp;" and is released at substantial completion of our scope."</f>
        <v>Payment terms: Monthly progress billing, Net 30 from invoice date. Retainage may not exceed 5% and is released at substantial completion of our scope.</v>
      </c>
      <c r="D58" s="13" t="n">
        <f aca="false">IF(AND(B58="Yes",LEN(C58)&gt;0),COUNTIFS($A$5:A58,A58,$B$5:B58,"Yes",$C$5:C58,"?*"),"")</f>
        <v>5</v>
      </c>
      <c r="E58" s="13" t="str">
        <f aca="false">IF(D58="","",A58&amp;"|"&amp;D58)</f>
        <v>Qualification|5</v>
      </c>
    </row>
    <row r="59" customFormat="false" ht="15" hidden="false" customHeight="false" outlineLevel="0" collapsed="false">
      <c r="A59" s="13" t="s">
        <v>256</v>
      </c>
      <c r="B59" s="14" t="s">
        <v>91</v>
      </c>
      <c r="C59" s="36" t="s">
        <v>258</v>
      </c>
      <c r="D59" s="13" t="n">
        <f aca="false">IF(AND(B59="Yes",LEN(C59)&gt;0),COUNTIFS($A$5:A59,A59,$B$5:B59,"Yes",$C$5:C59,"?*"),"")</f>
        <v>6</v>
      </c>
      <c r="E59" s="13" t="str">
        <f aca="false">IF(D59="","",A59&amp;"|"&amp;D59)</f>
        <v>Qualification|6</v>
      </c>
    </row>
    <row r="60" customFormat="false" ht="15" hidden="false" customHeight="false" outlineLevel="0" collapsed="false">
      <c r="A60" s="13" t="s">
        <v>256</v>
      </c>
      <c r="B60" s="14" t="s">
        <v>91</v>
      </c>
      <c r="C60" s="36" t="s">
        <v>259</v>
      </c>
      <c r="D60" s="13" t="n">
        <f aca="false">IF(AND(B60="Yes",LEN(C60)&gt;0),COUNTIFS($A$5:A60,A60,$B$5:B60,"Yes",$C$5:C60,"?*"),"")</f>
        <v>7</v>
      </c>
      <c r="E60" s="13" t="str">
        <f aca="false">IF(D60="","",A60&amp;"|"&amp;D60)</f>
        <v>Qualification|7</v>
      </c>
    </row>
    <row r="61" customFormat="false" ht="15" hidden="false" customHeight="false" outlineLevel="0" collapsed="false">
      <c r="A61" s="13" t="s">
        <v>256</v>
      </c>
      <c r="B61" s="14" t="s">
        <v>91</v>
      </c>
      <c r="C61" s="36" t="s">
        <v>260</v>
      </c>
      <c r="D61" s="13" t="n">
        <f aca="false">IF(AND(B61="Yes",LEN(C61)&gt;0),COUNTIFS($A$5:A61,A61,$B$5:B61,"Yes",$C$5:C61,"?*"),"")</f>
        <v>8</v>
      </c>
      <c r="E61" s="13" t="str">
        <f aca="false">IF(D61="","",A61&amp;"|"&amp;D61)</f>
        <v>Qualification|8</v>
      </c>
    </row>
    <row r="62" customFormat="false" ht="15" hidden="false" customHeight="false" outlineLevel="0" collapsed="false">
      <c r="A62" s="13" t="s">
        <v>256</v>
      </c>
      <c r="B62" s="14" t="s">
        <v>91</v>
      </c>
      <c r="C62" s="36" t="s">
        <v>261</v>
      </c>
      <c r="D62" s="13" t="n">
        <f aca="false">IF(AND(B62="Yes",LEN(C62)&gt;0),COUNTIFS($A$5:A62,A62,$B$5:B62,"Yes",$C$5:C62,"?*"),"")</f>
        <v>9</v>
      </c>
      <c r="E62" s="13" t="str">
        <f aca="false">IF(D62="","",A62&amp;"|"&amp;D62)</f>
        <v>Qualification|9</v>
      </c>
    </row>
    <row r="63" customFormat="false" ht="15" hidden="false" customHeight="false" outlineLevel="0" collapsed="false">
      <c r="A63" s="13" t="s">
        <v>256</v>
      </c>
      <c r="B63" s="14" t="s">
        <v>91</v>
      </c>
      <c r="C63" s="41" t="str">
        <f aca="false">"Pricing includes "&amp;'Job Info'!$B$49&amp;" mobilization(s) per building or phase for each scope. Extra mobilizations caused by others will be billed at "&amp;TEXT('Job Info'!$B$50,"$#,##0")&amp;" per trip."</f>
        <v>Pricing includes 2 mobilization(s) per building or phase for each scope. Extra mobilizations caused by others will be billed at $350 per trip.</v>
      </c>
      <c r="D63" s="13" t="n">
        <f aca="false">IF(AND(B63="Yes",LEN(C63)&gt;0),COUNTIFS($A$5:A63,A63,$B$5:B63,"Yes",$C$5:C63,"?*"),"")</f>
        <v>10</v>
      </c>
      <c r="E63" s="13" t="str">
        <f aca="false">IF(D63="","",A63&amp;"|"&amp;D63)</f>
        <v>Qualification|10</v>
      </c>
    </row>
    <row r="64" customFormat="false" ht="15" hidden="false" customHeight="false" outlineLevel="0" collapsed="false">
      <c r="A64" s="13" t="s">
        <v>256</v>
      </c>
      <c r="B64" s="14" t="s">
        <v>91</v>
      </c>
      <c r="C64" s="36" t="s">
        <v>262</v>
      </c>
      <c r="D64" s="13" t="n">
        <f aca="false">IF(AND(B64="Yes",LEN(C64)&gt;0),COUNTIFS($A$5:A64,A64,$B$5:B64,"Yes",$C$5:C64,"?*"),"")</f>
        <v>11</v>
      </c>
      <c r="E64" s="13" t="str">
        <f aca="false">IF(D64="","",A64&amp;"|"&amp;D64)</f>
        <v>Qualification|11</v>
      </c>
    </row>
    <row r="65" customFormat="false" ht="15" hidden="false" customHeight="false" outlineLevel="0" collapsed="false">
      <c r="A65" s="13" t="s">
        <v>256</v>
      </c>
      <c r="B65" s="14" t="s">
        <v>91</v>
      </c>
      <c r="C65" s="36" t="s">
        <v>263</v>
      </c>
      <c r="D65" s="13" t="n">
        <f aca="false">IF(AND(B65="Yes",LEN(C65)&gt;0),COUNTIFS($A$5:A65,A65,$B$5:B65,"Yes",$C$5:C65,"?*"),"")</f>
        <v>12</v>
      </c>
      <c r="E65" s="13" t="str">
        <f aca="false">IF(D65="","",A65&amp;"|"&amp;D65)</f>
        <v>Qualification|12</v>
      </c>
    </row>
    <row r="66" customFormat="false" ht="23.85" hidden="false" customHeight="false" outlineLevel="0" collapsed="false">
      <c r="A66" s="13" t="s">
        <v>256</v>
      </c>
      <c r="B66" s="14" t="s">
        <v>91</v>
      </c>
      <c r="C66" s="36" t="s">
        <v>264</v>
      </c>
      <c r="D66" s="13" t="n">
        <f aca="false">IF(AND(B66="Yes",LEN(C66)&gt;0),COUNTIFS($A$5:A66,A66,$B$5:B66,"Yes",$C$5:C66,"?*"),"")</f>
        <v>13</v>
      </c>
      <c r="E66" s="13" t="str">
        <f aca="false">IF(D66="","",A66&amp;"|"&amp;D66)</f>
        <v>Qualification|13</v>
      </c>
    </row>
    <row r="67" customFormat="false" ht="15" hidden="false" customHeight="false" outlineLevel="0" collapsed="false">
      <c r="A67" s="13" t="s">
        <v>256</v>
      </c>
      <c r="B67" s="14" t="s">
        <v>91</v>
      </c>
      <c r="C67" s="36" t="s">
        <v>265</v>
      </c>
      <c r="D67" s="13" t="n">
        <f aca="false">IF(AND(B67="Yes",LEN(C67)&gt;0),COUNTIFS($A$5:A67,A67,$B$5:B67,"Yes",$C$5:C67,"?*"),"")</f>
        <v>14</v>
      </c>
      <c r="E67" s="13" t="str">
        <f aca="false">IF(D67="","",A67&amp;"|"&amp;D67)</f>
        <v>Qualification|14</v>
      </c>
    </row>
    <row r="68" customFormat="false" ht="15" hidden="false" customHeight="false" outlineLevel="0" collapsed="false">
      <c r="A68" s="13" t="s">
        <v>256</v>
      </c>
      <c r="B68" s="14" t="s">
        <v>91</v>
      </c>
      <c r="C68" s="36" t="s">
        <v>266</v>
      </c>
      <c r="D68" s="13" t="n">
        <f aca="false">IF(AND(B68="Yes",LEN(C68)&gt;0),COUNTIFS($A$5:A68,A68,$B$5:B68,"Yes",$C$5:C68,"?*"),"")</f>
        <v>15</v>
      </c>
      <c r="E68" s="13" t="str">
        <f aca="false">IF(D68="","",A68&amp;"|"&amp;D68)</f>
        <v>Qualification|15</v>
      </c>
    </row>
    <row r="69" customFormat="false" ht="15" hidden="false" customHeight="false" outlineLevel="0" collapsed="false">
      <c r="A69" s="13" t="s">
        <v>256</v>
      </c>
      <c r="B69" s="14" t="s">
        <v>91</v>
      </c>
      <c r="C69" s="36" t="s">
        <v>267</v>
      </c>
      <c r="D69" s="13" t="n">
        <f aca="false">IF(AND(B69="Yes",LEN(C69)&gt;0),COUNTIFS($A$5:A69,A69,$B$5:B69,"Yes",$C$5:C69,"?*"),"")</f>
        <v>16</v>
      </c>
      <c r="E69" s="13" t="str">
        <f aca="false">IF(D69="","",A69&amp;"|"&amp;D69)</f>
        <v>Qualification|16</v>
      </c>
    </row>
    <row r="70" customFormat="false" ht="15" hidden="false" customHeight="false" outlineLevel="0" collapsed="false">
      <c r="A70" s="13" t="s">
        <v>256</v>
      </c>
      <c r="B70" s="14" t="s">
        <v>91</v>
      </c>
      <c r="C70" s="36" t="s">
        <v>268</v>
      </c>
      <c r="D70" s="13" t="n">
        <f aca="false">IF(AND(B70="Yes",LEN(C70)&gt;0),COUNTIFS($A$5:A70,A70,$B$5:B70,"Yes",$C$5:C70,"?*"),"")</f>
        <v>17</v>
      </c>
      <c r="E70" s="13" t="str">
        <f aca="false">IF(D70="","",A70&amp;"|"&amp;D70)</f>
        <v>Qualification|17</v>
      </c>
    </row>
    <row r="71" customFormat="false" ht="15" hidden="false" customHeight="false" outlineLevel="0" collapsed="false">
      <c r="A71" s="13" t="s">
        <v>256</v>
      </c>
      <c r="B71" s="14" t="s">
        <v>91</v>
      </c>
      <c r="C71" s="36" t="s">
        <v>269</v>
      </c>
      <c r="D71" s="13" t="n">
        <f aca="false">IF(AND(B71="Yes",LEN(C71)&gt;0),COUNTIFS($A$5:A71,A71,$B$5:B71,"Yes",$C$5:C71,"?*"),"")</f>
        <v>18</v>
      </c>
      <c r="E71" s="13" t="str">
        <f aca="false">IF(D71="","",A71&amp;"|"&amp;D71)</f>
        <v>Qualification|18</v>
      </c>
    </row>
    <row r="72" customFormat="false" ht="15" hidden="false" customHeight="false" outlineLevel="0" collapsed="false">
      <c r="A72" s="13" t="s">
        <v>256</v>
      </c>
      <c r="B72" s="14" t="s">
        <v>91</v>
      </c>
      <c r="C72" s="36" t="s">
        <v>270</v>
      </c>
      <c r="D72" s="13" t="n">
        <f aca="false">IF(AND(B72="Yes",LEN(C72)&gt;0),COUNTIFS($A$5:A72,A72,$B$5:B72,"Yes",$C$5:C72,"?*"),"")</f>
        <v>19</v>
      </c>
      <c r="E72" s="13" t="str">
        <f aca="false">IF(D72="","",A72&amp;"|"&amp;D72)</f>
        <v>Qualification|19</v>
      </c>
    </row>
    <row r="73" customFormat="false" ht="23.85" hidden="false" customHeight="false" outlineLevel="0" collapsed="false">
      <c r="A73" s="13" t="s">
        <v>256</v>
      </c>
      <c r="B73" s="14" t="s">
        <v>91</v>
      </c>
      <c r="C73" s="36" t="s">
        <v>271</v>
      </c>
      <c r="D73" s="13" t="n">
        <f aca="false">IF(AND(B73="Yes",LEN(C73)&gt;0),COUNTIFS($A$5:A73,A73,$B$5:B73,"Yes",$C$5:C73,"?*"),"")</f>
        <v>20</v>
      </c>
      <c r="E73" s="13" t="str">
        <f aca="false">IF(D73="","",A73&amp;"|"&amp;D73)</f>
        <v>Qualification|20</v>
      </c>
    </row>
    <row r="74" customFormat="false" ht="15" hidden="false" customHeight="false" outlineLevel="0" collapsed="false">
      <c r="A74" s="13" t="s">
        <v>256</v>
      </c>
      <c r="B74" s="14" t="s">
        <v>97</v>
      </c>
      <c r="C74" s="36"/>
      <c r="D74" s="13" t="str">
        <f aca="false">IF(AND(B74="Yes",LEN(C74)&gt;0),COUNTIFS($A$5:A74,A74,$B$5:B74,"Yes",$C$5:C74,"?*"),"")</f>
        <v/>
      </c>
      <c r="E74" s="13" t="str">
        <f aca="false">IF(D74="","",A74&amp;"|"&amp;D74)</f>
        <v/>
      </c>
    </row>
    <row r="75" customFormat="false" ht="15" hidden="false" customHeight="false" outlineLevel="0" collapsed="false">
      <c r="A75" s="13" t="s">
        <v>256</v>
      </c>
      <c r="B75" s="14" t="s">
        <v>97</v>
      </c>
      <c r="C75" s="36"/>
      <c r="D75" s="13" t="str">
        <f aca="false">IF(AND(B75="Yes",LEN(C75)&gt;0),COUNTIFS($A$5:A75,A75,$B$5:B75,"Yes",$C$5:C75,"?*"),"")</f>
        <v/>
      </c>
      <c r="E75" s="13" t="str">
        <f aca="false">IF(D75="","",A75&amp;"|"&amp;D75)</f>
        <v/>
      </c>
    </row>
    <row r="76" customFormat="false" ht="15" hidden="false" customHeight="false" outlineLevel="0" collapsed="false">
      <c r="A76" s="13" t="s">
        <v>256</v>
      </c>
      <c r="B76" s="14" t="s">
        <v>97</v>
      </c>
      <c r="C76" s="36"/>
      <c r="D76" s="13" t="str">
        <f aca="false">IF(AND(B76="Yes",LEN(C76)&gt;0),COUNTIFS($A$5:A76,A76,$B$5:B76,"Yes",$C$5:C76,"?*"),"")</f>
        <v/>
      </c>
      <c r="E76" s="13" t="str">
        <f aca="false">IF(D76="","",A76&amp;"|"&amp;D76)</f>
        <v/>
      </c>
    </row>
    <row r="77" customFormat="false" ht="15" hidden="false" customHeight="false" outlineLevel="0" collapsed="false">
      <c r="A77" s="13" t="s">
        <v>256</v>
      </c>
      <c r="B77" s="14" t="s">
        <v>97</v>
      </c>
      <c r="C77" s="36"/>
      <c r="D77" s="13" t="str">
        <f aca="false">IF(AND(B77="Yes",LEN(C77)&gt;0),COUNTIFS($A$5:A77,A77,$B$5:B77,"Yes",$C$5:C77,"?*"),"")</f>
        <v/>
      </c>
      <c r="E77" s="13" t="str">
        <f aca="false">IF(D77="","",A77&amp;"|"&amp;D77)</f>
        <v/>
      </c>
    </row>
    <row r="78" customFormat="false" ht="23.85" hidden="false" customHeight="false" outlineLevel="0" collapsed="false">
      <c r="A78" s="13" t="s">
        <v>272</v>
      </c>
      <c r="B78" s="14" t="s">
        <v>91</v>
      </c>
      <c r="C78" s="36" t="s">
        <v>273</v>
      </c>
      <c r="D78" s="13" t="n">
        <f aca="false">IF(AND(B78="Yes",LEN(C78)&gt;0),COUNTIFS($A$5:A78,A78,$B$5:B78,"Yes",$C$5:C78,"?*"),"")</f>
        <v>1</v>
      </c>
      <c r="E78" s="13" t="str">
        <f aca="false">IF(D78="","",A78&amp;"|"&amp;D78)</f>
        <v>Term|1</v>
      </c>
    </row>
    <row r="79" customFormat="false" ht="15" hidden="false" customHeight="false" outlineLevel="0" collapsed="false">
      <c r="A79" s="13" t="s">
        <v>272</v>
      </c>
      <c r="B79" s="14" t="s">
        <v>91</v>
      </c>
      <c r="C79" s="36" t="s">
        <v>274</v>
      </c>
      <c r="D79" s="13" t="n">
        <f aca="false">IF(AND(B79="Yes",LEN(C79)&gt;0),COUNTIFS($A$5:A79,A79,$B$5:B79,"Yes",$C$5:C79,"?*"),"")</f>
        <v>2</v>
      </c>
      <c r="E79" s="13" t="str">
        <f aca="false">IF(D79="","",A79&amp;"|"&amp;D79)</f>
        <v>Term|2</v>
      </c>
    </row>
    <row r="80" customFormat="false" ht="15" hidden="false" customHeight="false" outlineLevel="0" collapsed="false">
      <c r="A80" s="13" t="s">
        <v>272</v>
      </c>
      <c r="B80" s="14" t="s">
        <v>91</v>
      </c>
      <c r="C80" s="36" t="s">
        <v>275</v>
      </c>
      <c r="D80" s="13" t="n">
        <f aca="false">IF(AND(B80="Yes",LEN(C80)&gt;0),COUNTIFS($A$5:A80,A80,$B$5:B80,"Yes",$C$5:C80,"?*"),"")</f>
        <v>3</v>
      </c>
      <c r="E80" s="13" t="str">
        <f aca="false">IF(D80="","",A80&amp;"|"&amp;D80)</f>
        <v>Term|3</v>
      </c>
    </row>
    <row r="81" customFormat="false" ht="15" hidden="false" customHeight="false" outlineLevel="0" collapsed="false">
      <c r="A81" s="13" t="s">
        <v>272</v>
      </c>
      <c r="B81" s="14" t="s">
        <v>91</v>
      </c>
      <c r="C81" s="36" t="s">
        <v>276</v>
      </c>
      <c r="D81" s="13" t="n">
        <f aca="false">IF(AND(B81="Yes",LEN(C81)&gt;0),COUNTIFS($A$5:A81,A81,$B$5:B81,"Yes",$C$5:C81,"?*"),"")</f>
        <v>4</v>
      </c>
      <c r="E81" s="13" t="str">
        <f aca="false">IF(D81="","",A81&amp;"|"&amp;D81)</f>
        <v>Term|4</v>
      </c>
    </row>
    <row r="82" customFormat="false" ht="15" hidden="false" customHeight="false" outlineLevel="0" collapsed="false">
      <c r="A82" s="13" t="s">
        <v>272</v>
      </c>
      <c r="B82" s="14" t="s">
        <v>91</v>
      </c>
      <c r="C82" s="36" t="s">
        <v>277</v>
      </c>
      <c r="D82" s="13" t="n">
        <f aca="false">IF(AND(B82="Yes",LEN(C82)&gt;0),COUNTIFS($A$5:A82,A82,$B$5:B82,"Yes",$C$5:C82,"?*"),"")</f>
        <v>5</v>
      </c>
      <c r="E82" s="13" t="str">
        <f aca="false">IF(D82="","",A82&amp;"|"&amp;D82)</f>
        <v>Term|5</v>
      </c>
    </row>
    <row r="83" customFormat="false" ht="15" hidden="false" customHeight="false" outlineLevel="0" collapsed="false">
      <c r="A83" s="13" t="s">
        <v>272</v>
      </c>
      <c r="B83" s="14" t="s">
        <v>91</v>
      </c>
      <c r="C83" s="36" t="s">
        <v>278</v>
      </c>
      <c r="D83" s="13" t="n">
        <f aca="false">IF(AND(B83="Yes",LEN(C83)&gt;0),COUNTIFS($A$5:A83,A83,$B$5:B83,"Yes",$C$5:C83,"?*"),"")</f>
        <v>6</v>
      </c>
      <c r="E83" s="13" t="str">
        <f aca="false">IF(D83="","",A83&amp;"|"&amp;D83)</f>
        <v>Term|6</v>
      </c>
    </row>
    <row r="84" customFormat="false" ht="15" hidden="false" customHeight="false" outlineLevel="0" collapsed="false">
      <c r="A84" s="13" t="s">
        <v>272</v>
      </c>
      <c r="B84" s="14" t="s">
        <v>91</v>
      </c>
      <c r="C84" s="36" t="s">
        <v>279</v>
      </c>
      <c r="D84" s="13" t="n">
        <f aca="false">IF(AND(B84="Yes",LEN(C84)&gt;0),COUNTIFS($A$5:A84,A84,$B$5:B84,"Yes",$C$5:C84,"?*"),"")</f>
        <v>7</v>
      </c>
      <c r="E84" s="13" t="str">
        <f aca="false">IF(D84="","",A84&amp;"|"&amp;D84)</f>
        <v>Term|7</v>
      </c>
    </row>
    <row r="85" customFormat="false" ht="15" hidden="false" customHeight="false" outlineLevel="0" collapsed="false">
      <c r="A85" s="13" t="s">
        <v>272</v>
      </c>
      <c r="B85" s="14" t="s">
        <v>97</v>
      </c>
      <c r="C85" s="36"/>
      <c r="D85" s="13" t="str">
        <f aca="false">IF(AND(B85="Yes",LEN(C85)&gt;0),COUNTIFS($A$5:A85,A85,$B$5:B85,"Yes",$C$5:C85,"?*"),"")</f>
        <v/>
      </c>
      <c r="E85" s="13" t="str">
        <f aca="false">IF(D85="","",A85&amp;"|"&amp;D85)</f>
        <v/>
      </c>
    </row>
    <row r="86" customFormat="false" ht="15" hidden="false" customHeight="false" outlineLevel="0" collapsed="false">
      <c r="A86" s="13" t="s">
        <v>272</v>
      </c>
      <c r="B86" s="14" t="s">
        <v>97</v>
      </c>
      <c r="C86" s="36"/>
      <c r="D86" s="13" t="str">
        <f aca="false">IF(AND(B86="Yes",LEN(C86)&gt;0),COUNTIFS($A$5:A86,A86,$B$5:B86,"Yes",$C$5:C86,"?*"),"")</f>
        <v/>
      </c>
      <c r="E86" s="13" t="str">
        <f aca="false">IF(D86="","",A86&amp;"|"&amp;D86)</f>
        <v/>
      </c>
    </row>
    <row r="87" customFormat="false" ht="15" hidden="false" customHeight="false" outlineLevel="0" collapsed="false">
      <c r="A87" s="13" t="s">
        <v>272</v>
      </c>
      <c r="B87" s="14" t="s">
        <v>97</v>
      </c>
      <c r="C87" s="36"/>
      <c r="D87" s="13" t="str">
        <f aca="false">IF(AND(B87="Yes",LEN(C87)&gt;0),COUNTIFS($A$5:A87,A87,$B$5:B87,"Yes",$C$5:C87,"?*"),"")</f>
        <v/>
      </c>
      <c r="E87" s="13" t="str">
        <f aca="false">IF(D87="","",A87&amp;"|"&amp;D87)</f>
        <v/>
      </c>
    </row>
    <row r="88" customFormat="false" ht="15" hidden="false" customHeight="false" outlineLevel="0" collapsed="false">
      <c r="A88" s="13" t="s">
        <v>272</v>
      </c>
      <c r="B88" s="14" t="s">
        <v>97</v>
      </c>
      <c r="C88" s="36"/>
      <c r="D88" s="13" t="str">
        <f aca="false">IF(AND(B88="Yes",LEN(C88)&gt;0),COUNTIFS($A$5:A88,A88,$B$5:B88,"Yes",$C$5:C88,"?*"),"")</f>
        <v/>
      </c>
      <c r="E88" s="13" t="str">
        <f aca="false">IF(D88="","",A88&amp;"|"&amp;D88)</f>
        <v/>
      </c>
    </row>
  </sheetData>
  <dataValidations count="2">
    <dataValidation allowBlank="true" errorStyle="stop" operator="between" showDropDown="false" showErrorMessage="false" showInputMessage="false" sqref="B5:B88" type="list">
      <formula1>Lists!$F$2:$F$3</formula1>
      <formula2>0</formula2>
    </dataValidation>
    <dataValidation allowBlank="true" errorStyle="stop" operator="between" showDropDown="false" showErrorMessage="false" showInputMessage="false" sqref="A5:A88" type="list">
      <formula1>"Inclusion,Exclusion,Qualification,Term"</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F1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16"/>
    <col collapsed="false" customWidth="true" hidden="false" outlineLevel="0" max="3" min="3" style="0" width="30"/>
    <col collapsed="false" customWidth="true" hidden="false" outlineLevel="0" max="4" min="4" style="0" width="14"/>
    <col collapsed="false" customWidth="true" hidden="false" outlineLevel="0" max="5" min="5" style="0" width="16"/>
    <col collapsed="false" customWidth="true" hidden="false" outlineLevel="0" max="6" min="6" style="0" width="18"/>
  </cols>
  <sheetData>
    <row r="1" customFormat="false" ht="22.05" hidden="false" customHeight="false" outlineLevel="0" collapsed="false">
      <c r="A1" s="42" t="str">
        <f aca="false">'Job Info'!$B$5</f>
        <v>Four Corners Building Supply</v>
      </c>
      <c r="B1" s="42"/>
      <c r="C1" s="42"/>
      <c r="D1" s="42"/>
      <c r="E1" s="42"/>
      <c r="F1" s="42"/>
    </row>
    <row r="2" customFormat="false" ht="15" hidden="false" customHeight="false" outlineLevel="0" collapsed="false">
      <c r="A2" s="43" t="str">
        <f aca="false">'Job Info'!$B$6&amp;"  |  "&amp;'Job Info'!$B$7&amp;"  |  "&amp;'Job Info'!$B$8&amp;"  |  "&amp;'Job Info'!$B$9</f>
        <v>4349 Corporate Road  |  North Charleston, SC 29405  |  (843) 970-3812  |  www.buildfcbs.com</v>
      </c>
      <c r="B2" s="43"/>
      <c r="C2" s="43"/>
      <c r="D2" s="43"/>
      <c r="E2" s="43"/>
      <c r="F2" s="43"/>
    </row>
    <row r="3" customFormat="false" ht="15" hidden="false" customHeight="false" outlineLevel="0" collapsed="false">
      <c r="A3" s="44"/>
      <c r="B3" s="44"/>
      <c r="C3" s="44"/>
      <c r="D3" s="44"/>
      <c r="E3" s="44"/>
      <c r="F3" s="44"/>
    </row>
    <row r="4" customFormat="false" ht="15" hidden="false" customHeight="false" outlineLevel="0" collapsed="false">
      <c r="A4" s="1"/>
      <c r="B4" s="1"/>
      <c r="C4" s="1"/>
      <c r="D4" s="1"/>
      <c r="E4" s="1"/>
      <c r="F4" s="1"/>
    </row>
    <row r="5" customFormat="false" ht="19.7" hidden="false" customHeight="false" outlineLevel="0" collapsed="false">
      <c r="A5" s="45" t="s">
        <v>280</v>
      </c>
      <c r="B5" s="45"/>
      <c r="C5" s="45"/>
      <c r="D5" s="45"/>
      <c r="E5" s="45"/>
      <c r="F5" s="45"/>
    </row>
    <row r="6" customFormat="false" ht="15" hidden="false" customHeight="false" outlineLevel="0" collapsed="false">
      <c r="A6" s="1"/>
      <c r="B6" s="1"/>
      <c r="C6" s="1"/>
      <c r="D6" s="1"/>
      <c r="E6" s="1"/>
      <c r="F6" s="1"/>
    </row>
    <row r="7" customFormat="false" ht="15" hidden="false" customHeight="false" outlineLevel="0" collapsed="false">
      <c r="A7" s="46" t="s">
        <v>281</v>
      </c>
      <c r="B7" s="47" t="str">
        <f aca="false">'Job Info'!$B$12&amp;""</f>
        <v/>
      </c>
      <c r="C7" s="47"/>
      <c r="D7" s="5" t="s">
        <v>282</v>
      </c>
      <c r="E7" s="48" t="str">
        <f aca="false">IF('Job Info'!$B$27="","",'Job Info'!$B$27)</f>
        <v/>
      </c>
      <c r="F7" s="48"/>
    </row>
    <row r="8" customFormat="false" ht="15" hidden="false" customHeight="false" outlineLevel="0" collapsed="false">
      <c r="A8" s="46" t="s">
        <v>283</v>
      </c>
      <c r="B8" s="47" t="str">
        <f aca="false">'Job Info'!$B$13&amp;""</f>
        <v/>
      </c>
      <c r="C8" s="47"/>
      <c r="D8" s="5" t="s">
        <v>284</v>
      </c>
      <c r="E8" s="49" t="str">
        <f aca="false">'Job Info'!$B$28&amp;IF('Job Info'!$B$29&amp;""="0",""," Rev "&amp;'Job Info'!$B$29)</f>
        <v/>
      </c>
      <c r="F8" s="49"/>
    </row>
    <row r="9" customFormat="false" ht="15" hidden="false" customHeight="false" outlineLevel="0" collapsed="false">
      <c r="A9" s="46" t="s">
        <v>285</v>
      </c>
      <c r="B9" s="47" t="str">
        <f aca="false">'Job Info'!$B$14&amp;""</f>
        <v/>
      </c>
      <c r="C9" s="47"/>
      <c r="D9" s="5" t="s">
        <v>286</v>
      </c>
      <c r="E9" s="49" t="str">
        <f aca="false">'Job Info'!$B$32&amp;""</f>
        <v/>
      </c>
      <c r="F9" s="49"/>
    </row>
    <row r="10" customFormat="false" ht="15" hidden="false" customHeight="false" outlineLevel="0" collapsed="false">
      <c r="A10" s="46"/>
      <c r="B10" s="47" t="str">
        <f aca="false">'Job Info'!$B$15&amp;""</f>
        <v/>
      </c>
      <c r="C10" s="47"/>
      <c r="D10" s="5" t="s">
        <v>287</v>
      </c>
      <c r="E10" s="49" t="str">
        <f aca="false">'Job Info'!$B$33&amp;""</f>
        <v/>
      </c>
      <c r="F10" s="49"/>
    </row>
    <row r="11" customFormat="false" ht="15" hidden="false" customHeight="false" outlineLevel="0" collapsed="false">
      <c r="A11" s="46" t="s">
        <v>287</v>
      </c>
      <c r="B11" s="47" t="str">
        <f aca="false">'Job Info'!$B$16&amp;""</f>
        <v/>
      </c>
      <c r="C11" s="47"/>
      <c r="D11" s="5" t="s">
        <v>288</v>
      </c>
      <c r="E11" s="49" t="str">
        <f aca="false">'Job Info'!$B$34&amp;""</f>
        <v/>
      </c>
      <c r="F11" s="49"/>
    </row>
    <row r="12" customFormat="false" ht="15" hidden="false" customHeight="false" outlineLevel="0" collapsed="false">
      <c r="A12" s="1"/>
      <c r="B12" s="1"/>
      <c r="C12" s="1"/>
      <c r="D12" s="1"/>
      <c r="E12" s="1"/>
      <c r="F12" s="1"/>
    </row>
    <row r="13" customFormat="false" ht="15" hidden="false" customHeight="true" outlineLevel="0" collapsed="false">
      <c r="A13" s="28" t="s">
        <v>289</v>
      </c>
      <c r="B13" s="28"/>
      <c r="C13" s="28"/>
      <c r="D13" s="28" t="s">
        <v>290</v>
      </c>
      <c r="E13" s="28" t="s">
        <v>291</v>
      </c>
      <c r="F13" s="28"/>
    </row>
    <row r="14" customFormat="false" ht="27.75" hidden="false" customHeight="true" outlineLevel="0" collapsed="false">
      <c r="A14" s="50" t="str">
        <f aca="false">'Job Info'!$B$20&amp;""</f>
        <v/>
      </c>
      <c r="B14" s="50"/>
      <c r="C14" s="50"/>
      <c r="D14" s="51" t="str">
        <f aca="false">'Job Info'!$B$21&amp;""</f>
        <v/>
      </c>
      <c r="E14" s="52" t="str">
        <f aca="false">'Job Info'!$B$22&amp;IF('Job Info'!$B$23="","",", "&amp;'Job Info'!$B$23)</f>
        <v/>
      </c>
      <c r="F14" s="52"/>
    </row>
    <row r="15" customFormat="false" ht="15" hidden="false" customHeight="false" outlineLevel="0" collapsed="false">
      <c r="A15" s="1"/>
      <c r="B15" s="1"/>
      <c r="C15" s="1"/>
      <c r="D15" s="1"/>
      <c r="E15" s="1"/>
      <c r="F15" s="1"/>
    </row>
    <row r="16" customFormat="false" ht="15" hidden="false" customHeight="true" outlineLevel="0" collapsed="false">
      <c r="A16" s="28" t="s">
        <v>292</v>
      </c>
      <c r="B16" s="28"/>
      <c r="C16" s="28"/>
      <c r="D16" s="28"/>
      <c r="E16" s="28"/>
      <c r="F16" s="28" t="s">
        <v>293</v>
      </c>
    </row>
    <row r="17" customFormat="false" ht="15" hidden="false" customHeight="false" outlineLevel="0" collapsed="false">
      <c r="A17" s="1"/>
      <c r="B17" s="47" t="str">
        <f aca="false">IF(1&lt;=Lists!$J$2,INDEX(Lists!$B$2:$B$26,MATCH(1,Lists!$D$2:$D$26,0)),IF(1=Lists!$J$2+1,"Subtotal",IF(1=Lists!$J$2+2,Lists!$J$6,IF(1=Lists!$J$2+3,"BASE BID TOTAL",""))))</f>
        <v>06 20 00 Interior Trim / Finish Carpentry</v>
      </c>
      <c r="C17" s="47"/>
      <c r="D17" s="47"/>
      <c r="E17" s="47"/>
      <c r="F17" s="34" t="n">
        <f aca="false">IF(1&lt;=Lists!$J$2,INDEX(Lists!$C$2:$C$26,MATCH(1,Lists!$D$2:$D$26,0)),IF(1=Lists!$J$2+1,Lists!$J$3,IF(1=Lists!$J$2+2,Lists!$J$4,IF(1=Lists!$J$2+3,Lists!$J$5,""))))</f>
        <v>3269.74264705882</v>
      </c>
    </row>
    <row r="18" customFormat="false" ht="15" hidden="false" customHeight="false" outlineLevel="0" collapsed="false">
      <c r="A18" s="1"/>
      <c r="B18" s="47" t="str">
        <f aca="false">IF(2&lt;=Lists!$J$2,INDEX(Lists!$B$2:$B$26,MATCH(2,Lists!$D$2:$D$26,0)),IF(2=Lists!$J$2+1,"Subtotal",IF(2=Lists!$J$2+2,Lists!$J$6,IF(2=Lists!$J$2+3,"BASE BID TOTAL",""))))</f>
        <v>08 17 43 Interior Pre-Hung Doors</v>
      </c>
      <c r="C18" s="47"/>
      <c r="D18" s="47"/>
      <c r="E18" s="47"/>
      <c r="F18" s="34" t="n">
        <f aca="false">IF(2&lt;=Lists!$J$2,INDEX(Lists!$C$2:$C$26,MATCH(2,Lists!$D$2:$D$26,0)),IF(2=Lists!$J$2+1,Lists!$J$3,IF(2=Lists!$J$2+2,Lists!$J$4,IF(2=Lists!$J$2+3,Lists!$J$5,""))))</f>
        <v>2695.18382352941</v>
      </c>
    </row>
    <row r="19" customFormat="false" ht="15" hidden="false" customHeight="false" outlineLevel="0" collapsed="false">
      <c r="A19" s="1"/>
      <c r="B19" s="47" t="str">
        <f aca="false">IF(3&lt;=Lists!$J$2,INDEX(Lists!$B$2:$B$26,MATCH(3,Lists!$D$2:$D$26,0)),IF(3=Lists!$J$2+1,"Subtotal",IF(3=Lists!$J$2+2,Lists!$J$6,IF(3=Lists!$J$2+3,"BASE BID TOTAL",""))))</f>
        <v>08 71 00 Door Hardware</v>
      </c>
      <c r="C19" s="47"/>
      <c r="D19" s="47"/>
      <c r="E19" s="47"/>
      <c r="F19" s="34" t="n">
        <f aca="false">IF(3&lt;=Lists!$J$2,INDEX(Lists!$C$2:$C$26,MATCH(3,Lists!$D$2:$D$26,0)),IF(3=Lists!$J$2+1,Lists!$J$3,IF(3=Lists!$J$2+2,Lists!$J$4,IF(3=Lists!$J$2+3,Lists!$J$5,""))))</f>
        <v>363.827205882353</v>
      </c>
    </row>
    <row r="20" customFormat="false" ht="15" hidden="false" customHeight="false" outlineLevel="0" collapsed="false">
      <c r="A20" s="1"/>
      <c r="B20" s="47" t="str">
        <f aca="false">IF(4&lt;=Lists!$J$2,INDEX(Lists!$B$2:$B$26,MATCH(4,Lists!$D$2:$D$26,0)),IF(4=Lists!$J$2+1,"Subtotal",IF(4=Lists!$J$2+2,Lists!$J$6,IF(4=Lists!$J$2+3,"BASE BID TOTAL",""))))</f>
        <v>Subtotal</v>
      </c>
      <c r="C20" s="47"/>
      <c r="D20" s="47"/>
      <c r="E20" s="47"/>
      <c r="F20" s="34" t="n">
        <f aca="false">IF(4&lt;=Lists!$J$2,INDEX(Lists!$C$2:$C$26,MATCH(4,Lists!$D$2:$D$26,0)),IF(4=Lists!$J$2+1,Lists!$J$3,IF(4=Lists!$J$2+2,Lists!$J$4,IF(4=Lists!$J$2+3,Lists!$J$5,""))))</f>
        <v>6328.75367647059</v>
      </c>
    </row>
    <row r="21" customFormat="false" ht="15" hidden="false" customHeight="false" outlineLevel="0" collapsed="false">
      <c r="A21" s="1"/>
      <c r="B21" s="47" t="str">
        <f aca="false">IF(5&lt;=Lists!$J$2,INDEX(Lists!$B$2:$B$26,MATCH(5,Lists!$D$2:$D$26,0)),IF(5=Lists!$J$2+1,"Subtotal",IF(5=Lists!$J$2+2,Lists!$J$6,IF(5=Lists!$J$2+3,"BASE BID TOTAL",""))))</f>
        <v>Payment &amp; Performance Bond - Not Included</v>
      </c>
      <c r="C21" s="47"/>
      <c r="D21" s="47"/>
      <c r="E21" s="47"/>
      <c r="F21" s="34" t="n">
        <f aca="false">IF(5&lt;=Lists!$J$2,INDEX(Lists!$C$2:$C$26,MATCH(5,Lists!$D$2:$D$26,0)),IF(5=Lists!$J$2+1,Lists!$J$3,IF(5=Lists!$J$2+2,Lists!$J$4,IF(5=Lists!$J$2+3,Lists!$J$5,""))))</f>
        <v>0</v>
      </c>
    </row>
    <row r="22" customFormat="false" ht="15" hidden="false" customHeight="false" outlineLevel="0" collapsed="false">
      <c r="A22" s="1"/>
      <c r="B22" s="47" t="str">
        <f aca="false">IF(6&lt;=Lists!$J$2,INDEX(Lists!$B$2:$B$26,MATCH(6,Lists!$D$2:$D$26,0)),IF(6=Lists!$J$2+1,"Subtotal",IF(6=Lists!$J$2+2,Lists!$J$6,IF(6=Lists!$J$2+3,"BASE BID TOTAL",""))))</f>
        <v>BASE BID TOTAL</v>
      </c>
      <c r="C22" s="47"/>
      <c r="D22" s="47"/>
      <c r="E22" s="47"/>
      <c r="F22" s="34" t="n">
        <f aca="false">IF(6&lt;=Lists!$J$2,INDEX(Lists!$C$2:$C$26,MATCH(6,Lists!$D$2:$D$26,0)),IF(6=Lists!$J$2+1,Lists!$J$3,IF(6=Lists!$J$2+2,Lists!$J$4,IF(6=Lists!$J$2+3,Lists!$J$5,""))))</f>
        <v>6328.75367647059</v>
      </c>
    </row>
    <row r="23" customFormat="false" ht="15" hidden="false" customHeight="false" outlineLevel="0" collapsed="false">
      <c r="A23" s="1"/>
      <c r="B23" s="47" t="str">
        <f aca="false">IF(7&lt;=Lists!$J$2,INDEX(Lists!$B$2:$B$26,MATCH(7,Lists!$D$2:$D$26,0)),IF(7=Lists!$J$2+1,"Subtotal",IF(7=Lists!$J$2+2,Lists!$J$6,IF(7=Lists!$J$2+3,"BASE BID TOTAL",""))))</f>
        <v/>
      </c>
      <c r="C23" s="47"/>
      <c r="D23" s="47"/>
      <c r="E23" s="47"/>
      <c r="F23" s="34" t="str">
        <f aca="false">IF(7&lt;=Lists!$J$2,INDEX(Lists!$C$2:$C$26,MATCH(7,Lists!$D$2:$D$26,0)),IF(7=Lists!$J$2+1,Lists!$J$3,IF(7=Lists!$J$2+2,Lists!$J$4,IF(7=Lists!$J$2+3,Lists!$J$5,""))))</f>
        <v/>
      </c>
    </row>
    <row r="24" customFormat="false" ht="15" hidden="false" customHeight="false" outlineLevel="0" collapsed="false">
      <c r="A24" s="1"/>
      <c r="B24" s="47" t="str">
        <f aca="false">IF(8&lt;=Lists!$J$2,INDEX(Lists!$B$2:$B$26,MATCH(8,Lists!$D$2:$D$26,0)),IF(8=Lists!$J$2+1,"Subtotal",IF(8=Lists!$J$2+2,Lists!$J$6,IF(8=Lists!$J$2+3,"BASE BID TOTAL",""))))</f>
        <v/>
      </c>
      <c r="C24" s="47"/>
      <c r="D24" s="47"/>
      <c r="E24" s="47"/>
      <c r="F24" s="34" t="str">
        <f aca="false">IF(8&lt;=Lists!$J$2,INDEX(Lists!$C$2:$C$26,MATCH(8,Lists!$D$2:$D$26,0)),IF(8=Lists!$J$2+1,Lists!$J$3,IF(8=Lists!$J$2+2,Lists!$J$4,IF(8=Lists!$J$2+3,Lists!$J$5,""))))</f>
        <v/>
      </c>
    </row>
    <row r="25" customFormat="false" ht="15" hidden="false" customHeight="false" outlineLevel="0" collapsed="false">
      <c r="A25" s="1"/>
      <c r="B25" s="47" t="str">
        <f aca="false">IF(9&lt;=Lists!$J$2,INDEX(Lists!$B$2:$B$26,MATCH(9,Lists!$D$2:$D$26,0)),IF(9=Lists!$J$2+1,"Subtotal",IF(9=Lists!$J$2+2,Lists!$J$6,IF(9=Lists!$J$2+3,"BASE BID TOTAL",""))))</f>
        <v/>
      </c>
      <c r="C25" s="47"/>
      <c r="D25" s="47"/>
      <c r="E25" s="47"/>
      <c r="F25" s="34" t="str">
        <f aca="false">IF(9&lt;=Lists!$J$2,INDEX(Lists!$C$2:$C$26,MATCH(9,Lists!$D$2:$D$26,0)),IF(9=Lists!$J$2+1,Lists!$J$3,IF(9=Lists!$J$2+2,Lists!$J$4,IF(9=Lists!$J$2+3,Lists!$J$5,""))))</f>
        <v/>
      </c>
    </row>
    <row r="26" customFormat="false" ht="15" hidden="false" customHeight="false" outlineLevel="0" collapsed="false">
      <c r="A26" s="1"/>
      <c r="B26" s="47" t="str">
        <f aca="false">IF(10&lt;=Lists!$J$2,INDEX(Lists!$B$2:$B$26,MATCH(10,Lists!$D$2:$D$26,0)),IF(10=Lists!$J$2+1,"Subtotal",IF(10=Lists!$J$2+2,Lists!$J$6,IF(10=Lists!$J$2+3,"BASE BID TOTAL",""))))</f>
        <v/>
      </c>
      <c r="C26" s="47"/>
      <c r="D26" s="47"/>
      <c r="E26" s="47"/>
      <c r="F26" s="34" t="str">
        <f aca="false">IF(10&lt;=Lists!$J$2,INDEX(Lists!$C$2:$C$26,MATCH(10,Lists!$D$2:$D$26,0)),IF(10=Lists!$J$2+1,Lists!$J$3,IF(10=Lists!$J$2+2,Lists!$J$4,IF(10=Lists!$J$2+3,Lists!$J$5,""))))</f>
        <v/>
      </c>
    </row>
    <row r="27" customFormat="false" ht="15" hidden="false" customHeight="false" outlineLevel="0" collapsed="false">
      <c r="A27" s="1"/>
      <c r="B27" s="47" t="str">
        <f aca="false">IF(11&lt;=Lists!$J$2,INDEX(Lists!$B$2:$B$26,MATCH(11,Lists!$D$2:$D$26,0)),IF(11=Lists!$J$2+1,"Subtotal",IF(11=Lists!$J$2+2,Lists!$J$6,IF(11=Lists!$J$2+3,"BASE BID TOTAL",""))))</f>
        <v/>
      </c>
      <c r="C27" s="47"/>
      <c r="D27" s="47"/>
      <c r="E27" s="47"/>
      <c r="F27" s="34" t="str">
        <f aca="false">IF(11&lt;=Lists!$J$2,INDEX(Lists!$C$2:$C$26,MATCH(11,Lists!$D$2:$D$26,0)),IF(11=Lists!$J$2+1,Lists!$J$3,IF(11=Lists!$J$2+2,Lists!$J$4,IF(11=Lists!$J$2+3,Lists!$J$5,""))))</f>
        <v/>
      </c>
    </row>
    <row r="28" customFormat="false" ht="15" hidden="false" customHeight="false" outlineLevel="0" collapsed="false">
      <c r="A28" s="1"/>
      <c r="B28" s="47" t="str">
        <f aca="false">IF(12&lt;=Lists!$J$2,INDEX(Lists!$B$2:$B$26,MATCH(12,Lists!$D$2:$D$26,0)),IF(12=Lists!$J$2+1,"Subtotal",IF(12=Lists!$J$2+2,Lists!$J$6,IF(12=Lists!$J$2+3,"BASE BID TOTAL",""))))</f>
        <v/>
      </c>
      <c r="C28" s="47"/>
      <c r="D28" s="47"/>
      <c r="E28" s="47"/>
      <c r="F28" s="34" t="str">
        <f aca="false">IF(12&lt;=Lists!$J$2,INDEX(Lists!$C$2:$C$26,MATCH(12,Lists!$D$2:$D$26,0)),IF(12=Lists!$J$2+1,Lists!$J$3,IF(12=Lists!$J$2+2,Lists!$J$4,IF(12=Lists!$J$2+3,Lists!$J$5,""))))</f>
        <v/>
      </c>
    </row>
    <row r="29" customFormat="false" ht="15" hidden="false" customHeight="false" outlineLevel="0" collapsed="false">
      <c r="A29" s="1"/>
      <c r="B29" s="47" t="str">
        <f aca="false">IF(13&lt;=Lists!$J$2,INDEX(Lists!$B$2:$B$26,MATCH(13,Lists!$D$2:$D$26,0)),IF(13=Lists!$J$2+1,"Subtotal",IF(13=Lists!$J$2+2,Lists!$J$6,IF(13=Lists!$J$2+3,"BASE BID TOTAL",""))))</f>
        <v/>
      </c>
      <c r="C29" s="47"/>
      <c r="D29" s="47"/>
      <c r="E29" s="47"/>
      <c r="F29" s="34" t="str">
        <f aca="false">IF(13&lt;=Lists!$J$2,INDEX(Lists!$C$2:$C$26,MATCH(13,Lists!$D$2:$D$26,0)),IF(13=Lists!$J$2+1,Lists!$J$3,IF(13=Lists!$J$2+2,Lists!$J$4,IF(13=Lists!$J$2+3,Lists!$J$5,""))))</f>
        <v/>
      </c>
    </row>
    <row r="30" customFormat="false" ht="15" hidden="false" customHeight="false" outlineLevel="0" collapsed="false">
      <c r="A30" s="1"/>
      <c r="B30" s="47" t="str">
        <f aca="false">IF(14&lt;=Lists!$J$2,INDEX(Lists!$B$2:$B$26,MATCH(14,Lists!$D$2:$D$26,0)),IF(14=Lists!$J$2+1,"Subtotal",IF(14=Lists!$J$2+2,Lists!$J$6,IF(14=Lists!$J$2+3,"BASE BID TOTAL",""))))</f>
        <v/>
      </c>
      <c r="C30" s="47"/>
      <c r="D30" s="47"/>
      <c r="E30" s="47"/>
      <c r="F30" s="34" t="str">
        <f aca="false">IF(14&lt;=Lists!$J$2,INDEX(Lists!$C$2:$C$26,MATCH(14,Lists!$D$2:$D$26,0)),IF(14=Lists!$J$2+1,Lists!$J$3,IF(14=Lists!$J$2+2,Lists!$J$4,IF(14=Lists!$J$2+3,Lists!$J$5,""))))</f>
        <v/>
      </c>
    </row>
    <row r="31" customFormat="false" ht="15" hidden="false" customHeight="false" outlineLevel="0" collapsed="false">
      <c r="A31" s="1"/>
      <c r="B31" s="47" t="str">
        <f aca="false">IF(15&lt;=Lists!$J$2,INDEX(Lists!$B$2:$B$26,MATCH(15,Lists!$D$2:$D$26,0)),IF(15=Lists!$J$2+1,"Subtotal",IF(15=Lists!$J$2+2,Lists!$J$6,IF(15=Lists!$J$2+3,"BASE BID TOTAL",""))))</f>
        <v/>
      </c>
      <c r="C31" s="47"/>
      <c r="D31" s="47"/>
      <c r="E31" s="47"/>
      <c r="F31" s="34" t="str">
        <f aca="false">IF(15&lt;=Lists!$J$2,INDEX(Lists!$C$2:$C$26,MATCH(15,Lists!$D$2:$D$26,0)),IF(15=Lists!$J$2+1,Lists!$J$3,IF(15=Lists!$J$2+2,Lists!$J$4,IF(15=Lists!$J$2+3,Lists!$J$5,""))))</f>
        <v/>
      </c>
    </row>
    <row r="32" customFormat="false" ht="15" hidden="false" customHeight="false" outlineLevel="0" collapsed="false">
      <c r="A32" s="1"/>
      <c r="B32" s="47" t="str">
        <f aca="false">IF(16&lt;=Lists!$J$2,INDEX(Lists!$B$2:$B$26,MATCH(16,Lists!$D$2:$D$26,0)),IF(16=Lists!$J$2+1,"Subtotal",IF(16=Lists!$J$2+2,Lists!$J$6,IF(16=Lists!$J$2+3,"BASE BID TOTAL",""))))</f>
        <v/>
      </c>
      <c r="C32" s="47"/>
      <c r="D32" s="47"/>
      <c r="E32" s="47"/>
      <c r="F32" s="34" t="str">
        <f aca="false">IF(16&lt;=Lists!$J$2,INDEX(Lists!$C$2:$C$26,MATCH(16,Lists!$D$2:$D$26,0)),IF(16=Lists!$J$2+1,Lists!$J$3,IF(16=Lists!$J$2+2,Lists!$J$4,IF(16=Lists!$J$2+3,Lists!$J$5,""))))</f>
        <v/>
      </c>
    </row>
    <row r="33" customFormat="false" ht="15" hidden="false" customHeight="false" outlineLevel="0" collapsed="false">
      <c r="A33" s="1"/>
      <c r="B33" s="47" t="str">
        <f aca="false">IF(17&lt;=Lists!$J$2,INDEX(Lists!$B$2:$B$26,MATCH(17,Lists!$D$2:$D$26,0)),IF(17=Lists!$J$2+1,"Subtotal",IF(17=Lists!$J$2+2,Lists!$J$6,IF(17=Lists!$J$2+3,"BASE BID TOTAL",""))))</f>
        <v/>
      </c>
      <c r="C33" s="47"/>
      <c r="D33" s="47"/>
      <c r="E33" s="47"/>
      <c r="F33" s="34" t="str">
        <f aca="false">IF(17&lt;=Lists!$J$2,INDEX(Lists!$C$2:$C$26,MATCH(17,Lists!$D$2:$D$26,0)),IF(17=Lists!$J$2+1,Lists!$J$3,IF(17=Lists!$J$2+2,Lists!$J$4,IF(17=Lists!$J$2+3,Lists!$J$5,""))))</f>
        <v/>
      </c>
    </row>
    <row r="34" customFormat="false" ht="15" hidden="false" customHeight="false" outlineLevel="0" collapsed="false">
      <c r="A34" s="1"/>
      <c r="B34" s="47" t="str">
        <f aca="false">IF(18&lt;=Lists!$J$2,INDEX(Lists!$B$2:$B$26,MATCH(18,Lists!$D$2:$D$26,0)),IF(18=Lists!$J$2+1,"Subtotal",IF(18=Lists!$J$2+2,Lists!$J$6,IF(18=Lists!$J$2+3,"BASE BID TOTAL",""))))</f>
        <v/>
      </c>
      <c r="C34" s="47"/>
      <c r="D34" s="47"/>
      <c r="E34" s="47"/>
      <c r="F34" s="34" t="str">
        <f aca="false">IF(18&lt;=Lists!$J$2,INDEX(Lists!$C$2:$C$26,MATCH(18,Lists!$D$2:$D$26,0)),IF(18=Lists!$J$2+1,Lists!$J$3,IF(18=Lists!$J$2+2,Lists!$J$4,IF(18=Lists!$J$2+3,Lists!$J$5,""))))</f>
        <v/>
      </c>
    </row>
    <row r="35" customFormat="false" ht="15" hidden="false" customHeight="false" outlineLevel="0" collapsed="false">
      <c r="A35" s="1"/>
      <c r="B35" s="47" t="str">
        <f aca="false">IF(19&lt;=Lists!$J$2,INDEX(Lists!$B$2:$B$26,MATCH(19,Lists!$D$2:$D$26,0)),IF(19=Lists!$J$2+1,"Subtotal",IF(19=Lists!$J$2+2,Lists!$J$6,IF(19=Lists!$J$2+3,"BASE BID TOTAL",""))))</f>
        <v/>
      </c>
      <c r="C35" s="47"/>
      <c r="D35" s="47"/>
      <c r="E35" s="47"/>
      <c r="F35" s="34" t="str">
        <f aca="false">IF(19&lt;=Lists!$J$2,INDEX(Lists!$C$2:$C$26,MATCH(19,Lists!$D$2:$D$26,0)),IF(19=Lists!$J$2+1,Lists!$J$3,IF(19=Lists!$J$2+2,Lists!$J$4,IF(19=Lists!$J$2+3,Lists!$J$5,""))))</f>
        <v/>
      </c>
    </row>
    <row r="36" customFormat="false" ht="15" hidden="false" customHeight="false" outlineLevel="0" collapsed="false">
      <c r="A36" s="1"/>
      <c r="B36" s="1"/>
      <c r="C36" s="1"/>
      <c r="D36" s="1"/>
      <c r="E36" s="1"/>
      <c r="F36" s="1"/>
    </row>
    <row r="37" customFormat="false" ht="15" hidden="false" customHeight="false" outlineLevel="0" collapsed="false">
      <c r="A37" s="1"/>
      <c r="B37" s="1"/>
      <c r="C37" s="1"/>
      <c r="D37" s="1"/>
      <c r="E37" s="1"/>
      <c r="F37" s="1"/>
    </row>
    <row r="38" customFormat="false" ht="15" hidden="false" customHeight="true" outlineLevel="0" collapsed="false">
      <c r="A38" s="28" t="s">
        <v>294</v>
      </c>
      <c r="B38" s="28"/>
      <c r="C38" s="28"/>
      <c r="D38" s="28"/>
      <c r="E38" s="28"/>
      <c r="F38" s="28" t="s">
        <v>295</v>
      </c>
    </row>
    <row r="39" customFormat="false" ht="15" hidden="false" customHeight="true" outlineLevel="0" collapsed="false">
      <c r="A39" s="5" t="str">
        <f aca="false">IF(OR(Alternates!$B$5&lt;&gt;"",Alternates!$C$5&lt;&gt;0),Alternates!$A$5,"")</f>
        <v>Alt 1</v>
      </c>
      <c r="B39" s="53" t="str">
        <f aca="false">IF(OR(Alternates!$B$5&lt;&gt;"",Alternates!$C$5&lt;&gt;0),Alternates!$B$5&amp;"","")</f>
        <v>Battery-powered keypad deadbolts at unit entries in lieu of keyed deadbolts (EXAMPLE)</v>
      </c>
      <c r="C39" s="53"/>
      <c r="D39" s="53"/>
      <c r="E39" s="53"/>
      <c r="F39" s="54" t="n">
        <f aca="false">IF(OR(Alternates!$B$5&lt;&gt;"",Alternates!$C$5&lt;&gt;0),Alternates!$C$5,"")</f>
        <v>3564.11764705882</v>
      </c>
    </row>
    <row r="40" customFormat="false" ht="15" hidden="false" customHeight="true" outlineLevel="0" collapsed="false">
      <c r="A40" s="5" t="str">
        <f aca="false">IF(OR(Alternates!$B$6&lt;&gt;"",Alternates!$C$6&lt;&gt;0),Alternates!$A$6,"")</f>
        <v/>
      </c>
      <c r="B40" s="53" t="str">
        <f aca="false">IF(OR(Alternates!$B$6&lt;&gt;"",Alternates!$C$6&lt;&gt;0),Alternates!$B$6&amp;"","")</f>
        <v/>
      </c>
      <c r="C40" s="53"/>
      <c r="D40" s="53"/>
      <c r="E40" s="53"/>
      <c r="F40" s="54" t="str">
        <f aca="false">IF(OR(Alternates!$B$6&lt;&gt;"",Alternates!$C$6&lt;&gt;0),Alternates!$C$6,"")</f>
        <v/>
      </c>
    </row>
    <row r="41" customFormat="false" ht="15" hidden="false" customHeight="true" outlineLevel="0" collapsed="false">
      <c r="A41" s="5" t="str">
        <f aca="false">IF(OR(Alternates!$B$7&lt;&gt;"",Alternates!$C$7&lt;&gt;0),Alternates!$A$7,"")</f>
        <v/>
      </c>
      <c r="B41" s="53" t="str">
        <f aca="false">IF(OR(Alternates!$B$7&lt;&gt;"",Alternates!$C$7&lt;&gt;0),Alternates!$B$7&amp;"","")</f>
        <v/>
      </c>
      <c r="C41" s="53"/>
      <c r="D41" s="53"/>
      <c r="E41" s="53"/>
      <c r="F41" s="54" t="str">
        <f aca="false">IF(OR(Alternates!$B$7&lt;&gt;"",Alternates!$C$7&lt;&gt;0),Alternates!$C$7,"")</f>
        <v/>
      </c>
    </row>
    <row r="42" customFormat="false" ht="15" hidden="false" customHeight="true" outlineLevel="0" collapsed="false">
      <c r="A42" s="5" t="str">
        <f aca="false">IF(OR(Alternates!$B$8&lt;&gt;"",Alternates!$C$8&lt;&gt;0),Alternates!$A$8,"")</f>
        <v/>
      </c>
      <c r="B42" s="53" t="str">
        <f aca="false">IF(OR(Alternates!$B$8&lt;&gt;"",Alternates!$C$8&lt;&gt;0),Alternates!$B$8&amp;"","")</f>
        <v/>
      </c>
      <c r="C42" s="53"/>
      <c r="D42" s="53"/>
      <c r="E42" s="53"/>
      <c r="F42" s="54" t="str">
        <f aca="false">IF(OR(Alternates!$B$8&lt;&gt;"",Alternates!$C$8&lt;&gt;0),Alternates!$C$8,"")</f>
        <v/>
      </c>
    </row>
    <row r="43" customFormat="false" ht="15" hidden="false" customHeight="true" outlineLevel="0" collapsed="false">
      <c r="A43" s="5" t="str">
        <f aca="false">IF(OR(Alternates!$B$9&lt;&gt;"",Alternates!$C$9&lt;&gt;0),Alternates!$A$9,"")</f>
        <v/>
      </c>
      <c r="B43" s="53" t="str">
        <f aca="false">IF(OR(Alternates!$B$9&lt;&gt;"",Alternates!$C$9&lt;&gt;0),Alternates!$B$9&amp;"","")</f>
        <v/>
      </c>
      <c r="C43" s="53"/>
      <c r="D43" s="53"/>
      <c r="E43" s="53"/>
      <c r="F43" s="54" t="str">
        <f aca="false">IF(OR(Alternates!$B$9&lt;&gt;"",Alternates!$C$9&lt;&gt;0),Alternates!$C$9,"")</f>
        <v/>
      </c>
    </row>
    <row r="44" customFormat="false" ht="15" hidden="false" customHeight="true" outlineLevel="0" collapsed="false">
      <c r="A44" s="5" t="str">
        <f aca="false">IF(Alternates!$C$11&lt;&gt;0,Alternates!$A$11,"")</f>
        <v/>
      </c>
      <c r="B44" s="53" t="str">
        <f aca="false">IF(Alternates!$C$11&lt;&gt;0,Alternates!$B$11&amp;"","")</f>
        <v/>
      </c>
      <c r="C44" s="53"/>
      <c r="D44" s="53"/>
      <c r="E44" s="53"/>
      <c r="F44" s="54" t="str">
        <f aca="false">IF(Alternates!$C$11&lt;&gt;0,Alternates!$C$11,"")</f>
        <v/>
      </c>
    </row>
    <row r="45" customFormat="false" ht="15" hidden="false" customHeight="false" outlineLevel="0" collapsed="false">
      <c r="A45" s="1"/>
      <c r="B45" s="1"/>
      <c r="C45" s="1"/>
      <c r="D45" s="1"/>
      <c r="E45" s="1"/>
      <c r="F45" s="1"/>
    </row>
    <row r="46" customFormat="false" ht="42" hidden="false" customHeight="true" outlineLevel="0" collapsed="false">
      <c r="A46" s="53" t="str">
        <f aca="false">'Job Info'!$B$5&amp;" is pleased to present this proposal for "&amp;IF('Job Info'!$B$20="","[Job Name]",'Job Info'!$B$20)&amp;", based on plans and specifications dated "&amp;IF('Job Info'!$B$25="","[date TBD]",TEXT('Job Info'!$B$25,"mmmm d, yyyy"))&amp;", subject to the inclusions, exclusions, qualifications, and terms below. The attached Bid Summary is part of this proposal."</f>
        <v>Four Corners Building Supply is pleased to present this proposal for [Job Name], based on plans and specifications dated [date TBD], subject to the inclusions, exclusions, qualifications, and terms below. The attached Bid Summary is part of this proposal.</v>
      </c>
      <c r="B46" s="53"/>
      <c r="C46" s="53"/>
      <c r="D46" s="53"/>
      <c r="E46" s="53"/>
      <c r="F46" s="53"/>
    </row>
    <row r="47" customFormat="false" ht="15" hidden="false" customHeight="false" outlineLevel="0" collapsed="false">
      <c r="A47" s="1"/>
      <c r="B47" s="1"/>
      <c r="C47" s="1"/>
      <c r="D47" s="1"/>
      <c r="E47" s="1"/>
      <c r="F47" s="1"/>
    </row>
    <row r="48" customFormat="false" ht="15" hidden="false" customHeight="false" outlineLevel="0" collapsed="false">
      <c r="A48" s="55" t="s">
        <v>296</v>
      </c>
      <c r="B48" s="55"/>
      <c r="C48" s="55"/>
      <c r="D48" s="55"/>
      <c r="E48" s="55"/>
      <c r="F48" s="55"/>
    </row>
    <row r="49" customFormat="false" ht="14.25" hidden="false" customHeight="true" outlineLevel="0" collapsed="false">
      <c r="A49" s="56" t="str">
        <f aca="false">IF(ISNA(MATCH("Inclusion|1",'Scope Terms'!$E$5:$E$88,0)),"",1&amp;".")</f>
        <v>1.</v>
      </c>
      <c r="B49" s="53" t="str">
        <f aca="false">IFERROR(INDEX('Scope Terms'!$C$5:$C$88,MATCH("Inclusion|1",'Scope Terms'!$E$5:$E$88,0)),"")</f>
        <v>All items listed in the attached Bid Summary, which is part of this proposal.</v>
      </c>
      <c r="C49" s="53"/>
      <c r="D49" s="53"/>
      <c r="E49" s="53"/>
      <c r="F49" s="53"/>
    </row>
    <row r="50" customFormat="false" ht="14.25" hidden="false" customHeight="true" outlineLevel="0" collapsed="false">
      <c r="A50" s="56" t="str">
        <f aca="false">IF(ISNA(MATCH("Inclusion|2",'Scope Terms'!$E$5:$E$88,0)),"",2&amp;".")</f>
        <v>2.</v>
      </c>
      <c r="B50" s="53" t="str">
        <f aca="false">IFERROR(INDEX('Scope Terms'!$C$5:$C$88,MATCH("Inclusion|2",'Scope Terms'!$E$5:$E$88,0)),"")</f>
        <v>All material pricing includes 9.0% sales tax.</v>
      </c>
      <c r="C50" s="53"/>
      <c r="D50" s="53"/>
      <c r="E50" s="53"/>
      <c r="F50" s="53"/>
    </row>
    <row r="51" customFormat="false" ht="14.25" hidden="false" customHeight="true" outlineLevel="0" collapsed="false">
      <c r="A51" s="56" t="str">
        <f aca="false">IF(ISNA(MATCH("Inclusion|3",'Scope Terms'!$E$5:$E$88,0)),"",3&amp;".")</f>
        <v>3.</v>
      </c>
      <c r="B51" s="53" t="str">
        <f aca="false">IFERROR(INDEX('Scope Terms'!$C$5:$C$88,MATCH("Inclusion|3",'Scope Terms'!$E$5:$E$88,0)),"")</f>
        <v>Pricing is based on plans and specifications dated [date TBD], and addenda: None.</v>
      </c>
      <c r="C51" s="53"/>
      <c r="D51" s="53"/>
      <c r="E51" s="53"/>
      <c r="F51" s="53"/>
    </row>
    <row r="52" customFormat="false" ht="14.25" hidden="false" customHeight="true" outlineLevel="0" collapsed="false">
      <c r="A52" s="56" t="str">
        <f aca="false">IF(ISNA(MATCH("Inclusion|4",'Scope Terms'!$E$5:$E$88,0)),"",4&amp;".")</f>
        <v>4.</v>
      </c>
      <c r="B52" s="53" t="str">
        <f aca="false">IFERROR(INDEX('Scope Terms'!$C$5:$C$88,MATCH("Inclusion|4",'Scope Terms'!$E$5:$E$88,0)),"")</f>
        <v>Delivery of all materials to the jobsite, ground level, at each building.</v>
      </c>
      <c r="C52" s="53"/>
      <c r="D52" s="53"/>
      <c r="E52" s="53"/>
      <c r="F52" s="53"/>
    </row>
    <row r="53" customFormat="false" ht="14.25" hidden="false" customHeight="true" outlineLevel="0" collapsed="false">
      <c r="A53" s="56" t="str">
        <f aca="false">IF(ISNA(MATCH("Inclusion|5",'Scope Terms'!$E$5:$E$88,0)),"",5&amp;".")</f>
        <v>5.</v>
      </c>
      <c r="B53" s="53" t="str">
        <f aca="false">IFERROR(INDEX('Scope Terms'!$C$5:$C$88,MATCH("Inclusion|5",'Scope Terms'!$E$5:$E$88,0)),"")</f>
        <v>Installation labor for every line item that shows a labor price in the Bid Summary.</v>
      </c>
      <c r="C53" s="53"/>
      <c r="D53" s="53"/>
      <c r="E53" s="53"/>
      <c r="F53" s="53"/>
    </row>
    <row r="54" customFormat="false" ht="14.25" hidden="false" customHeight="true" outlineLevel="0" collapsed="false">
      <c r="A54" s="56" t="str">
        <f aca="false">IF(ISNA(MATCH("Inclusion|6",'Scope Terms'!$E$5:$E$88,0)),"",6&amp;".")</f>
        <v>6.</v>
      </c>
      <c r="B54" s="53" t="str">
        <f aca="false">IFERROR(INDEX('Scope Terms'!$C$5:$C$88,MATCH("Inclusion|6",'Scope Terms'!$E$5:$E$88,0)),"")</f>
        <v>Interior and exterior pre-hung doors with hinges installed and bored or prepped for the scheduled hardware.</v>
      </c>
      <c r="C54" s="53"/>
      <c r="D54" s="53"/>
      <c r="E54" s="53"/>
      <c r="F54" s="53"/>
    </row>
    <row r="55" customFormat="false" ht="14.25" hidden="false" customHeight="true" outlineLevel="0" collapsed="false">
      <c r="A55" s="56" t="str">
        <f aca="false">IF(ISNA(MATCH("Inclusion|7",'Scope Terms'!$E$5:$E$88,0)),"",7&amp;".")</f>
        <v>7.</v>
      </c>
      <c r="B55" s="53" t="str">
        <f aca="false">IFERROR(INDEX('Scope Terms'!$C$5:$C$88,MATCH("Inclusion|7",'Scope Terms'!$E$5:$E$88,0)),"")</f>
        <v>Fire-rated doors and frames with factory labels as scheduled.</v>
      </c>
      <c r="C55" s="53"/>
      <c r="D55" s="53"/>
      <c r="E55" s="53"/>
      <c r="F55" s="53"/>
    </row>
    <row r="56" customFormat="false" ht="14.25" hidden="false" customHeight="true" outlineLevel="0" collapsed="false">
      <c r="A56" s="56" t="str">
        <f aca="false">IF(ISNA(MATCH("Inclusion|8",'Scope Terms'!$E$5:$E$88,0)),"",8&amp;".")</f>
        <v>8.</v>
      </c>
      <c r="B56" s="53" t="str">
        <f aca="false">IFERROR(INDEX('Scope Terms'!$C$5:$C$88,MATCH("Inclusion|8",'Scope Terms'!$E$5:$E$88,0)),"")</f>
        <v>Product data, door and hardware schedules, and submittals; warranty and O&amp;M documents at closeout.</v>
      </c>
      <c r="C56" s="53"/>
      <c r="D56" s="53"/>
      <c r="E56" s="53"/>
      <c r="F56" s="53"/>
    </row>
    <row r="57" customFormat="false" ht="14.25" hidden="false" customHeight="true" outlineLevel="0" collapsed="false">
      <c r="A57" s="56" t="str">
        <f aca="false">IF(ISNA(MATCH("Inclusion|9",'Scope Terms'!$E$5:$E$88,0)),"",9&amp;".")</f>
        <v>9.</v>
      </c>
      <c r="B57" s="53" t="str">
        <f aca="false">IFERROR(INDEX('Scope Terms'!$C$5:$C$88,MATCH("Inclusion|9",'Scope Terms'!$E$5:$E$88,0)),"")</f>
        <v>Removal of our packaging and debris to the GC-provided on-site dumpster.</v>
      </c>
      <c r="C57" s="53"/>
      <c r="D57" s="53"/>
      <c r="E57" s="53"/>
      <c r="F57" s="53"/>
    </row>
    <row r="58" customFormat="false" ht="14.25" hidden="false" customHeight="true" outlineLevel="0" collapsed="false">
      <c r="A58" s="56" t="str">
        <f aca="false">IF(ISNA(MATCH("Inclusion|10",'Scope Terms'!$E$5:$E$88,0)),"",10&amp;".")</f>
        <v/>
      </c>
      <c r="B58" s="53" t="str">
        <f aca="false">IFERROR(INDEX('Scope Terms'!$C$5:$C$88,MATCH("Inclusion|10",'Scope Terms'!$E$5:$E$88,0)),"")</f>
        <v/>
      </c>
      <c r="C58" s="53"/>
      <c r="D58" s="53"/>
      <c r="E58" s="53"/>
      <c r="F58" s="53"/>
    </row>
    <row r="59" customFormat="false" ht="14.25" hidden="false" customHeight="true" outlineLevel="0" collapsed="false">
      <c r="A59" s="56" t="str">
        <f aca="false">IF(ISNA(MATCH("Inclusion|11",'Scope Terms'!$E$5:$E$88,0)),"",11&amp;".")</f>
        <v/>
      </c>
      <c r="B59" s="53" t="str">
        <f aca="false">IFERROR(INDEX('Scope Terms'!$C$5:$C$88,MATCH("Inclusion|11",'Scope Terms'!$E$5:$E$88,0)),"")</f>
        <v/>
      </c>
      <c r="C59" s="53"/>
      <c r="D59" s="53"/>
      <c r="E59" s="53"/>
      <c r="F59" s="53"/>
    </row>
    <row r="60" customFormat="false" ht="15" hidden="false" customHeight="false" outlineLevel="0" collapsed="false">
      <c r="A60" s="1"/>
      <c r="B60" s="1"/>
      <c r="C60" s="1"/>
      <c r="D60" s="1"/>
      <c r="E60" s="1"/>
      <c r="F60" s="1"/>
    </row>
    <row r="61" customFormat="false" ht="15" hidden="false" customHeight="false" outlineLevel="0" collapsed="false">
      <c r="A61" s="55" t="s">
        <v>297</v>
      </c>
      <c r="B61" s="55"/>
      <c r="C61" s="55"/>
      <c r="D61" s="55"/>
      <c r="E61" s="55"/>
      <c r="F61" s="55"/>
    </row>
    <row r="62" customFormat="false" ht="14.25" hidden="false" customHeight="true" outlineLevel="0" collapsed="false">
      <c r="A62" s="56" t="str">
        <f aca="false">IF(ISNA(MATCH("Exclusion|1",'Scope Terms'!$E$5:$E$88,0)),"",1&amp;".")</f>
        <v>1.</v>
      </c>
      <c r="B62" s="53" t="str">
        <f aca="false">IFERROR(INDEX('Scope Terms'!$C$5:$C$88,MATCH("Exclusion|1",'Scope Terms'!$E$5:$E$88,0)),"")</f>
        <v>Chair rail and crown moulding in units</v>
      </c>
      <c r="C62" s="53"/>
      <c r="D62" s="53"/>
      <c r="E62" s="53"/>
      <c r="F62" s="53"/>
    </row>
    <row r="63" customFormat="false" ht="14.25" hidden="false" customHeight="true" outlineLevel="0" collapsed="false">
      <c r="A63" s="56" t="str">
        <f aca="false">IF(ISNA(MATCH("Exclusion|2",'Scope Terms'!$E$5:$E$88,0)),"",2&amp;".")</f>
        <v>2.</v>
      </c>
      <c r="B63" s="53" t="str">
        <f aca="false">IFERROR(INDEX('Scope Terms'!$C$5:$C$88,MATCH("Exclusion|2",'Scope Terms'!$E$5:$E$88,0)),"")</f>
        <v>Cased openings and interior columns</v>
      </c>
      <c r="C63" s="53"/>
      <c r="D63" s="53"/>
      <c r="E63" s="53"/>
      <c r="F63" s="53"/>
    </row>
    <row r="64" customFormat="false" ht="14.25" hidden="false" customHeight="true" outlineLevel="0" collapsed="false">
      <c r="A64" s="56" t="str">
        <f aca="false">IF(ISNA(MATCH("Exclusion|3",'Scope Terms'!$E$5:$E$88,0)),"",3&amp;".")</f>
        <v>3.</v>
      </c>
      <c r="B64" s="53" t="str">
        <f aca="false">IFERROR(INDEX('Scope Terms'!$C$5:$C$88,MATCH("Exclusion|3",'Scope Terms'!$E$5:$E$88,0)),"")</f>
        <v>Cabinets, countertops, vanities, desks, and built-ins unless listed</v>
      </c>
      <c r="C64" s="53"/>
      <c r="D64" s="53"/>
      <c r="E64" s="53"/>
      <c r="F64" s="53"/>
    </row>
    <row r="65" customFormat="false" ht="14.25" hidden="false" customHeight="true" outlineLevel="0" collapsed="false">
      <c r="A65" s="56" t="str">
        <f aca="false">IF(ISNA(MATCH("Exclusion|4",'Scope Terms'!$E$5:$E$88,0)),"",4&amp;".")</f>
        <v>4.</v>
      </c>
      <c r="B65" s="53" t="str">
        <f aca="false">IFERROR(INDEX('Scope Terms'!$C$5:$C$88,MATCH("Exclusion|4",'Scope Terms'!$E$5:$E$88,0)),"")</f>
        <v>Stair parts and railings</v>
      </c>
      <c r="C65" s="53"/>
      <c r="D65" s="53"/>
      <c r="E65" s="53"/>
      <c r="F65" s="53"/>
    </row>
    <row r="66" customFormat="false" ht="14.25" hidden="false" customHeight="true" outlineLevel="0" collapsed="false">
      <c r="A66" s="56" t="str">
        <f aca="false">IF(ISNA(MATCH("Exclusion|5",'Scope Terms'!$E$5:$E$88,0)),"",5&amp;".")</f>
        <v>5.</v>
      </c>
      <c r="B66" s="53" t="str">
        <f aca="false">IFERROR(INDEX('Scope Terms'!$C$5:$C$88,MATCH("Exclusion|5",'Scope Terms'!$E$5:$E$88,0)),"")</f>
        <v>Toilet partitions, shower doors, and shower enclosures unless listed</v>
      </c>
      <c r="C66" s="53"/>
      <c r="D66" s="53"/>
      <c r="E66" s="53"/>
      <c r="F66" s="53"/>
    </row>
    <row r="67" customFormat="false" ht="14.25" hidden="false" customHeight="true" outlineLevel="0" collapsed="false">
      <c r="A67" s="56" t="str">
        <f aca="false">IF(ISNA(MATCH("Exclusion|6",'Scope Terms'!$E$5:$E$88,0)),"",6&amp;".")</f>
        <v>6.</v>
      </c>
      <c r="B67" s="53" t="str">
        <f aca="false">IFERROR(INDEX('Scope Terms'!$C$5:$C$88,MATCH("Exclusion|6",'Scope Terms'!$E$5:$E$88,0)),"")</f>
        <v>Garage doors, overhead doors, and draft-stop or attic access doors</v>
      </c>
      <c r="C67" s="53"/>
      <c r="D67" s="53"/>
      <c r="E67" s="53"/>
      <c r="F67" s="53"/>
    </row>
    <row r="68" customFormat="false" ht="14.25" hidden="false" customHeight="true" outlineLevel="0" collapsed="false">
      <c r="A68" s="56" t="str">
        <f aca="false">IF(ISNA(MATCH("Exclusion|7",'Scope Terms'!$E$5:$E$88,0)),"",7&amp;".")</f>
        <v>7.</v>
      </c>
      <c r="B68" s="53" t="str">
        <f aca="false">IFERROR(INDEX('Scope Terms'!$C$5:$C$88,MATCH("Exclusion|7",'Scope Terms'!$E$5:$E$88,0)),"")</f>
        <v>Aluminum storefront, curtain wall, and associated door hardware</v>
      </c>
      <c r="C68" s="53"/>
      <c r="D68" s="53"/>
      <c r="E68" s="53"/>
      <c r="F68" s="53"/>
    </row>
    <row r="69" customFormat="false" ht="14.25" hidden="false" customHeight="true" outlineLevel="0" collapsed="false">
      <c r="A69" s="56" t="str">
        <f aca="false">IF(ISNA(MATCH("Exclusion|8",'Scope Terms'!$E$5:$E$88,0)),"",8&amp;".")</f>
        <v>8.</v>
      </c>
      <c r="B69" s="53" t="str">
        <f aca="false">IFERROR(INDEX('Scope Terms'!$C$5:$C$88,MATCH("Exclusion|8",'Scope Terms'!$E$5:$E$88,0)),"")</f>
        <v>Glass and glazing for hollow metal doors and frames unless listed</v>
      </c>
      <c r="C69" s="53"/>
      <c r="D69" s="53"/>
      <c r="E69" s="53"/>
      <c r="F69" s="53"/>
    </row>
    <row r="70" customFormat="false" ht="14.25" hidden="false" customHeight="true" outlineLevel="0" collapsed="false">
      <c r="A70" s="56" t="str">
        <f aca="false">IF(ISNA(MATCH("Exclusion|9",'Scope Terms'!$E$5:$E$88,0)),"",9&amp;".")</f>
        <v>9.</v>
      </c>
      <c r="B70" s="53" t="str">
        <f aca="false">IFERROR(INDEX('Scope Terms'!$C$5:$C$88,MATCH("Exclusion|9",'Scope Terms'!$E$5:$E$88,0)),"")</f>
        <v>Flashing, sealants, and weatherproofing for windows and doors</v>
      </c>
      <c r="C70" s="53"/>
      <c r="D70" s="53"/>
      <c r="E70" s="53"/>
      <c r="F70" s="53"/>
    </row>
    <row r="71" customFormat="false" ht="14.25" hidden="false" customHeight="true" outlineLevel="0" collapsed="false">
      <c r="A71" s="56" t="str">
        <f aca="false">IF(ISNA(MATCH("Exclusion|10",'Scope Terms'!$E$5:$E$88,0)),"",10&amp;".")</f>
        <v>10.</v>
      </c>
      <c r="B71" s="53" t="str">
        <f aca="false">IFERROR(INDEX('Scope Terms'!$C$5:$C$88,MATCH("Exclusion|10",'Scope Terms'!$E$5:$E$88,0)),"")</f>
        <v>Painting, staining, caulking, and nail-hole fill (trim and doors are primed or prefinished as noted)</v>
      </c>
      <c r="C71" s="53"/>
      <c r="D71" s="53"/>
      <c r="E71" s="53"/>
      <c r="F71" s="53"/>
    </row>
    <row r="72" customFormat="false" ht="14.25" hidden="false" customHeight="true" outlineLevel="0" collapsed="false">
      <c r="A72" s="56" t="str">
        <f aca="false">IF(ISNA(MATCH("Exclusion|11",'Scope Terms'!$E$5:$E$88,0)),"",11&amp;".")</f>
        <v>11.</v>
      </c>
      <c r="B72" s="53" t="str">
        <f aca="false">IFERROR(INDEX('Scope Terms'!$C$5:$C$88,MATCH("Exclusion|11",'Scope Terms'!$E$5:$E$88,0)),"")</f>
        <v>Wood blocking, backing, and framing</v>
      </c>
      <c r="C72" s="53"/>
      <c r="D72" s="53"/>
      <c r="E72" s="53"/>
      <c r="F72" s="53"/>
    </row>
    <row r="73" customFormat="false" ht="14.25" hidden="false" customHeight="true" outlineLevel="0" collapsed="false">
      <c r="A73" s="56" t="str">
        <f aca="false">IF(ISNA(MATCH("Exclusion|12",'Scope Terms'!$E$5:$E$88,0)),"",12&amp;".")</f>
        <v>12.</v>
      </c>
      <c r="B73" s="53" t="str">
        <f aca="false">IFERROR(INDEX('Scope Terms'!$C$5:$C$88,MATCH("Exclusion|12",'Scope Terms'!$E$5:$E$88,0)),"")</f>
        <v>Grouting of hollow metal frames (material and labor)</v>
      </c>
      <c r="C73" s="53"/>
      <c r="D73" s="53"/>
      <c r="E73" s="53"/>
      <c r="F73" s="53"/>
    </row>
    <row r="74" customFormat="false" ht="14.25" hidden="false" customHeight="true" outlineLevel="0" collapsed="false">
      <c r="A74" s="56" t="str">
        <f aca="false">IF(ISNA(MATCH("Exclusion|13",'Scope Terms'!$E$5:$E$88,0)),"",13&amp;".")</f>
        <v>13.</v>
      </c>
      <c r="B74" s="53" t="str">
        <f aca="false">IFERROR(INDEX('Scope Terms'!$C$5:$C$88,MATCH("Exclusion|13",'Scope Terms'!$E$5:$E$88,0)),"")</f>
        <v>Electrified hardware, access control, power supplies, wiring, and low-voltage work (Division 28)</v>
      </c>
      <c r="C74" s="53"/>
      <c r="D74" s="53"/>
      <c r="E74" s="53"/>
      <c r="F74" s="53"/>
    </row>
    <row r="75" customFormat="false" ht="14.25" hidden="false" customHeight="true" outlineLevel="0" collapsed="false">
      <c r="A75" s="56" t="str">
        <f aca="false">IF(ISNA(MATCH("Exclusion|14",'Scope Terms'!$E$5:$E$88,0)),"",14&amp;".")</f>
        <v>14.</v>
      </c>
      <c r="B75" s="53" t="str">
        <f aca="false">IFERROR(INDEX('Scope Terms'!$C$5:$C$88,MATCH("Exclusion|14",'Scope Terms'!$E$5:$E$88,0)),"")</f>
        <v>Final keying, permanent cores, and master key systems unless listed</v>
      </c>
      <c r="C75" s="53"/>
      <c r="D75" s="53"/>
      <c r="E75" s="53"/>
      <c r="F75" s="53"/>
    </row>
    <row r="76" customFormat="false" ht="14.25" hidden="false" customHeight="true" outlineLevel="0" collapsed="false">
      <c r="A76" s="56" t="str">
        <f aca="false">IF(ISNA(MATCH("Exclusion|15",'Scope Terms'!$E$5:$E$88,0)),"",15&amp;".")</f>
        <v>15.</v>
      </c>
      <c r="B76" s="53" t="str">
        <f aca="false">IFERROR(INDEX('Scope Terms'!$C$5:$C$88,MATCH("Exclusion|15",'Scope Terms'!$E$5:$E$88,0)),"")</f>
        <v>Grab bars installed in tile or solid surface (price on request)</v>
      </c>
      <c r="C76" s="53"/>
      <c r="D76" s="53"/>
      <c r="E76" s="53"/>
      <c r="F76" s="53"/>
    </row>
    <row r="77" customFormat="false" ht="14.25" hidden="false" customHeight="true" outlineLevel="0" collapsed="false">
      <c r="A77" s="56" t="str">
        <f aca="false">IF(ISNA(MATCH("Exclusion|16",'Scope Terms'!$E$5:$E$88,0)),"",16&amp;".")</f>
        <v>16.</v>
      </c>
      <c r="B77" s="53" t="str">
        <f aca="false">IFERROR(INDEX('Scope Terms'!$C$5:$C$88,MATCH("Exclusion|16",'Scope Terms'!$E$5:$E$88,0)),"")</f>
        <v>Reclaimed or specialty-species wood trim unless listed</v>
      </c>
      <c r="C77" s="53"/>
      <c r="D77" s="53"/>
      <c r="E77" s="53"/>
      <c r="F77" s="53"/>
    </row>
    <row r="78" customFormat="false" ht="14.25" hidden="false" customHeight="true" outlineLevel="0" collapsed="false">
      <c r="A78" s="56" t="str">
        <f aca="false">IF(ISNA(MATCH("Exclusion|17",'Scope Terms'!$E$5:$E$88,0)),"",17&amp;".")</f>
        <v>17.</v>
      </c>
      <c r="B78" s="53" t="str">
        <f aca="false">IFERROR(INDEX('Scope Terms'!$C$5:$C$88,MATCH("Exclusion|17",'Scope Terms'!$E$5:$E$88,0)),"")</f>
        <v>Hoisting and stocking above ground level unless listed under 01 54 16</v>
      </c>
      <c r="C78" s="53"/>
      <c r="D78" s="53"/>
      <c r="E78" s="53"/>
      <c r="F78" s="53"/>
    </row>
    <row r="79" customFormat="false" ht="14.25" hidden="false" customHeight="true" outlineLevel="0" collapsed="false">
      <c r="A79" s="56" t="str">
        <f aca="false">IF(ISNA(MATCH("Exclusion|18",'Scope Terms'!$E$5:$E$88,0)),"",18&amp;".")</f>
        <v>18.</v>
      </c>
      <c r="B79" s="53" t="str">
        <f aca="false">IFERROR(INDEX('Scope Terms'!$C$5:$C$88,MATCH("Exclusion|18",'Scope Terms'!$E$5:$E$88,0)),"")</f>
        <v>Off-site trash removal and dumpsters</v>
      </c>
      <c r="C79" s="53"/>
      <c r="D79" s="53"/>
      <c r="E79" s="53"/>
      <c r="F79" s="53"/>
    </row>
    <row r="80" customFormat="false" ht="14.25" hidden="false" customHeight="true" outlineLevel="0" collapsed="false">
      <c r="A80" s="56" t="str">
        <f aca="false">IF(ISNA(MATCH("Exclusion|19",'Scope Terms'!$E$5:$E$88,0)),"",19&amp;".")</f>
        <v>19.</v>
      </c>
      <c r="B80" s="53" t="str">
        <f aca="false">IFERROR(INDEX('Scope Terms'!$C$5:$C$88,MATCH("Exclusion|19",'Scope Terms'!$E$5:$E$88,0)),"")</f>
        <v>Composite clean-up participation and clean-up back charges</v>
      </c>
      <c r="C80" s="53"/>
      <c r="D80" s="53"/>
      <c r="E80" s="53"/>
      <c r="F80" s="53"/>
    </row>
    <row r="81" customFormat="false" ht="14.25" hidden="false" customHeight="true" outlineLevel="0" collapsed="false">
      <c r="A81" s="56" t="str">
        <f aca="false">IF(ISNA(MATCH("Exclusion|20",'Scope Terms'!$E$5:$E$88,0)),"",20&amp;".")</f>
        <v>20.</v>
      </c>
      <c r="B81" s="53" t="str">
        <f aca="false">IFERROR(INDEX('Scope Terms'!$C$5:$C$88,MATCH("Exclusion|20",'Scope Terms'!$E$5:$E$88,0)),"")</f>
        <v>OCIP / CCIP insurance programs and related costs</v>
      </c>
      <c r="C81" s="53"/>
      <c r="D81" s="53"/>
      <c r="E81" s="53"/>
      <c r="F81" s="53"/>
    </row>
    <row r="82" customFormat="false" ht="14.25" hidden="false" customHeight="true" outlineLevel="0" collapsed="false">
      <c r="A82" s="56" t="str">
        <f aca="false">IF(ISNA(MATCH("Exclusion|21",'Scope Terms'!$E$5:$E$88,0)),"",21&amp;".")</f>
        <v>21.</v>
      </c>
      <c r="B82" s="53" t="str">
        <f aca="false">IFERROR(INDEX('Scope Terms'!$C$5:$C$88,MATCH("Exclusion|21",'Scope Terms'!$E$5:$E$88,0)),"")</f>
        <v>Payment and performance bonds</v>
      </c>
      <c r="C82" s="53"/>
      <c r="D82" s="53"/>
      <c r="E82" s="53"/>
      <c r="F82" s="53"/>
    </row>
    <row r="83" customFormat="false" ht="14.25" hidden="false" customHeight="true" outlineLevel="0" collapsed="false">
      <c r="A83" s="56" t="str">
        <f aca="false">IF(ISNA(MATCH("Exclusion|22",'Scope Terms'!$E$5:$E$88,0)),"",22&amp;".")</f>
        <v>22.</v>
      </c>
      <c r="B83" s="53" t="str">
        <f aca="false">IFERROR(INDEX('Scope Terms'!$C$5:$C$88,MATCH("Exclusion|22",'Scope Terms'!$E$5:$E$88,0)),"")</f>
        <v>Builder's risk insurance, permits, inspection fees, and testing</v>
      </c>
      <c r="C83" s="53"/>
      <c r="D83" s="53"/>
      <c r="E83" s="53"/>
      <c r="F83" s="53"/>
    </row>
    <row r="84" customFormat="false" ht="14.25" hidden="false" customHeight="true" outlineLevel="0" collapsed="false">
      <c r="A84" s="56" t="str">
        <f aca="false">IF(ISNA(MATCH("Exclusion|23",'Scope Terms'!$E$5:$E$88,0)),"",23&amp;".")</f>
        <v>23.</v>
      </c>
      <c r="B84" s="53" t="str">
        <f aca="false">IFERROR(INDEX('Scope Terms'!$C$5:$C$88,MATCH("Exclusion|23",'Scope Terms'!$E$5:$E$88,0)),"")</f>
        <v>Liquidated and consequential damages</v>
      </c>
      <c r="C84" s="53"/>
      <c r="D84" s="53"/>
      <c r="E84" s="53"/>
      <c r="F84" s="53"/>
    </row>
    <row r="85" customFormat="false" ht="14.25" hidden="false" customHeight="true" outlineLevel="0" collapsed="false">
      <c r="A85" s="56" t="str">
        <f aca="false">IF(ISNA(MATCH("Exclusion|24",'Scope Terms'!$E$5:$E$88,0)),"",24&amp;".")</f>
        <v>24.</v>
      </c>
      <c r="B85" s="53" t="str">
        <f aca="false">IFERROR(INDEX('Scope Terms'!$C$5:$C$88,MATCH("Exclusion|24",'Scope Terms'!$E$5:$E$88,0)),"")</f>
        <v>Prevailing wage / Davis-Bacon labor rates unless stated</v>
      </c>
      <c r="C85" s="53"/>
      <c r="D85" s="53"/>
      <c r="E85" s="53"/>
      <c r="F85" s="53"/>
    </row>
    <row r="86" customFormat="false" ht="14.25" hidden="false" customHeight="true" outlineLevel="0" collapsed="false">
      <c r="A86" s="56" t="str">
        <f aca="false">IF(ISNA(MATCH("Exclusion|25",'Scope Terms'!$E$5:$E$88,0)),"",25&amp;".")</f>
        <v>25.</v>
      </c>
      <c r="B86" s="53" t="str">
        <f aca="false">IFERROR(INDEX('Scope Terms'!$C$5:$C$88,MATCH("Exclusion|25",'Scope Terms'!$E$5:$E$88,0)),"")</f>
        <v>Attic stock and overage material</v>
      </c>
      <c r="C86" s="53"/>
      <c r="D86" s="53"/>
      <c r="E86" s="53"/>
      <c r="F86" s="53"/>
    </row>
    <row r="87" customFormat="false" ht="14.25" hidden="false" customHeight="true" outlineLevel="0" collapsed="false">
      <c r="A87" s="56" t="str">
        <f aca="false">IF(ISNA(MATCH("Exclusion|26",'Scope Terms'!$E$5:$E$88,0)),"",26&amp;".")</f>
        <v>26.</v>
      </c>
      <c r="B87" s="53" t="str">
        <f aca="false">IFERROR(INDEX('Scope Terms'!$C$5:$C$88,MATCH("Exclusion|26",'Scope Terms'!$E$5:$E$88,0)),"")</f>
        <v>Protection of installed work from damage by other trades</v>
      </c>
      <c r="C87" s="53"/>
      <c r="D87" s="53"/>
      <c r="E87" s="53"/>
      <c r="F87" s="53"/>
    </row>
    <row r="88" customFormat="false" ht="14.25" hidden="false" customHeight="true" outlineLevel="0" collapsed="false">
      <c r="A88" s="56" t="str">
        <f aca="false">IF(ISNA(MATCH("Exclusion|27",'Scope Terms'!$E$5:$E$88,0)),"",27&amp;".")</f>
        <v>27.</v>
      </c>
      <c r="B88" s="53" t="str">
        <f aca="false">IFERROR(INDEX('Scope Terms'!$C$5:$C$88,MATCH("Exclusion|27",'Scope Terms'!$E$5:$E$88,0)),"")</f>
        <v>Engineering, delegated design, and sealed shop drawings</v>
      </c>
      <c r="C88" s="53"/>
      <c r="D88" s="53"/>
      <c r="E88" s="53"/>
      <c r="F88" s="53"/>
    </row>
    <row r="89" customFormat="false" ht="14.25" hidden="false" customHeight="true" outlineLevel="0" collapsed="false">
      <c r="A89" s="56" t="str">
        <f aca="false">IF(ISNA(MATCH("Exclusion|28",'Scope Terms'!$E$5:$E$88,0)),"",28&amp;".")</f>
        <v/>
      </c>
      <c r="B89" s="53" t="str">
        <f aca="false">IFERROR(INDEX('Scope Terms'!$C$5:$C$88,MATCH("Exclusion|28",'Scope Terms'!$E$5:$E$88,0)),"")</f>
        <v/>
      </c>
      <c r="C89" s="53"/>
      <c r="D89" s="53"/>
      <c r="E89" s="53"/>
      <c r="F89" s="53"/>
    </row>
    <row r="90" customFormat="false" ht="14.25" hidden="false" customHeight="true" outlineLevel="0" collapsed="false">
      <c r="A90" s="56" t="str">
        <f aca="false">IF(ISNA(MATCH("Exclusion|29",'Scope Terms'!$E$5:$E$88,0)),"",29&amp;".")</f>
        <v/>
      </c>
      <c r="B90" s="53" t="str">
        <f aca="false">IFERROR(INDEX('Scope Terms'!$C$5:$C$88,MATCH("Exclusion|29",'Scope Terms'!$E$5:$E$88,0)),"")</f>
        <v/>
      </c>
      <c r="C90" s="53"/>
      <c r="D90" s="53"/>
      <c r="E90" s="53"/>
      <c r="F90" s="53"/>
    </row>
    <row r="91" customFormat="false" ht="14.25" hidden="false" customHeight="true" outlineLevel="0" collapsed="false">
      <c r="A91" s="56" t="str">
        <f aca="false">IF(ISNA(MATCH("Exclusion|30",'Scope Terms'!$E$5:$E$88,0)),"",30&amp;".")</f>
        <v/>
      </c>
      <c r="B91" s="53" t="str">
        <f aca="false">IFERROR(INDEX('Scope Terms'!$C$5:$C$88,MATCH("Exclusion|30",'Scope Terms'!$E$5:$E$88,0)),"")</f>
        <v/>
      </c>
      <c r="C91" s="53"/>
      <c r="D91" s="53"/>
      <c r="E91" s="53"/>
      <c r="F91" s="53"/>
    </row>
    <row r="92" customFormat="false" ht="14.25" hidden="false" customHeight="true" outlineLevel="0" collapsed="false">
      <c r="A92" s="56" t="str">
        <f aca="false">IF(ISNA(MATCH("Exclusion|31",'Scope Terms'!$E$5:$E$88,0)),"",31&amp;".")</f>
        <v/>
      </c>
      <c r="B92" s="53" t="str">
        <f aca="false">IFERROR(INDEX('Scope Terms'!$C$5:$C$88,MATCH("Exclusion|31",'Scope Terms'!$E$5:$E$88,0)),"")</f>
        <v/>
      </c>
      <c r="C92" s="53"/>
      <c r="D92" s="53"/>
      <c r="E92" s="53"/>
      <c r="F92" s="53"/>
    </row>
    <row r="93" customFormat="false" ht="14.25" hidden="false" customHeight="true" outlineLevel="0" collapsed="false">
      <c r="A93" s="56" t="str">
        <f aca="false">IF(ISNA(MATCH("Exclusion|32",'Scope Terms'!$E$5:$E$88,0)),"",32&amp;".")</f>
        <v/>
      </c>
      <c r="B93" s="53" t="str">
        <f aca="false">IFERROR(INDEX('Scope Terms'!$C$5:$C$88,MATCH("Exclusion|32",'Scope Terms'!$E$5:$E$88,0)),"")</f>
        <v/>
      </c>
      <c r="C93" s="53"/>
      <c r="D93" s="53"/>
      <c r="E93" s="53"/>
      <c r="F93" s="53"/>
    </row>
    <row r="94" customFormat="false" ht="14.25" hidden="false" customHeight="true" outlineLevel="0" collapsed="false">
      <c r="A94" s="56" t="str">
        <f aca="false">IF(ISNA(MATCH("Exclusion|33",'Scope Terms'!$E$5:$E$88,0)),"",33&amp;".")</f>
        <v/>
      </c>
      <c r="B94" s="53" t="str">
        <f aca="false">IFERROR(INDEX('Scope Terms'!$C$5:$C$88,MATCH("Exclusion|33",'Scope Terms'!$E$5:$E$88,0)),"")</f>
        <v/>
      </c>
      <c r="C94" s="53"/>
      <c r="D94" s="53"/>
      <c r="E94" s="53"/>
      <c r="F94" s="53"/>
    </row>
    <row r="95" customFormat="false" ht="14.25" hidden="false" customHeight="true" outlineLevel="0" collapsed="false">
      <c r="A95" s="56" t="str">
        <f aca="false">IF(ISNA(MATCH("Exclusion|34",'Scope Terms'!$E$5:$E$88,0)),"",34&amp;".")</f>
        <v/>
      </c>
      <c r="B95" s="53" t="str">
        <f aca="false">IFERROR(INDEX('Scope Terms'!$C$5:$C$88,MATCH("Exclusion|34",'Scope Terms'!$E$5:$E$88,0)),"")</f>
        <v/>
      </c>
      <c r="C95" s="53"/>
      <c r="D95" s="53"/>
      <c r="E95" s="53"/>
      <c r="F95" s="53"/>
    </row>
    <row r="96" customFormat="false" ht="15" hidden="false" customHeight="false" outlineLevel="0" collapsed="false">
      <c r="A96" s="1"/>
      <c r="B96" s="1"/>
      <c r="C96" s="1"/>
      <c r="D96" s="1"/>
      <c r="E96" s="1"/>
      <c r="F96" s="1"/>
    </row>
    <row r="97" customFormat="false" ht="15" hidden="false" customHeight="false" outlineLevel="0" collapsed="false">
      <c r="A97" s="55" t="s">
        <v>298</v>
      </c>
      <c r="B97" s="55"/>
      <c r="C97" s="55"/>
      <c r="D97" s="55"/>
      <c r="E97" s="55"/>
      <c r="F97" s="55"/>
    </row>
    <row r="98" customFormat="false" ht="27" hidden="false" customHeight="true" outlineLevel="0" collapsed="false">
      <c r="A98" s="56" t="str">
        <f aca="false">IF(ISNA(MATCH("Qualification|1",'Scope Terms'!$E$5:$E$88,0)),"",1&amp;".")</f>
        <v>1.</v>
      </c>
      <c r="B98" s="53" t="str">
        <f aca="false">IFERROR(INDEX('Scope Terms'!$C$5:$C$88,MATCH("Qualification|1",'Scope Terms'!$E$5:$E$88,0)),"")</f>
        <v>This proposal is valid for 30 days from the proposal date.</v>
      </c>
      <c r="C98" s="53"/>
      <c r="D98" s="53"/>
      <c r="E98" s="53"/>
      <c r="F98" s="53"/>
    </row>
    <row r="99" customFormat="false" ht="27" hidden="false" customHeight="true" outlineLevel="0" collapsed="false">
      <c r="A99" s="56" t="str">
        <f aca="false">IF(ISNA(MATCH("Qualification|2",'Scope Terms'!$E$5:$E$88,0)),"",2&amp;".")</f>
        <v>2.</v>
      </c>
      <c r="B99" s="53" t="str">
        <f aca="false">IFERROR(INDEX('Scope Terms'!$C$5:$C$88,MATCH("Qualification|2",'Scope Terms'!$E$5:$E$88,0)),"")</f>
        <v>Pricing is based on an executed contract and approved submittals by [date TBD], and substantial completion by [date TBD]. If the schedule moves past these dates, Four Corners may revise pricing.</v>
      </c>
      <c r="C99" s="53"/>
      <c r="D99" s="53"/>
      <c r="E99" s="53"/>
      <c r="F99" s="53"/>
    </row>
    <row r="100" customFormat="false" ht="27" hidden="false" customHeight="true" outlineLevel="0" collapsed="false">
      <c r="A100" s="56" t="str">
        <f aca="false">IF(ISNA(MATCH("Qualification|3",'Scope Terms'!$E$5:$E$88,0)),"",3&amp;".")</f>
        <v>3.</v>
      </c>
      <c r="B100" s="53" t="str">
        <f aca="false">IFERROR(INDEX('Scope Terms'!$C$5:$C$88,MATCH("Qualification|3",'Scope Terms'!$E$5:$E$88,0)),"")</f>
        <v>Material pricing reflects current market conditions. If a material cost goes up more than 3% from proposal pricing before procurement, Four Corners will submit the increase to the GC with supporting documentation before ordering.</v>
      </c>
      <c r="C100" s="53"/>
      <c r="D100" s="53"/>
      <c r="E100" s="53"/>
      <c r="F100" s="53"/>
    </row>
    <row r="101" customFormat="false" ht="27" hidden="false" customHeight="true" outlineLevel="0" collapsed="false">
      <c r="A101" s="56" t="str">
        <f aca="false">IF(ISNA(MATCH("Qualification|4",'Scope Terms'!$E$5:$E$88,0)),"",4&amp;".")</f>
        <v>4.</v>
      </c>
      <c r="B101" s="53" t="str">
        <f aca="false">IFERROR(INDEX('Scope Terms'!$C$5:$C$88,MATCH("Qualification|4",'Scope Terms'!$E$5:$E$88,0)),"")</f>
        <v>Lead times come from current manufacturer quotes and are confirmed at release. Special-order items need approved submittals and a written release before ordering, and can't be cancelled or returned once released.</v>
      </c>
      <c r="C101" s="53"/>
      <c r="D101" s="53"/>
      <c r="E101" s="53"/>
      <c r="F101" s="53"/>
    </row>
    <row r="102" customFormat="false" ht="14.25" hidden="false" customHeight="true" outlineLevel="0" collapsed="false">
      <c r="A102" s="56" t="str">
        <f aca="false">IF(ISNA(MATCH("Qualification|5",'Scope Terms'!$E$5:$E$88,0)),"",5&amp;".")</f>
        <v>5.</v>
      </c>
      <c r="B102" s="53" t="str">
        <f aca="false">IFERROR(INDEX('Scope Terms'!$C$5:$C$88,MATCH("Qualification|5",'Scope Terms'!$E$5:$E$88,0)),"")</f>
        <v>Payment terms: Monthly progress billing, Net 30 from invoice date. Retainage may not exceed 5% and is released at substantial completion of our scope.</v>
      </c>
      <c r="C102" s="53"/>
      <c r="D102" s="53"/>
      <c r="E102" s="53"/>
      <c r="F102" s="53"/>
    </row>
    <row r="103" customFormat="false" ht="14.25" hidden="false" customHeight="true" outlineLevel="0" collapsed="false">
      <c r="A103" s="56" t="str">
        <f aca="false">IF(ISNA(MATCH("Qualification|6",'Scope Terms'!$E$5:$E$88,0)),"",6&amp;".")</f>
        <v>6.</v>
      </c>
      <c r="B103" s="53" t="str">
        <f aca="false">IFERROR(INDEX('Scope Terms'!$C$5:$C$88,MATCH("Qualification|6",'Scope Terms'!$E$5:$E$88,0)),"")</f>
        <v>GC provides hoisting and material stocking for buildings over four stories, unless hoisting is listed in this proposal.</v>
      </c>
      <c r="C103" s="53"/>
      <c r="D103" s="53"/>
      <c r="E103" s="53"/>
      <c r="F103" s="53"/>
    </row>
    <row r="104" customFormat="false" ht="14.25" hidden="false" customHeight="true" outlineLevel="0" collapsed="false">
      <c r="A104" s="56" t="str">
        <f aca="false">IF(ISNA(MATCH("Qualification|7",'Scope Terms'!$E$5:$E$88,0)),"",7&amp;".")</f>
        <v>7.</v>
      </c>
      <c r="B104" s="53" t="str">
        <f aca="false">IFERROR(INDEX('Scope Terms'!$C$5:$C$88,MATCH("Qualification|7",'Scope Terms'!$E$5:$E$88,0)),"")</f>
        <v>GC provides all-weather access and temporary roads to each building for deliveries.</v>
      </c>
      <c r="C104" s="53"/>
      <c r="D104" s="53"/>
      <c r="E104" s="53"/>
      <c r="F104" s="53"/>
    </row>
    <row r="105" customFormat="false" ht="27" hidden="false" customHeight="true" outlineLevel="0" collapsed="false">
      <c r="A105" s="56" t="str">
        <f aca="false">IF(ISNA(MATCH("Qualification|8",'Scope Terms'!$E$5:$E$88,0)),"",8&amp;".")</f>
        <v>8.</v>
      </c>
      <c r="B105" s="53" t="str">
        <f aca="false">IFERROR(INDEX('Scope Terms'!$C$5:$C$88,MATCH("Qualification|8",'Scope Terms'!$E$5:$E$88,0)),"")</f>
        <v>GC provides secure, dry on-site storage. If on-site storage isn't available, storage charges will apply.</v>
      </c>
      <c r="C105" s="53"/>
      <c r="D105" s="53"/>
      <c r="E105" s="53"/>
      <c r="F105" s="53"/>
    </row>
    <row r="106" customFormat="false" ht="27" hidden="false" customHeight="true" outlineLevel="0" collapsed="false">
      <c r="A106" s="56" t="str">
        <f aca="false">IF(ISNA(MATCH("Qualification|9",'Scope Terms'!$E$5:$E$88,0)),"",9&amp;".")</f>
        <v>9.</v>
      </c>
      <c r="B106" s="53" t="str">
        <f aca="false">IFERROR(INDEX('Scope Terms'!$C$5:$C$88,MATCH("Qualification|9",'Scope Terms'!$E$5:$E$88,0)),"")</f>
        <v>Work follows a mutually agreed construction schedule. Areas must be dried in, and conditioned where specified, before interior trim and doors are installed.</v>
      </c>
      <c r="C106" s="53"/>
      <c r="D106" s="53"/>
      <c r="E106" s="53"/>
      <c r="F106" s="53"/>
    </row>
    <row r="107" customFormat="false" ht="27" hidden="false" customHeight="true" outlineLevel="0" collapsed="false">
      <c r="A107" s="56" t="str">
        <f aca="false">IF(ISNA(MATCH("Qualification|10",'Scope Terms'!$E$5:$E$88,0)),"",10&amp;".")</f>
        <v>10.</v>
      </c>
      <c r="B107" s="53" t="str">
        <f aca="false">IFERROR(INDEX('Scope Terms'!$C$5:$C$88,MATCH("Qualification|10",'Scope Terms'!$E$5:$E$88,0)),"")</f>
        <v>Pricing includes 2 mobilization(s) per building or phase for each scope. Extra mobilizations caused by others will be billed at $350 per trip.</v>
      </c>
      <c r="C107" s="53"/>
      <c r="D107" s="53"/>
      <c r="E107" s="53"/>
      <c r="F107" s="53"/>
    </row>
    <row r="108" customFormat="false" ht="27" hidden="false" customHeight="true" outlineLevel="0" collapsed="false">
      <c r="A108" s="56" t="str">
        <f aca="false">IF(ISNA(MATCH("Qualification|11",'Scope Terms'!$E$5:$E$88,0)),"",11&amp;".")</f>
        <v>11.</v>
      </c>
      <c r="B108" s="53" t="str">
        <f aca="false">IFERROR(INDEX('Scope Terms'!$C$5:$C$88,MATCH("Qualification|11",'Scope Terms'!$E$5:$E$88,0)),"")</f>
        <v>Supervision is provided as needed; it's not full-time on site unless stated.</v>
      </c>
      <c r="C108" s="53"/>
      <c r="D108" s="53"/>
      <c r="E108" s="53"/>
      <c r="F108" s="53"/>
    </row>
    <row r="109" customFormat="false" ht="27" hidden="false" customHeight="true" outlineLevel="0" collapsed="false">
      <c r="A109" s="56" t="str">
        <f aca="false">IF(ISNA(MATCH("Qualification|12",'Scope Terms'!$E$5:$E$88,0)),"",12&amp;".")</f>
        <v>12.</v>
      </c>
      <c r="B109" s="53" t="str">
        <f aca="false">IFERROR(INDEX('Scope Terms'!$C$5:$C$88,MATCH("Qualification|12",'Scope Terms'!$E$5:$E$88,0)),"")</f>
        <v>This is a lump-sum proposal, broken out by section for the GC's convenience. If less than the full scope is awarded, Four Corners may revise pricing.</v>
      </c>
      <c r="C109" s="53"/>
      <c r="D109" s="53"/>
      <c r="E109" s="53"/>
      <c r="F109" s="53"/>
    </row>
    <row r="110" customFormat="false" ht="27" hidden="false" customHeight="true" outlineLevel="0" collapsed="false">
      <c r="A110" s="56" t="str">
        <f aca="false">IF(ISNA(MATCH("Qualification|13",'Scope Terms'!$E$5:$E$88,0)),"",13&amp;".")</f>
        <v>13.</v>
      </c>
      <c r="B110" s="53" t="str">
        <f aca="false">IFERROR(INDEX('Scope Terms'!$C$5:$C$88,MATCH("Qualification|13",'Scope Terms'!$E$5:$E$88,0)),"")</f>
        <v>Quantities are our takeoff from the documents provided and aren't guaranteed. Please review the attached Bid Summary and let us know right away about any discrepancy. Changes in quantity, scope, or product will be priced as a change order.</v>
      </c>
      <c r="C110" s="53"/>
      <c r="D110" s="53"/>
      <c r="E110" s="53"/>
      <c r="F110" s="53"/>
    </row>
    <row r="111" customFormat="false" ht="27" hidden="false" customHeight="true" outlineLevel="0" collapsed="false">
      <c r="A111" s="56" t="str">
        <f aca="false">IF(ISNA(MATCH("Qualification|14",'Scope Terms'!$E$5:$E$88,0)),"",14&amp;".")</f>
        <v>14.</v>
      </c>
      <c r="B111" s="53" t="str">
        <f aca="false">IFERROR(INDEX('Scope Terms'!$C$5:$C$88,MATCH("Qualification|14",'Scope Terms'!$E$5:$E$88,0)),"")</f>
        <v>Where the drawings and specifications conflict, pricing is based on the product described in the attached Bid Summary. Please flag any conflict before award.</v>
      </c>
      <c r="C111" s="53"/>
      <c r="D111" s="53"/>
      <c r="E111" s="53"/>
      <c r="F111" s="53"/>
    </row>
    <row r="112" customFormat="false" ht="14.25" hidden="false" customHeight="true" outlineLevel="0" collapsed="false">
      <c r="A112" s="56" t="str">
        <f aca="false">IF(ISNA(MATCH("Qualification|15",'Scope Terms'!$E$5:$E$88,0)),"",15&amp;".")</f>
        <v>15.</v>
      </c>
      <c r="B112" s="53" t="str">
        <f aca="false">IFERROR(INDEX('Scope Terms'!$C$5:$C$88,MATCH("Qualification|15",'Scope Terms'!$E$5:$E$88,0)),"")</f>
        <v>Fees for third-party payment management or compliance systems (such as Textura or GCPay) are not included.</v>
      </c>
      <c r="C112" s="53"/>
      <c r="D112" s="53"/>
      <c r="E112" s="53"/>
      <c r="F112" s="53"/>
    </row>
    <row r="113" customFormat="false" ht="14.25" hidden="false" customHeight="true" outlineLevel="0" collapsed="false">
      <c r="A113" s="56" t="str">
        <f aca="false">IF(ISNA(MATCH("Qualification|16",'Scope Terms'!$E$5:$E$88,0)),"",16&amp;".")</f>
        <v>16.</v>
      </c>
      <c r="B113" s="53" t="str">
        <f aca="false">IFERROR(INDEX('Scope Terms'!$C$5:$C$88,MATCH("Qualification|16",'Scope Terms'!$E$5:$E$88,0)),"")</f>
        <v>Changes require a written change order signed by both parties before the work proceeds.</v>
      </c>
      <c r="C113" s="53"/>
      <c r="D113" s="53"/>
      <c r="E113" s="53"/>
      <c r="F113" s="53"/>
    </row>
    <row r="114" customFormat="false" ht="14.25" hidden="false" customHeight="true" outlineLevel="0" collapsed="false">
      <c r="A114" s="56" t="str">
        <f aca="false">IF(ISNA(MATCH("Qualification|17",'Scope Terms'!$E$5:$E$88,0)),"",17&amp;".")</f>
        <v>17.</v>
      </c>
      <c r="B114" s="53" t="str">
        <f aca="false">IFERROR(INDEX('Scope Terms'!$C$5:$C$88,MATCH("Qualification|17",'Scope Terms'!$E$5:$E$88,0)),"")</f>
        <v>Back charges won't be accepted without prior written notice and an opportunity to correct.</v>
      </c>
      <c r="C114" s="53"/>
      <c r="D114" s="53"/>
      <c r="E114" s="53"/>
      <c r="F114" s="53"/>
    </row>
    <row r="115" customFormat="false" ht="27" hidden="false" customHeight="true" outlineLevel="0" collapsed="false">
      <c r="A115" s="56" t="str">
        <f aca="false">IF(ISNA(MATCH("Qualification|18",'Scope Terms'!$E$5:$E$88,0)),"",18&amp;".")</f>
        <v>18.</v>
      </c>
      <c r="B115" s="53" t="str">
        <f aca="false">IFERROR(INDEX('Scope Terms'!$C$5:$C$88,MATCH("Qualification|18",'Scope Terms'!$E$5:$E$88,0)),"")</f>
        <v>Repairs to installed work damaged by other trades will be billed as extra work.</v>
      </c>
      <c r="C115" s="53"/>
      <c r="D115" s="53"/>
      <c r="E115" s="53"/>
      <c r="F115" s="53"/>
    </row>
    <row r="116" customFormat="false" ht="27" hidden="false" customHeight="true" outlineLevel="0" collapsed="false">
      <c r="A116" s="56" t="str">
        <f aca="false">IF(ISNA(MATCH("Qualification|19",'Scope Terms'!$E$5:$E$88,0)),"",19&amp;".")</f>
        <v>19.</v>
      </c>
      <c r="B116" s="53" t="str">
        <f aca="false">IFERROR(INDEX('Scope Terms'!$C$5:$C$88,MATCH("Qualification|19",'Scope Terms'!$E$5:$E$88,0)),"")</f>
        <v>Manufacturer warranties apply to all products. Four Corners warrants its installation workmanship for one (1) year from substantial completion.</v>
      </c>
      <c r="C116" s="53"/>
      <c r="D116" s="53"/>
      <c r="E116" s="53"/>
      <c r="F116" s="53"/>
    </row>
    <row r="117" customFormat="false" ht="27" hidden="false" customHeight="true" outlineLevel="0" collapsed="false">
      <c r="A117" s="56" t="str">
        <f aca="false">IF(ISNA(MATCH("Qualification|20",'Scope Terms'!$E$5:$E$88,0)),"",20&amp;".")</f>
        <v>20.</v>
      </c>
      <c r="B117" s="53" t="str">
        <f aca="false">IFERROR(INDEX('Scope Terms'!$C$5:$C$88,MATCH("Qualification|20",'Scope Terms'!$E$5:$E$88,0)),"")</f>
        <v>Four Corners carries standard insurance and will provide a certificate of insurance. Additional insured and waiver of subrogation are provided per a mutually agreed subcontract.</v>
      </c>
      <c r="C117" s="53"/>
      <c r="D117" s="53"/>
      <c r="E117" s="53"/>
      <c r="F117" s="53"/>
    </row>
    <row r="118" customFormat="false" ht="14.25" hidden="false" customHeight="true" outlineLevel="0" collapsed="false">
      <c r="A118" s="56" t="str">
        <f aca="false">IF(ISNA(MATCH("Qualification|21",'Scope Terms'!$E$5:$E$88,0)),"",21&amp;".")</f>
        <v/>
      </c>
      <c r="B118" s="53" t="str">
        <f aca="false">IFERROR(INDEX('Scope Terms'!$C$5:$C$88,MATCH("Qualification|21",'Scope Terms'!$E$5:$E$88,0)),"")</f>
        <v/>
      </c>
      <c r="C118" s="53"/>
      <c r="D118" s="53"/>
      <c r="E118" s="53"/>
      <c r="F118" s="53"/>
    </row>
    <row r="119" customFormat="false" ht="14.25" hidden="false" customHeight="true" outlineLevel="0" collapsed="false">
      <c r="A119" s="56" t="str">
        <f aca="false">IF(ISNA(MATCH("Qualification|22",'Scope Terms'!$E$5:$E$88,0)),"",22&amp;".")</f>
        <v/>
      </c>
      <c r="B119" s="53" t="str">
        <f aca="false">IFERROR(INDEX('Scope Terms'!$C$5:$C$88,MATCH("Qualification|22",'Scope Terms'!$E$5:$E$88,0)),"")</f>
        <v/>
      </c>
      <c r="C119" s="53"/>
      <c r="D119" s="53"/>
      <c r="E119" s="53"/>
      <c r="F119" s="53"/>
    </row>
    <row r="120" customFormat="false" ht="15" hidden="false" customHeight="false" outlineLevel="0" collapsed="false">
      <c r="A120" s="1"/>
      <c r="B120" s="1"/>
      <c r="C120" s="1"/>
      <c r="D120" s="1"/>
      <c r="E120" s="1"/>
      <c r="F120" s="1"/>
    </row>
    <row r="121" customFormat="false" ht="15" hidden="false" customHeight="false" outlineLevel="0" collapsed="false">
      <c r="A121" s="55" t="s">
        <v>299</v>
      </c>
      <c r="B121" s="55"/>
      <c r="C121" s="55"/>
      <c r="D121" s="55"/>
      <c r="E121" s="55"/>
      <c r="F121" s="55"/>
    </row>
    <row r="122" customFormat="false" ht="27" hidden="false" customHeight="true" outlineLevel="0" collapsed="false">
      <c r="A122" s="56" t="str">
        <f aca="false">IF(ISNA(MATCH("Term|1",'Scope Terms'!$E$5:$E$88,0)),"",1&amp;".")</f>
        <v>1.</v>
      </c>
      <c r="B122" s="53" t="str">
        <f aca="false">IFERROR(INDEX('Scope Terms'!$C$5:$C$88,MATCH("Term|1",'Scope Terms'!$E$5:$E$88,0)),"")</f>
        <v>This proposal assumes Four Corners and the Customer can agree on contract terms. If the subcontract contains terms Four Corners can't accept, this proposal is null and void.</v>
      </c>
      <c r="C122" s="53"/>
      <c r="D122" s="53"/>
      <c r="E122" s="53"/>
      <c r="F122" s="53"/>
    </row>
    <row r="123" customFormat="false" ht="14.25" hidden="false" customHeight="true" outlineLevel="0" collapsed="false">
      <c r="A123" s="56" t="str">
        <f aca="false">IF(ISNA(MATCH("Term|2",'Scope Terms'!$E$5:$E$88,0)),"",2&amp;".")</f>
        <v>2.</v>
      </c>
      <c r="B123" s="53" t="str">
        <f aca="false">IFERROR(INDEX('Scope Terms'!$C$5:$C$88,MATCH("Term|2",'Scope Terms'!$E$5:$E$88,0)),"")</f>
        <v>All work is subject to credit approval. Four Corners may decline any project for credit reasons.</v>
      </c>
      <c r="C123" s="53"/>
      <c r="D123" s="53"/>
      <c r="E123" s="53"/>
      <c r="F123" s="53"/>
    </row>
    <row r="124" customFormat="false" ht="27" hidden="false" customHeight="true" outlineLevel="0" collapsed="false">
      <c r="A124" s="56" t="str">
        <f aca="false">IF(ISNA(MATCH("Term|3",'Scope Terms'!$E$5:$E$88,0)),"",3&amp;".")</f>
        <v>3.</v>
      </c>
      <c r="B124" s="53" t="str">
        <f aca="false">IFERROR(INDEX('Scope Terms'!$C$5:$C$88,MATCH("Term|3",'Scope Terms'!$E$5:$E$88,0)),"")</f>
        <v>Customer pays according to the Four Corners credit agreement, unless Four Corners accepts alternate terms in writing.</v>
      </c>
      <c r="C124" s="53"/>
      <c r="D124" s="53"/>
      <c r="E124" s="53"/>
      <c r="F124" s="53"/>
    </row>
    <row r="125" customFormat="false" ht="27" hidden="false" customHeight="true" outlineLevel="0" collapsed="false">
      <c r="A125" s="56" t="str">
        <f aca="false">IF(ISNA(MATCH("Term|4",'Scope Terms'!$E$5:$E$88,0)),"",4&amp;".")</f>
        <v>4.</v>
      </c>
      <c r="B125" s="53" t="str">
        <f aca="false">IFERROR(INDEX('Scope Terms'!$C$5:$C$88,MATCH("Term|4",'Scope Terms'!$E$5:$E$88,0)),"")</f>
        <v>Past-due balances accrue a finance charge of 1.5% per month. Customer is responsible for collection costs and reasonable attorney's fees.</v>
      </c>
      <c r="C125" s="53"/>
      <c r="D125" s="53"/>
      <c r="E125" s="53"/>
      <c r="F125" s="53"/>
    </row>
    <row r="126" customFormat="false" ht="14.25" hidden="false" customHeight="true" outlineLevel="0" collapsed="false">
      <c r="A126" s="56" t="str">
        <f aca="false">IF(ISNA(MATCH("Term|5",'Scope Terms'!$E$5:$E$88,0)),"",5&amp;".")</f>
        <v>5.</v>
      </c>
      <c r="B126" s="53" t="str">
        <f aca="false">IFERROR(INDEX('Scope Terms'!$C$5:$C$88,MATCH("Term|5",'Scope Terms'!$E$5:$E$88,0)),"")</f>
        <v>Customer is responsible for all permits and inspections required by local agencies.</v>
      </c>
      <c r="C126" s="53"/>
      <c r="D126" s="53"/>
      <c r="E126" s="53"/>
      <c r="F126" s="53"/>
    </row>
    <row r="127" customFormat="false" ht="14.25" hidden="false" customHeight="true" outlineLevel="0" collapsed="false">
      <c r="A127" s="56" t="str">
        <f aca="false">IF(ISNA(MATCH("Term|6",'Scope Terms'!$E$5:$E$88,0)),"",6&amp;".")</f>
        <v>6.</v>
      </c>
      <c r="B127" s="53" t="str">
        <f aca="false">IFERROR(INDEX('Scope Terms'!$C$5:$C$88,MATCH("Term|6",'Scope Terms'!$E$5:$E$88,0)),"")</f>
        <v>If work can't start within a reasonable time of the projected start date, Four Corners may revise this proposal.</v>
      </c>
      <c r="C127" s="53"/>
      <c r="D127" s="53"/>
      <c r="E127" s="53"/>
      <c r="F127" s="53"/>
    </row>
    <row r="128" customFormat="false" ht="14.25" hidden="false" customHeight="true" outlineLevel="0" collapsed="false">
      <c r="A128" s="56" t="str">
        <f aca="false">IF(ISNA(MATCH("Term|7",'Scope Terms'!$E$5:$E$88,0)),"",7&amp;".")</f>
        <v>7.</v>
      </c>
      <c r="B128" s="53" t="str">
        <f aca="false">IFERROR(INDEX('Scope Terms'!$C$5:$C$88,MATCH("Term|7",'Scope Terms'!$E$5:$E$88,0)),"")</f>
        <v>Four Corners keeps all lien rights under South Carolina law.</v>
      </c>
      <c r="C128" s="53"/>
      <c r="D128" s="53"/>
      <c r="E128" s="53"/>
      <c r="F128" s="53"/>
    </row>
    <row r="129" customFormat="false" ht="14.25" hidden="false" customHeight="true" outlineLevel="0" collapsed="false">
      <c r="A129" s="56" t="str">
        <f aca="false">IF(ISNA(MATCH("Term|8",'Scope Terms'!$E$5:$E$88,0)),"",8&amp;".")</f>
        <v/>
      </c>
      <c r="B129" s="53" t="str">
        <f aca="false">IFERROR(INDEX('Scope Terms'!$C$5:$C$88,MATCH("Term|8",'Scope Terms'!$E$5:$E$88,0)),"")</f>
        <v/>
      </c>
      <c r="C129" s="53"/>
      <c r="D129" s="53"/>
      <c r="E129" s="53"/>
      <c r="F129" s="53"/>
    </row>
    <row r="130" customFormat="false" ht="14.25" hidden="false" customHeight="true" outlineLevel="0" collapsed="false">
      <c r="A130" s="56" t="str">
        <f aca="false">IF(ISNA(MATCH("Term|9",'Scope Terms'!$E$5:$E$88,0)),"",9&amp;".")</f>
        <v/>
      </c>
      <c r="B130" s="53" t="str">
        <f aca="false">IFERROR(INDEX('Scope Terms'!$C$5:$C$88,MATCH("Term|9",'Scope Terms'!$E$5:$E$88,0)),"")</f>
        <v/>
      </c>
      <c r="C130" s="53"/>
      <c r="D130" s="53"/>
      <c r="E130" s="53"/>
      <c r="F130" s="53"/>
    </row>
    <row r="131" customFormat="false" ht="15" hidden="false" customHeight="false" outlineLevel="0" collapsed="false">
      <c r="A131" s="1"/>
      <c r="B131" s="1"/>
      <c r="C131" s="1"/>
      <c r="D131" s="1"/>
      <c r="E131" s="1"/>
      <c r="F131" s="1"/>
    </row>
    <row r="132" customFormat="false" ht="27.75" hidden="false" customHeight="true" outlineLevel="0" collapsed="false">
      <c r="A132" s="53" t="s">
        <v>300</v>
      </c>
      <c r="B132" s="53"/>
      <c r="C132" s="53"/>
      <c r="D132" s="53"/>
      <c r="E132" s="53"/>
      <c r="F132" s="53"/>
    </row>
    <row r="133" customFormat="false" ht="15" hidden="false" customHeight="false" outlineLevel="0" collapsed="false">
      <c r="A133" s="1"/>
      <c r="B133" s="1"/>
      <c r="C133" s="1"/>
      <c r="D133" s="1"/>
      <c r="E133" s="1"/>
      <c r="F133" s="1"/>
    </row>
    <row r="134" customFormat="false" ht="15" hidden="false" customHeight="true" outlineLevel="0" collapsed="false">
      <c r="A134" s="28" t="s">
        <v>301</v>
      </c>
      <c r="B134" s="28"/>
      <c r="C134" s="28"/>
      <c r="D134" s="28"/>
      <c r="E134" s="28"/>
      <c r="F134" s="28"/>
    </row>
    <row r="135" customFormat="false" ht="27.75" hidden="false" customHeight="true" outlineLevel="0" collapsed="false">
      <c r="A135" s="53" t="s">
        <v>302</v>
      </c>
      <c r="B135" s="53"/>
      <c r="C135" s="53"/>
      <c r="D135" s="53"/>
      <c r="E135" s="53"/>
      <c r="F135" s="53"/>
    </row>
    <row r="136" customFormat="false" ht="15" hidden="false" customHeight="false" outlineLevel="0" collapsed="false">
      <c r="A136" s="1"/>
      <c r="B136" s="1"/>
      <c r="C136" s="1"/>
      <c r="D136" s="1"/>
      <c r="E136" s="1"/>
      <c r="F136" s="1"/>
    </row>
    <row r="137" customFormat="false" ht="21.75" hidden="false" customHeight="true" outlineLevel="0" collapsed="false">
      <c r="A137" s="57" t="str">
        <f aca="false">IF('Job Info'!$B$12="","Customer",'Job Info'!$B$12)</f>
        <v>Customer</v>
      </c>
      <c r="B137" s="57"/>
      <c r="C137" s="57"/>
      <c r="D137" s="57" t="s">
        <v>53</v>
      </c>
      <c r="E137" s="57"/>
      <c r="F137" s="57"/>
    </row>
    <row r="138" customFormat="false" ht="21.75" hidden="false" customHeight="true" outlineLevel="0" collapsed="false">
      <c r="A138" s="57" t="s">
        <v>303</v>
      </c>
      <c r="B138" s="57"/>
      <c r="C138" s="58"/>
      <c r="D138" s="5" t="s">
        <v>303</v>
      </c>
      <c r="E138" s="58"/>
      <c r="F138" s="58"/>
    </row>
    <row r="139" customFormat="false" ht="21.75" hidden="false" customHeight="true" outlineLevel="0" collapsed="false">
      <c r="A139" s="57" t="s">
        <v>304</v>
      </c>
      <c r="B139" s="57"/>
      <c r="C139" s="58"/>
      <c r="D139" s="5" t="s">
        <v>304</v>
      </c>
      <c r="E139" s="58"/>
      <c r="F139" s="58"/>
    </row>
    <row r="140" customFormat="false" ht="21.75" hidden="false" customHeight="true" outlineLevel="0" collapsed="false">
      <c r="A140" s="57" t="s">
        <v>305</v>
      </c>
      <c r="B140" s="57"/>
      <c r="C140" s="58"/>
      <c r="D140" s="5" t="s">
        <v>305</v>
      </c>
      <c r="E140" s="58"/>
      <c r="F140" s="58"/>
    </row>
    <row r="141" customFormat="false" ht="21.75" hidden="false" customHeight="true" outlineLevel="0" collapsed="false">
      <c r="A141" s="57" t="s">
        <v>282</v>
      </c>
      <c r="B141" s="57"/>
      <c r="C141" s="58"/>
      <c r="D141" s="5" t="s">
        <v>282</v>
      </c>
      <c r="E141" s="58"/>
      <c r="F141" s="58"/>
    </row>
  </sheetData>
  <mergeCells count="138">
    <mergeCell ref="A1:F1"/>
    <mergeCell ref="A2:F2"/>
    <mergeCell ref="A5:F5"/>
    <mergeCell ref="B7:C7"/>
    <mergeCell ref="E7:F7"/>
    <mergeCell ref="B8:C8"/>
    <mergeCell ref="E8:F8"/>
    <mergeCell ref="B9:C9"/>
    <mergeCell ref="E9:F9"/>
    <mergeCell ref="B10:C10"/>
    <mergeCell ref="E10:F10"/>
    <mergeCell ref="B11:C11"/>
    <mergeCell ref="E11:F11"/>
    <mergeCell ref="A13:C13"/>
    <mergeCell ref="E13:F13"/>
    <mergeCell ref="A14:C14"/>
    <mergeCell ref="E14:F14"/>
    <mergeCell ref="A16:E16"/>
    <mergeCell ref="B17:E17"/>
    <mergeCell ref="B18:E18"/>
    <mergeCell ref="B19:E19"/>
    <mergeCell ref="B20:E20"/>
    <mergeCell ref="B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5:E35"/>
    <mergeCell ref="A38:E38"/>
    <mergeCell ref="B39:E39"/>
    <mergeCell ref="B40:E40"/>
    <mergeCell ref="B41:E41"/>
    <mergeCell ref="B42:E42"/>
    <mergeCell ref="B43:E43"/>
    <mergeCell ref="B44:E44"/>
    <mergeCell ref="A46:F46"/>
    <mergeCell ref="A48:F48"/>
    <mergeCell ref="B49:F49"/>
    <mergeCell ref="B50:F50"/>
    <mergeCell ref="B51:F51"/>
    <mergeCell ref="B52:F52"/>
    <mergeCell ref="B53:F53"/>
    <mergeCell ref="B54:F54"/>
    <mergeCell ref="B55:F55"/>
    <mergeCell ref="B56:F56"/>
    <mergeCell ref="B57:F57"/>
    <mergeCell ref="B58:F58"/>
    <mergeCell ref="B59:F59"/>
    <mergeCell ref="A61:F61"/>
    <mergeCell ref="B62:F62"/>
    <mergeCell ref="B63:F63"/>
    <mergeCell ref="B64:F64"/>
    <mergeCell ref="B65:F65"/>
    <mergeCell ref="B66:F66"/>
    <mergeCell ref="B67:F67"/>
    <mergeCell ref="B68:F68"/>
    <mergeCell ref="B69:F69"/>
    <mergeCell ref="B70:F70"/>
    <mergeCell ref="B71:F71"/>
    <mergeCell ref="B72:F72"/>
    <mergeCell ref="B73:F73"/>
    <mergeCell ref="B74:F74"/>
    <mergeCell ref="B75:F75"/>
    <mergeCell ref="B76:F76"/>
    <mergeCell ref="B77:F77"/>
    <mergeCell ref="B78:F78"/>
    <mergeCell ref="B79:F79"/>
    <mergeCell ref="B80:F80"/>
    <mergeCell ref="B81:F81"/>
    <mergeCell ref="B82:F82"/>
    <mergeCell ref="B83:F83"/>
    <mergeCell ref="B84:F84"/>
    <mergeCell ref="B85:F85"/>
    <mergeCell ref="B86:F86"/>
    <mergeCell ref="B87:F87"/>
    <mergeCell ref="B88:F88"/>
    <mergeCell ref="B89:F89"/>
    <mergeCell ref="B90:F90"/>
    <mergeCell ref="B91:F91"/>
    <mergeCell ref="B92:F92"/>
    <mergeCell ref="B93:F93"/>
    <mergeCell ref="B94:F94"/>
    <mergeCell ref="B95:F95"/>
    <mergeCell ref="A97:F97"/>
    <mergeCell ref="B98:F98"/>
    <mergeCell ref="B99:F99"/>
    <mergeCell ref="B100:F100"/>
    <mergeCell ref="B101:F101"/>
    <mergeCell ref="B102:F102"/>
    <mergeCell ref="B103:F103"/>
    <mergeCell ref="B104:F104"/>
    <mergeCell ref="B105:F105"/>
    <mergeCell ref="B106:F106"/>
    <mergeCell ref="B107:F107"/>
    <mergeCell ref="B108:F108"/>
    <mergeCell ref="B109:F109"/>
    <mergeCell ref="B110:F110"/>
    <mergeCell ref="B111:F111"/>
    <mergeCell ref="B112:F112"/>
    <mergeCell ref="B113:F113"/>
    <mergeCell ref="B114:F114"/>
    <mergeCell ref="B115:F115"/>
    <mergeCell ref="B116:F116"/>
    <mergeCell ref="B117:F117"/>
    <mergeCell ref="B118:F118"/>
    <mergeCell ref="B119:F119"/>
    <mergeCell ref="A121:F121"/>
    <mergeCell ref="B122:F122"/>
    <mergeCell ref="B123:F123"/>
    <mergeCell ref="B124:F124"/>
    <mergeCell ref="B125:F125"/>
    <mergeCell ref="B126:F126"/>
    <mergeCell ref="B127:F127"/>
    <mergeCell ref="B128:F128"/>
    <mergeCell ref="B129:F129"/>
    <mergeCell ref="B130:F130"/>
    <mergeCell ref="A132:F132"/>
    <mergeCell ref="A134:F134"/>
    <mergeCell ref="A135:F135"/>
    <mergeCell ref="A137:C137"/>
    <mergeCell ref="D137:F137"/>
    <mergeCell ref="A138:B138"/>
    <mergeCell ref="E138:F138"/>
    <mergeCell ref="A139:B139"/>
    <mergeCell ref="E139:F139"/>
    <mergeCell ref="A140:B140"/>
    <mergeCell ref="E140:F140"/>
    <mergeCell ref="A141:B141"/>
    <mergeCell ref="E141:F141"/>
  </mergeCells>
  <conditionalFormatting sqref="A17:F35">
    <cfRule type="expression" priority="2" aboveAverage="0" equalAverage="0" bottom="0" percent="0" rank="0" text="" dxfId="6">
      <formula>$B17="BASE BID TOTAL"</formula>
    </cfRule>
    <cfRule type="expression" priority="3" aboveAverage="0" equalAverage="0" bottom="0" percent="0" rank="0" text="" dxfId="7">
      <formula>$B17="Subtotal"</formula>
    </cfRule>
  </conditionalFormatting>
  <printOptions headings="false" gridLines="false" gridLinesSet="true" horizontalCentered="false" verticalCentered="false"/>
  <pageMargins left="0.5" right="0.5" top="0.6" bottom="0.6" header="0.511811023622047" footer="0.5"/>
  <pageSetup paperSize="1" scale="100" fitToWidth="1" fitToHeight="0" pageOrder="downThenOver" orientation="portrait" blackAndWhite="false" draft="false" cellComments="none" horizontalDpi="300" verticalDpi="300" copies="1"/>
  <headerFooter differentFirst="false" differentOddEven="false">
    <oddHeader/>
    <oddFooter>&amp;C&amp;8Page &amp;P of &amp;N&amp;R&amp;8Four Corners Building Supply</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K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0"/>
    <col collapsed="false" customWidth="true" hidden="false" outlineLevel="0" max="9" min="2" style="0" width="14"/>
    <col collapsed="false" customWidth="true" hidden="false" outlineLevel="0" max="10" min="10" style="0" width="13"/>
    <col collapsed="false" customWidth="true" hidden="false" outlineLevel="0" max="11" min="11" style="0" width="15"/>
  </cols>
  <sheetData>
    <row r="1" customFormat="false" ht="19.7" hidden="false" customHeight="false" outlineLevel="0" collapsed="false">
      <c r="A1" s="2" t="str">
        <f aca="false">'Job Info'!$B$5&amp;"  -  AREA BREAKOUT"</f>
        <v>Four Corners Building Supply  -  AREA BREAKOUT</v>
      </c>
      <c r="B1" s="1"/>
      <c r="C1" s="1"/>
      <c r="D1" s="1"/>
      <c r="E1" s="1"/>
      <c r="F1" s="1"/>
      <c r="G1" s="1"/>
      <c r="H1" s="1"/>
      <c r="I1" s="1"/>
      <c r="J1" s="1"/>
      <c r="K1" s="1"/>
    </row>
    <row r="2" customFormat="false" ht="15" hidden="false" customHeight="false" outlineLevel="0" collapsed="false">
      <c r="A2" s="5" t="str">
        <f aca="false">"Job: "&amp;'Job Info'!$B$20&amp;"   |   Proposal "&amp;'Job Info'!$B$28&amp;"   |   "&amp;IF('Job Info'!$B$38="Yes",TEXT('Job Info'!$B$37,"0.0%")&amp;" sales tax included in all material prices","Sales tax not included")</f>
        <v>Job:    |   Proposal    |   9.0% sales tax included in all material prices</v>
      </c>
      <c r="B2" s="1"/>
      <c r="C2" s="1"/>
      <c r="D2" s="1"/>
      <c r="E2" s="1"/>
      <c r="F2" s="1"/>
      <c r="G2" s="1"/>
      <c r="H2" s="1"/>
      <c r="I2" s="1"/>
      <c r="J2" s="1"/>
      <c r="K2" s="1"/>
    </row>
    <row r="3" customFormat="false" ht="15" hidden="false" customHeight="false" outlineLevel="0" collapsed="false">
      <c r="A3" s="10" t="s">
        <v>306</v>
      </c>
      <c r="B3" s="1"/>
      <c r="C3" s="1"/>
      <c r="D3" s="1"/>
      <c r="E3" s="1"/>
      <c r="F3" s="1"/>
      <c r="G3" s="1"/>
      <c r="H3" s="1"/>
      <c r="I3" s="1"/>
      <c r="J3" s="1"/>
      <c r="K3" s="1"/>
    </row>
    <row r="4" customFormat="false" ht="15" hidden="false" customHeight="false" outlineLevel="0" collapsed="false">
      <c r="A4" s="1"/>
      <c r="B4" s="1"/>
      <c r="C4" s="1"/>
      <c r="D4" s="1"/>
      <c r="E4" s="1"/>
      <c r="F4" s="1"/>
      <c r="G4" s="1"/>
      <c r="H4" s="1"/>
      <c r="I4" s="1"/>
      <c r="J4" s="1"/>
      <c r="K4" s="1"/>
    </row>
    <row r="5" customFormat="false" ht="30" hidden="false" customHeight="true" outlineLevel="0" collapsed="false">
      <c r="A5" s="28" t="s">
        <v>307</v>
      </c>
      <c r="B5" s="28" t="str">
        <f aca="false">IF('Job Info'!$B$53="","",'Job Info'!$B$53)</f>
        <v>Units / Apartments</v>
      </c>
      <c r="C5" s="28" t="str">
        <f aca="false">IF('Job Info'!$B$54="","",'Job Info'!$B$54)</f>
        <v>Clubhouse</v>
      </c>
      <c r="D5" s="28" t="str">
        <f aca="false">IF('Job Info'!$B$55="","",'Job Info'!$B$55)</f>
        <v>Leasing / Amenity</v>
      </c>
      <c r="E5" s="28" t="str">
        <f aca="false">IF('Job Info'!$B$56="","",'Job Info'!$B$56)</f>
        <v>Corridors / Common</v>
      </c>
      <c r="F5" s="28" t="str">
        <f aca="false">IF('Job Info'!$B$57="","",'Job Info'!$B$57)</f>
        <v>Maintenance</v>
      </c>
      <c r="G5" s="28" t="str">
        <f aca="false">IF('Job Info'!$B$58="","",'Job Info'!$B$58)</f>
        <v>Garages</v>
      </c>
      <c r="H5" s="28" t="str">
        <f aca="false">IF('Job Info'!$B$59="","",'Job Info'!$B$59)</f>
        <v>Pool Cabana</v>
      </c>
      <c r="I5" s="28" t="str">
        <f aca="false">IF('Job Info'!$B$60="","",'Job Info'!$B$60)</f>
        <v/>
      </c>
      <c r="J5" s="28" t="s">
        <v>308</v>
      </c>
      <c r="K5" s="28" t="s">
        <v>309</v>
      </c>
    </row>
    <row r="6" customFormat="false" ht="15" hidden="false" customHeight="false" outlineLevel="0" collapsed="false">
      <c r="A6" s="13" t="str">
        <f aca="false">IFERROR(INDEX(Lists!$B$2:$B$26,MATCH(1,Lists!$D$2:$D$26,0)),"")</f>
        <v>06 20 00 Interior Trim / Finish Carpentry</v>
      </c>
      <c r="B6" s="59" t="n">
        <f aca="false">IF($A6="","",IF('Job Info'!$B$53="",0,SUMIFS('Line Detail'!$R$6:$R$505,'Line Detail'!$C$6:$C$505,$A6,'Line Detail'!$D$6:$D$505,'Job Info'!$B$53,'Line Detail'!$B$6:$B$505,"Base")))</f>
        <v>3269.74264705882</v>
      </c>
      <c r="C6" s="59" t="n">
        <f aca="false">IF($A6="","",IF('Job Info'!$B$54="",0,SUMIFS('Line Detail'!$R$6:$R$505,'Line Detail'!$C$6:$C$505,$A6,'Line Detail'!$D$6:$D$505,'Job Info'!$B$54,'Line Detail'!$B$6:$B$505,"Base")))</f>
        <v>0</v>
      </c>
      <c r="D6" s="59" t="n">
        <f aca="false">IF($A6="","",IF('Job Info'!$B$55="",0,SUMIFS('Line Detail'!$R$6:$R$505,'Line Detail'!$C$6:$C$505,$A6,'Line Detail'!$D$6:$D$505,'Job Info'!$B$55,'Line Detail'!$B$6:$B$505,"Base")))</f>
        <v>0</v>
      </c>
      <c r="E6" s="59" t="n">
        <f aca="false">IF($A6="","",IF('Job Info'!$B$56="",0,SUMIFS('Line Detail'!$R$6:$R$505,'Line Detail'!$C$6:$C$505,$A6,'Line Detail'!$D$6:$D$505,'Job Info'!$B$56,'Line Detail'!$B$6:$B$505,"Base")))</f>
        <v>0</v>
      </c>
      <c r="F6" s="59" t="n">
        <f aca="false">IF($A6="","",IF('Job Info'!$B$57="",0,SUMIFS('Line Detail'!$R$6:$R$505,'Line Detail'!$C$6:$C$505,$A6,'Line Detail'!$D$6:$D$505,'Job Info'!$B$57,'Line Detail'!$B$6:$B$505,"Base")))</f>
        <v>0</v>
      </c>
      <c r="G6" s="59" t="n">
        <f aca="false">IF($A6="","",IF('Job Info'!$B$58="",0,SUMIFS('Line Detail'!$R$6:$R$505,'Line Detail'!$C$6:$C$505,$A6,'Line Detail'!$D$6:$D$505,'Job Info'!$B$58,'Line Detail'!$B$6:$B$505,"Base")))</f>
        <v>0</v>
      </c>
      <c r="H6" s="59" t="n">
        <f aca="false">IF($A6="","",IF('Job Info'!$B$59="",0,SUMIFS('Line Detail'!$R$6:$R$505,'Line Detail'!$C$6:$C$505,$A6,'Line Detail'!$D$6:$D$505,'Job Info'!$B$59,'Line Detail'!$B$6:$B$505,"Base")))</f>
        <v>0</v>
      </c>
      <c r="I6" s="59" t="n">
        <f aca="false">IF($A6="","",IF('Job Info'!$B$60="",0,SUMIFS('Line Detail'!$R$6:$R$505,'Line Detail'!$C$6:$C$505,$A6,'Line Detail'!$D$6:$D$505,'Job Info'!$B$60,'Line Detail'!$B$6:$B$505,"Base")))</f>
        <v>0</v>
      </c>
      <c r="J6" s="59" t="n">
        <f aca="false">IF($A6="","",K6-SUM(B6:I6))</f>
        <v>0</v>
      </c>
      <c r="K6" s="60" t="n">
        <f aca="false">IFERROR(INDEX(Lists!$C$2:$C$26,MATCH(1,Lists!$D$2:$D$26,0)),"")</f>
        <v>3269.74264705882</v>
      </c>
    </row>
    <row r="7" customFormat="false" ht="15" hidden="false" customHeight="false" outlineLevel="0" collapsed="false">
      <c r="A7" s="13" t="str">
        <f aca="false">IFERROR(INDEX(Lists!$B$2:$B$26,MATCH(2,Lists!$D$2:$D$26,0)),"")</f>
        <v>08 17 43 Interior Pre-Hung Doors</v>
      </c>
      <c r="B7" s="59" t="n">
        <f aca="false">IF($A7="","",IF('Job Info'!$B$53="",0,SUMIFS('Line Detail'!$R$6:$R$505,'Line Detail'!$C$6:$C$505,$A7,'Line Detail'!$D$6:$D$505,'Job Info'!$B$53,'Line Detail'!$B$6:$B$505,"Base")))</f>
        <v>2695.18382352941</v>
      </c>
      <c r="C7" s="59" t="n">
        <f aca="false">IF($A7="","",IF('Job Info'!$B$54="",0,SUMIFS('Line Detail'!$R$6:$R$505,'Line Detail'!$C$6:$C$505,$A7,'Line Detail'!$D$6:$D$505,'Job Info'!$B$54,'Line Detail'!$B$6:$B$505,"Base")))</f>
        <v>0</v>
      </c>
      <c r="D7" s="59" t="n">
        <f aca="false">IF($A7="","",IF('Job Info'!$B$55="",0,SUMIFS('Line Detail'!$R$6:$R$505,'Line Detail'!$C$6:$C$505,$A7,'Line Detail'!$D$6:$D$505,'Job Info'!$B$55,'Line Detail'!$B$6:$B$505,"Base")))</f>
        <v>0</v>
      </c>
      <c r="E7" s="59" t="n">
        <f aca="false">IF($A7="","",IF('Job Info'!$B$56="",0,SUMIFS('Line Detail'!$R$6:$R$505,'Line Detail'!$C$6:$C$505,$A7,'Line Detail'!$D$6:$D$505,'Job Info'!$B$56,'Line Detail'!$B$6:$B$505,"Base")))</f>
        <v>0</v>
      </c>
      <c r="F7" s="59" t="n">
        <f aca="false">IF($A7="","",IF('Job Info'!$B$57="",0,SUMIFS('Line Detail'!$R$6:$R$505,'Line Detail'!$C$6:$C$505,$A7,'Line Detail'!$D$6:$D$505,'Job Info'!$B$57,'Line Detail'!$B$6:$B$505,"Base")))</f>
        <v>0</v>
      </c>
      <c r="G7" s="59" t="n">
        <f aca="false">IF($A7="","",IF('Job Info'!$B$58="",0,SUMIFS('Line Detail'!$R$6:$R$505,'Line Detail'!$C$6:$C$505,$A7,'Line Detail'!$D$6:$D$505,'Job Info'!$B$58,'Line Detail'!$B$6:$B$505,"Base")))</f>
        <v>0</v>
      </c>
      <c r="H7" s="59" t="n">
        <f aca="false">IF($A7="","",IF('Job Info'!$B$59="",0,SUMIFS('Line Detail'!$R$6:$R$505,'Line Detail'!$C$6:$C$505,$A7,'Line Detail'!$D$6:$D$505,'Job Info'!$B$59,'Line Detail'!$B$6:$B$505,"Base")))</f>
        <v>0</v>
      </c>
      <c r="I7" s="59" t="n">
        <f aca="false">IF($A7="","",IF('Job Info'!$B$60="",0,SUMIFS('Line Detail'!$R$6:$R$505,'Line Detail'!$C$6:$C$505,$A7,'Line Detail'!$D$6:$D$505,'Job Info'!$B$60,'Line Detail'!$B$6:$B$505,"Base")))</f>
        <v>0</v>
      </c>
      <c r="J7" s="59" t="n">
        <f aca="false">IF($A7="","",K7-SUM(B7:I7))</f>
        <v>0</v>
      </c>
      <c r="K7" s="60" t="n">
        <f aca="false">IFERROR(INDEX(Lists!$C$2:$C$26,MATCH(2,Lists!$D$2:$D$26,0)),"")</f>
        <v>2695.18382352941</v>
      </c>
    </row>
    <row r="8" customFormat="false" ht="15" hidden="false" customHeight="false" outlineLevel="0" collapsed="false">
      <c r="A8" s="13" t="str">
        <f aca="false">IFERROR(INDEX(Lists!$B$2:$B$26,MATCH(3,Lists!$D$2:$D$26,0)),"")</f>
        <v>08 71 00 Door Hardware</v>
      </c>
      <c r="B8" s="59" t="n">
        <f aca="false">IF($A8="","",IF('Job Info'!$B$53="",0,SUMIFS('Line Detail'!$R$6:$R$505,'Line Detail'!$C$6:$C$505,$A8,'Line Detail'!$D$6:$D$505,'Job Info'!$B$53,'Line Detail'!$B$6:$B$505,"Base")))</f>
        <v>363.827205882353</v>
      </c>
      <c r="C8" s="59" t="n">
        <f aca="false">IF($A8="","",IF('Job Info'!$B$54="",0,SUMIFS('Line Detail'!$R$6:$R$505,'Line Detail'!$C$6:$C$505,$A8,'Line Detail'!$D$6:$D$505,'Job Info'!$B$54,'Line Detail'!$B$6:$B$505,"Base")))</f>
        <v>0</v>
      </c>
      <c r="D8" s="59" t="n">
        <f aca="false">IF($A8="","",IF('Job Info'!$B$55="",0,SUMIFS('Line Detail'!$R$6:$R$505,'Line Detail'!$C$6:$C$505,$A8,'Line Detail'!$D$6:$D$505,'Job Info'!$B$55,'Line Detail'!$B$6:$B$505,"Base")))</f>
        <v>0</v>
      </c>
      <c r="E8" s="59" t="n">
        <f aca="false">IF($A8="","",IF('Job Info'!$B$56="",0,SUMIFS('Line Detail'!$R$6:$R$505,'Line Detail'!$C$6:$C$505,$A8,'Line Detail'!$D$6:$D$505,'Job Info'!$B$56,'Line Detail'!$B$6:$B$505,"Base")))</f>
        <v>0</v>
      </c>
      <c r="F8" s="59" t="n">
        <f aca="false">IF($A8="","",IF('Job Info'!$B$57="",0,SUMIFS('Line Detail'!$R$6:$R$505,'Line Detail'!$C$6:$C$505,$A8,'Line Detail'!$D$6:$D$505,'Job Info'!$B$57,'Line Detail'!$B$6:$B$505,"Base")))</f>
        <v>0</v>
      </c>
      <c r="G8" s="59" t="n">
        <f aca="false">IF($A8="","",IF('Job Info'!$B$58="",0,SUMIFS('Line Detail'!$R$6:$R$505,'Line Detail'!$C$6:$C$505,$A8,'Line Detail'!$D$6:$D$505,'Job Info'!$B$58,'Line Detail'!$B$6:$B$505,"Base")))</f>
        <v>0</v>
      </c>
      <c r="H8" s="59" t="n">
        <f aca="false">IF($A8="","",IF('Job Info'!$B$59="",0,SUMIFS('Line Detail'!$R$6:$R$505,'Line Detail'!$C$6:$C$505,$A8,'Line Detail'!$D$6:$D$505,'Job Info'!$B$59,'Line Detail'!$B$6:$B$505,"Base")))</f>
        <v>0</v>
      </c>
      <c r="I8" s="59" t="n">
        <f aca="false">IF($A8="","",IF('Job Info'!$B$60="",0,SUMIFS('Line Detail'!$R$6:$R$505,'Line Detail'!$C$6:$C$505,$A8,'Line Detail'!$D$6:$D$505,'Job Info'!$B$60,'Line Detail'!$B$6:$B$505,"Base")))</f>
        <v>0</v>
      </c>
      <c r="J8" s="59" t="n">
        <f aca="false">IF($A8="","",K8-SUM(B8:I8))</f>
        <v>0</v>
      </c>
      <c r="K8" s="60" t="n">
        <f aca="false">IFERROR(INDEX(Lists!$C$2:$C$26,MATCH(3,Lists!$D$2:$D$26,0)),"")</f>
        <v>363.827205882353</v>
      </c>
    </row>
    <row r="9" customFormat="false" ht="15" hidden="false" customHeight="false" outlineLevel="0" collapsed="false">
      <c r="A9" s="13" t="str">
        <f aca="false">IFERROR(INDEX(Lists!$B$2:$B$26,MATCH(4,Lists!$D$2:$D$26,0)),"")</f>
        <v/>
      </c>
      <c r="B9" s="59" t="str">
        <f aca="false">IF($A9="","",IF('Job Info'!$B$53="",0,SUMIFS('Line Detail'!$R$6:$R$505,'Line Detail'!$C$6:$C$505,$A9,'Line Detail'!$D$6:$D$505,'Job Info'!$B$53,'Line Detail'!$B$6:$B$505,"Base")))</f>
        <v/>
      </c>
      <c r="C9" s="59" t="str">
        <f aca="false">IF($A9="","",IF('Job Info'!$B$54="",0,SUMIFS('Line Detail'!$R$6:$R$505,'Line Detail'!$C$6:$C$505,$A9,'Line Detail'!$D$6:$D$505,'Job Info'!$B$54,'Line Detail'!$B$6:$B$505,"Base")))</f>
        <v/>
      </c>
      <c r="D9" s="59" t="str">
        <f aca="false">IF($A9="","",IF('Job Info'!$B$55="",0,SUMIFS('Line Detail'!$R$6:$R$505,'Line Detail'!$C$6:$C$505,$A9,'Line Detail'!$D$6:$D$505,'Job Info'!$B$55,'Line Detail'!$B$6:$B$505,"Base")))</f>
        <v/>
      </c>
      <c r="E9" s="59" t="str">
        <f aca="false">IF($A9="","",IF('Job Info'!$B$56="",0,SUMIFS('Line Detail'!$R$6:$R$505,'Line Detail'!$C$6:$C$505,$A9,'Line Detail'!$D$6:$D$505,'Job Info'!$B$56,'Line Detail'!$B$6:$B$505,"Base")))</f>
        <v/>
      </c>
      <c r="F9" s="59" t="str">
        <f aca="false">IF($A9="","",IF('Job Info'!$B$57="",0,SUMIFS('Line Detail'!$R$6:$R$505,'Line Detail'!$C$6:$C$505,$A9,'Line Detail'!$D$6:$D$505,'Job Info'!$B$57,'Line Detail'!$B$6:$B$505,"Base")))</f>
        <v/>
      </c>
      <c r="G9" s="59" t="str">
        <f aca="false">IF($A9="","",IF('Job Info'!$B$58="",0,SUMIFS('Line Detail'!$R$6:$R$505,'Line Detail'!$C$6:$C$505,$A9,'Line Detail'!$D$6:$D$505,'Job Info'!$B$58,'Line Detail'!$B$6:$B$505,"Base")))</f>
        <v/>
      </c>
      <c r="H9" s="59" t="str">
        <f aca="false">IF($A9="","",IF('Job Info'!$B$59="",0,SUMIFS('Line Detail'!$R$6:$R$505,'Line Detail'!$C$6:$C$505,$A9,'Line Detail'!$D$6:$D$505,'Job Info'!$B$59,'Line Detail'!$B$6:$B$505,"Base")))</f>
        <v/>
      </c>
      <c r="I9" s="59" t="str">
        <f aca="false">IF($A9="","",IF('Job Info'!$B$60="",0,SUMIFS('Line Detail'!$R$6:$R$505,'Line Detail'!$C$6:$C$505,$A9,'Line Detail'!$D$6:$D$505,'Job Info'!$B$60,'Line Detail'!$B$6:$B$505,"Base")))</f>
        <v/>
      </c>
      <c r="J9" s="59" t="str">
        <f aca="false">IF($A9="","",K9-SUM(B9:I9))</f>
        <v/>
      </c>
      <c r="K9" s="60" t="str">
        <f aca="false">IFERROR(INDEX(Lists!$C$2:$C$26,MATCH(4,Lists!$D$2:$D$26,0)),"")</f>
        <v/>
      </c>
    </row>
    <row r="10" customFormat="false" ht="15" hidden="false" customHeight="false" outlineLevel="0" collapsed="false">
      <c r="A10" s="13" t="str">
        <f aca="false">IFERROR(INDEX(Lists!$B$2:$B$26,MATCH(5,Lists!$D$2:$D$26,0)),"")</f>
        <v/>
      </c>
      <c r="B10" s="59" t="str">
        <f aca="false">IF($A10="","",IF('Job Info'!$B$53="",0,SUMIFS('Line Detail'!$R$6:$R$505,'Line Detail'!$C$6:$C$505,$A10,'Line Detail'!$D$6:$D$505,'Job Info'!$B$53,'Line Detail'!$B$6:$B$505,"Base")))</f>
        <v/>
      </c>
      <c r="C10" s="59" t="str">
        <f aca="false">IF($A10="","",IF('Job Info'!$B$54="",0,SUMIFS('Line Detail'!$R$6:$R$505,'Line Detail'!$C$6:$C$505,$A10,'Line Detail'!$D$6:$D$505,'Job Info'!$B$54,'Line Detail'!$B$6:$B$505,"Base")))</f>
        <v/>
      </c>
      <c r="D10" s="59" t="str">
        <f aca="false">IF($A10="","",IF('Job Info'!$B$55="",0,SUMIFS('Line Detail'!$R$6:$R$505,'Line Detail'!$C$6:$C$505,$A10,'Line Detail'!$D$6:$D$505,'Job Info'!$B$55,'Line Detail'!$B$6:$B$505,"Base")))</f>
        <v/>
      </c>
      <c r="E10" s="59" t="str">
        <f aca="false">IF($A10="","",IF('Job Info'!$B$56="",0,SUMIFS('Line Detail'!$R$6:$R$505,'Line Detail'!$C$6:$C$505,$A10,'Line Detail'!$D$6:$D$505,'Job Info'!$B$56,'Line Detail'!$B$6:$B$505,"Base")))</f>
        <v/>
      </c>
      <c r="F10" s="59" t="str">
        <f aca="false">IF($A10="","",IF('Job Info'!$B$57="",0,SUMIFS('Line Detail'!$R$6:$R$505,'Line Detail'!$C$6:$C$505,$A10,'Line Detail'!$D$6:$D$505,'Job Info'!$B$57,'Line Detail'!$B$6:$B$505,"Base")))</f>
        <v/>
      </c>
      <c r="G10" s="59" t="str">
        <f aca="false">IF($A10="","",IF('Job Info'!$B$58="",0,SUMIFS('Line Detail'!$R$6:$R$505,'Line Detail'!$C$6:$C$505,$A10,'Line Detail'!$D$6:$D$505,'Job Info'!$B$58,'Line Detail'!$B$6:$B$505,"Base")))</f>
        <v/>
      </c>
      <c r="H10" s="59" t="str">
        <f aca="false">IF($A10="","",IF('Job Info'!$B$59="",0,SUMIFS('Line Detail'!$R$6:$R$505,'Line Detail'!$C$6:$C$505,$A10,'Line Detail'!$D$6:$D$505,'Job Info'!$B$59,'Line Detail'!$B$6:$B$505,"Base")))</f>
        <v/>
      </c>
      <c r="I10" s="59" t="str">
        <f aca="false">IF($A10="","",IF('Job Info'!$B$60="",0,SUMIFS('Line Detail'!$R$6:$R$505,'Line Detail'!$C$6:$C$505,$A10,'Line Detail'!$D$6:$D$505,'Job Info'!$B$60,'Line Detail'!$B$6:$B$505,"Base")))</f>
        <v/>
      </c>
      <c r="J10" s="59" t="str">
        <f aca="false">IF($A10="","",K10-SUM(B10:I10))</f>
        <v/>
      </c>
      <c r="K10" s="60" t="str">
        <f aca="false">IFERROR(INDEX(Lists!$C$2:$C$26,MATCH(5,Lists!$D$2:$D$26,0)),"")</f>
        <v/>
      </c>
    </row>
    <row r="11" customFormat="false" ht="15" hidden="false" customHeight="false" outlineLevel="0" collapsed="false">
      <c r="A11" s="13" t="str">
        <f aca="false">IFERROR(INDEX(Lists!$B$2:$B$26,MATCH(6,Lists!$D$2:$D$26,0)),"")</f>
        <v/>
      </c>
      <c r="B11" s="59" t="str">
        <f aca="false">IF($A11="","",IF('Job Info'!$B$53="",0,SUMIFS('Line Detail'!$R$6:$R$505,'Line Detail'!$C$6:$C$505,$A11,'Line Detail'!$D$6:$D$505,'Job Info'!$B$53,'Line Detail'!$B$6:$B$505,"Base")))</f>
        <v/>
      </c>
      <c r="C11" s="59" t="str">
        <f aca="false">IF($A11="","",IF('Job Info'!$B$54="",0,SUMIFS('Line Detail'!$R$6:$R$505,'Line Detail'!$C$6:$C$505,$A11,'Line Detail'!$D$6:$D$505,'Job Info'!$B$54,'Line Detail'!$B$6:$B$505,"Base")))</f>
        <v/>
      </c>
      <c r="D11" s="59" t="str">
        <f aca="false">IF($A11="","",IF('Job Info'!$B$55="",0,SUMIFS('Line Detail'!$R$6:$R$505,'Line Detail'!$C$6:$C$505,$A11,'Line Detail'!$D$6:$D$505,'Job Info'!$B$55,'Line Detail'!$B$6:$B$505,"Base")))</f>
        <v/>
      </c>
      <c r="E11" s="59" t="str">
        <f aca="false">IF($A11="","",IF('Job Info'!$B$56="",0,SUMIFS('Line Detail'!$R$6:$R$505,'Line Detail'!$C$6:$C$505,$A11,'Line Detail'!$D$6:$D$505,'Job Info'!$B$56,'Line Detail'!$B$6:$B$505,"Base")))</f>
        <v/>
      </c>
      <c r="F11" s="59" t="str">
        <f aca="false">IF($A11="","",IF('Job Info'!$B$57="",0,SUMIFS('Line Detail'!$R$6:$R$505,'Line Detail'!$C$6:$C$505,$A11,'Line Detail'!$D$6:$D$505,'Job Info'!$B$57,'Line Detail'!$B$6:$B$505,"Base")))</f>
        <v/>
      </c>
      <c r="G11" s="59" t="str">
        <f aca="false">IF($A11="","",IF('Job Info'!$B$58="",0,SUMIFS('Line Detail'!$R$6:$R$505,'Line Detail'!$C$6:$C$505,$A11,'Line Detail'!$D$6:$D$505,'Job Info'!$B$58,'Line Detail'!$B$6:$B$505,"Base")))</f>
        <v/>
      </c>
      <c r="H11" s="59" t="str">
        <f aca="false">IF($A11="","",IF('Job Info'!$B$59="",0,SUMIFS('Line Detail'!$R$6:$R$505,'Line Detail'!$C$6:$C$505,$A11,'Line Detail'!$D$6:$D$505,'Job Info'!$B$59,'Line Detail'!$B$6:$B$505,"Base")))</f>
        <v/>
      </c>
      <c r="I11" s="59" t="str">
        <f aca="false">IF($A11="","",IF('Job Info'!$B$60="",0,SUMIFS('Line Detail'!$R$6:$R$505,'Line Detail'!$C$6:$C$505,$A11,'Line Detail'!$D$6:$D$505,'Job Info'!$B$60,'Line Detail'!$B$6:$B$505,"Base")))</f>
        <v/>
      </c>
      <c r="J11" s="59" t="str">
        <f aca="false">IF($A11="","",K11-SUM(B11:I11))</f>
        <v/>
      </c>
      <c r="K11" s="60" t="str">
        <f aca="false">IFERROR(INDEX(Lists!$C$2:$C$26,MATCH(6,Lists!$D$2:$D$26,0)),"")</f>
        <v/>
      </c>
    </row>
    <row r="12" customFormat="false" ht="15" hidden="false" customHeight="false" outlineLevel="0" collapsed="false">
      <c r="A12" s="13" t="str">
        <f aca="false">IFERROR(INDEX(Lists!$B$2:$B$26,MATCH(7,Lists!$D$2:$D$26,0)),"")</f>
        <v/>
      </c>
      <c r="B12" s="59" t="str">
        <f aca="false">IF($A12="","",IF('Job Info'!$B$53="",0,SUMIFS('Line Detail'!$R$6:$R$505,'Line Detail'!$C$6:$C$505,$A12,'Line Detail'!$D$6:$D$505,'Job Info'!$B$53,'Line Detail'!$B$6:$B$505,"Base")))</f>
        <v/>
      </c>
      <c r="C12" s="59" t="str">
        <f aca="false">IF($A12="","",IF('Job Info'!$B$54="",0,SUMIFS('Line Detail'!$R$6:$R$505,'Line Detail'!$C$6:$C$505,$A12,'Line Detail'!$D$6:$D$505,'Job Info'!$B$54,'Line Detail'!$B$6:$B$505,"Base")))</f>
        <v/>
      </c>
      <c r="D12" s="59" t="str">
        <f aca="false">IF($A12="","",IF('Job Info'!$B$55="",0,SUMIFS('Line Detail'!$R$6:$R$505,'Line Detail'!$C$6:$C$505,$A12,'Line Detail'!$D$6:$D$505,'Job Info'!$B$55,'Line Detail'!$B$6:$B$505,"Base")))</f>
        <v/>
      </c>
      <c r="E12" s="59" t="str">
        <f aca="false">IF($A12="","",IF('Job Info'!$B$56="",0,SUMIFS('Line Detail'!$R$6:$R$505,'Line Detail'!$C$6:$C$505,$A12,'Line Detail'!$D$6:$D$505,'Job Info'!$B$56,'Line Detail'!$B$6:$B$505,"Base")))</f>
        <v/>
      </c>
      <c r="F12" s="59" t="str">
        <f aca="false">IF($A12="","",IF('Job Info'!$B$57="",0,SUMIFS('Line Detail'!$R$6:$R$505,'Line Detail'!$C$6:$C$505,$A12,'Line Detail'!$D$6:$D$505,'Job Info'!$B$57,'Line Detail'!$B$6:$B$505,"Base")))</f>
        <v/>
      </c>
      <c r="G12" s="59" t="str">
        <f aca="false">IF($A12="","",IF('Job Info'!$B$58="",0,SUMIFS('Line Detail'!$R$6:$R$505,'Line Detail'!$C$6:$C$505,$A12,'Line Detail'!$D$6:$D$505,'Job Info'!$B$58,'Line Detail'!$B$6:$B$505,"Base")))</f>
        <v/>
      </c>
      <c r="H12" s="59" t="str">
        <f aca="false">IF($A12="","",IF('Job Info'!$B$59="",0,SUMIFS('Line Detail'!$R$6:$R$505,'Line Detail'!$C$6:$C$505,$A12,'Line Detail'!$D$6:$D$505,'Job Info'!$B$59,'Line Detail'!$B$6:$B$505,"Base")))</f>
        <v/>
      </c>
      <c r="I12" s="59" t="str">
        <f aca="false">IF($A12="","",IF('Job Info'!$B$60="",0,SUMIFS('Line Detail'!$R$6:$R$505,'Line Detail'!$C$6:$C$505,$A12,'Line Detail'!$D$6:$D$505,'Job Info'!$B$60,'Line Detail'!$B$6:$B$505,"Base")))</f>
        <v/>
      </c>
      <c r="J12" s="59" t="str">
        <f aca="false">IF($A12="","",K12-SUM(B12:I12))</f>
        <v/>
      </c>
      <c r="K12" s="60" t="str">
        <f aca="false">IFERROR(INDEX(Lists!$C$2:$C$26,MATCH(7,Lists!$D$2:$D$26,0)),"")</f>
        <v/>
      </c>
    </row>
    <row r="13" customFormat="false" ht="15" hidden="false" customHeight="false" outlineLevel="0" collapsed="false">
      <c r="A13" s="13" t="str">
        <f aca="false">IFERROR(INDEX(Lists!$B$2:$B$26,MATCH(8,Lists!$D$2:$D$26,0)),"")</f>
        <v/>
      </c>
      <c r="B13" s="59" t="str">
        <f aca="false">IF($A13="","",IF('Job Info'!$B$53="",0,SUMIFS('Line Detail'!$R$6:$R$505,'Line Detail'!$C$6:$C$505,$A13,'Line Detail'!$D$6:$D$505,'Job Info'!$B$53,'Line Detail'!$B$6:$B$505,"Base")))</f>
        <v/>
      </c>
      <c r="C13" s="59" t="str">
        <f aca="false">IF($A13="","",IF('Job Info'!$B$54="",0,SUMIFS('Line Detail'!$R$6:$R$505,'Line Detail'!$C$6:$C$505,$A13,'Line Detail'!$D$6:$D$505,'Job Info'!$B$54,'Line Detail'!$B$6:$B$505,"Base")))</f>
        <v/>
      </c>
      <c r="D13" s="59" t="str">
        <f aca="false">IF($A13="","",IF('Job Info'!$B$55="",0,SUMIFS('Line Detail'!$R$6:$R$505,'Line Detail'!$C$6:$C$505,$A13,'Line Detail'!$D$6:$D$505,'Job Info'!$B$55,'Line Detail'!$B$6:$B$505,"Base")))</f>
        <v/>
      </c>
      <c r="E13" s="59" t="str">
        <f aca="false">IF($A13="","",IF('Job Info'!$B$56="",0,SUMIFS('Line Detail'!$R$6:$R$505,'Line Detail'!$C$6:$C$505,$A13,'Line Detail'!$D$6:$D$505,'Job Info'!$B$56,'Line Detail'!$B$6:$B$505,"Base")))</f>
        <v/>
      </c>
      <c r="F13" s="59" t="str">
        <f aca="false">IF($A13="","",IF('Job Info'!$B$57="",0,SUMIFS('Line Detail'!$R$6:$R$505,'Line Detail'!$C$6:$C$505,$A13,'Line Detail'!$D$6:$D$505,'Job Info'!$B$57,'Line Detail'!$B$6:$B$505,"Base")))</f>
        <v/>
      </c>
      <c r="G13" s="59" t="str">
        <f aca="false">IF($A13="","",IF('Job Info'!$B$58="",0,SUMIFS('Line Detail'!$R$6:$R$505,'Line Detail'!$C$6:$C$505,$A13,'Line Detail'!$D$6:$D$505,'Job Info'!$B$58,'Line Detail'!$B$6:$B$505,"Base")))</f>
        <v/>
      </c>
      <c r="H13" s="59" t="str">
        <f aca="false">IF($A13="","",IF('Job Info'!$B$59="",0,SUMIFS('Line Detail'!$R$6:$R$505,'Line Detail'!$C$6:$C$505,$A13,'Line Detail'!$D$6:$D$505,'Job Info'!$B$59,'Line Detail'!$B$6:$B$505,"Base")))</f>
        <v/>
      </c>
      <c r="I13" s="59" t="str">
        <f aca="false">IF($A13="","",IF('Job Info'!$B$60="",0,SUMIFS('Line Detail'!$R$6:$R$505,'Line Detail'!$C$6:$C$505,$A13,'Line Detail'!$D$6:$D$505,'Job Info'!$B$60,'Line Detail'!$B$6:$B$505,"Base")))</f>
        <v/>
      </c>
      <c r="J13" s="59" t="str">
        <f aca="false">IF($A13="","",K13-SUM(B13:I13))</f>
        <v/>
      </c>
      <c r="K13" s="60" t="str">
        <f aca="false">IFERROR(INDEX(Lists!$C$2:$C$26,MATCH(8,Lists!$D$2:$D$26,0)),"")</f>
        <v/>
      </c>
    </row>
    <row r="14" customFormat="false" ht="15" hidden="false" customHeight="false" outlineLevel="0" collapsed="false">
      <c r="A14" s="13" t="str">
        <f aca="false">IFERROR(INDEX(Lists!$B$2:$B$26,MATCH(9,Lists!$D$2:$D$26,0)),"")</f>
        <v/>
      </c>
      <c r="B14" s="59" t="str">
        <f aca="false">IF($A14="","",IF('Job Info'!$B$53="",0,SUMIFS('Line Detail'!$R$6:$R$505,'Line Detail'!$C$6:$C$505,$A14,'Line Detail'!$D$6:$D$505,'Job Info'!$B$53,'Line Detail'!$B$6:$B$505,"Base")))</f>
        <v/>
      </c>
      <c r="C14" s="59" t="str">
        <f aca="false">IF($A14="","",IF('Job Info'!$B$54="",0,SUMIFS('Line Detail'!$R$6:$R$505,'Line Detail'!$C$6:$C$505,$A14,'Line Detail'!$D$6:$D$505,'Job Info'!$B$54,'Line Detail'!$B$6:$B$505,"Base")))</f>
        <v/>
      </c>
      <c r="D14" s="59" t="str">
        <f aca="false">IF($A14="","",IF('Job Info'!$B$55="",0,SUMIFS('Line Detail'!$R$6:$R$505,'Line Detail'!$C$6:$C$505,$A14,'Line Detail'!$D$6:$D$505,'Job Info'!$B$55,'Line Detail'!$B$6:$B$505,"Base")))</f>
        <v/>
      </c>
      <c r="E14" s="59" t="str">
        <f aca="false">IF($A14="","",IF('Job Info'!$B$56="",0,SUMIFS('Line Detail'!$R$6:$R$505,'Line Detail'!$C$6:$C$505,$A14,'Line Detail'!$D$6:$D$505,'Job Info'!$B$56,'Line Detail'!$B$6:$B$505,"Base")))</f>
        <v/>
      </c>
      <c r="F14" s="59" t="str">
        <f aca="false">IF($A14="","",IF('Job Info'!$B$57="",0,SUMIFS('Line Detail'!$R$6:$R$505,'Line Detail'!$C$6:$C$505,$A14,'Line Detail'!$D$6:$D$505,'Job Info'!$B$57,'Line Detail'!$B$6:$B$505,"Base")))</f>
        <v/>
      </c>
      <c r="G14" s="59" t="str">
        <f aca="false">IF($A14="","",IF('Job Info'!$B$58="",0,SUMIFS('Line Detail'!$R$6:$R$505,'Line Detail'!$C$6:$C$505,$A14,'Line Detail'!$D$6:$D$505,'Job Info'!$B$58,'Line Detail'!$B$6:$B$505,"Base")))</f>
        <v/>
      </c>
      <c r="H14" s="59" t="str">
        <f aca="false">IF($A14="","",IF('Job Info'!$B$59="",0,SUMIFS('Line Detail'!$R$6:$R$505,'Line Detail'!$C$6:$C$505,$A14,'Line Detail'!$D$6:$D$505,'Job Info'!$B$59,'Line Detail'!$B$6:$B$505,"Base")))</f>
        <v/>
      </c>
      <c r="I14" s="59" t="str">
        <f aca="false">IF($A14="","",IF('Job Info'!$B$60="",0,SUMIFS('Line Detail'!$R$6:$R$505,'Line Detail'!$C$6:$C$505,$A14,'Line Detail'!$D$6:$D$505,'Job Info'!$B$60,'Line Detail'!$B$6:$B$505,"Base")))</f>
        <v/>
      </c>
      <c r="J14" s="59" t="str">
        <f aca="false">IF($A14="","",K14-SUM(B14:I14))</f>
        <v/>
      </c>
      <c r="K14" s="60" t="str">
        <f aca="false">IFERROR(INDEX(Lists!$C$2:$C$26,MATCH(9,Lists!$D$2:$D$26,0)),"")</f>
        <v/>
      </c>
    </row>
    <row r="15" customFormat="false" ht="15" hidden="false" customHeight="false" outlineLevel="0" collapsed="false">
      <c r="A15" s="13" t="str">
        <f aca="false">IFERROR(INDEX(Lists!$B$2:$B$26,MATCH(10,Lists!$D$2:$D$26,0)),"")</f>
        <v/>
      </c>
      <c r="B15" s="59" t="str">
        <f aca="false">IF($A15="","",IF('Job Info'!$B$53="",0,SUMIFS('Line Detail'!$R$6:$R$505,'Line Detail'!$C$6:$C$505,$A15,'Line Detail'!$D$6:$D$505,'Job Info'!$B$53,'Line Detail'!$B$6:$B$505,"Base")))</f>
        <v/>
      </c>
      <c r="C15" s="59" t="str">
        <f aca="false">IF($A15="","",IF('Job Info'!$B$54="",0,SUMIFS('Line Detail'!$R$6:$R$505,'Line Detail'!$C$6:$C$505,$A15,'Line Detail'!$D$6:$D$505,'Job Info'!$B$54,'Line Detail'!$B$6:$B$505,"Base")))</f>
        <v/>
      </c>
      <c r="D15" s="59" t="str">
        <f aca="false">IF($A15="","",IF('Job Info'!$B$55="",0,SUMIFS('Line Detail'!$R$6:$R$505,'Line Detail'!$C$6:$C$505,$A15,'Line Detail'!$D$6:$D$505,'Job Info'!$B$55,'Line Detail'!$B$6:$B$505,"Base")))</f>
        <v/>
      </c>
      <c r="E15" s="59" t="str">
        <f aca="false">IF($A15="","",IF('Job Info'!$B$56="",0,SUMIFS('Line Detail'!$R$6:$R$505,'Line Detail'!$C$6:$C$505,$A15,'Line Detail'!$D$6:$D$505,'Job Info'!$B$56,'Line Detail'!$B$6:$B$505,"Base")))</f>
        <v/>
      </c>
      <c r="F15" s="59" t="str">
        <f aca="false">IF($A15="","",IF('Job Info'!$B$57="",0,SUMIFS('Line Detail'!$R$6:$R$505,'Line Detail'!$C$6:$C$505,$A15,'Line Detail'!$D$6:$D$505,'Job Info'!$B$57,'Line Detail'!$B$6:$B$505,"Base")))</f>
        <v/>
      </c>
      <c r="G15" s="59" t="str">
        <f aca="false">IF($A15="","",IF('Job Info'!$B$58="",0,SUMIFS('Line Detail'!$R$6:$R$505,'Line Detail'!$C$6:$C$505,$A15,'Line Detail'!$D$6:$D$505,'Job Info'!$B$58,'Line Detail'!$B$6:$B$505,"Base")))</f>
        <v/>
      </c>
      <c r="H15" s="59" t="str">
        <f aca="false">IF($A15="","",IF('Job Info'!$B$59="",0,SUMIFS('Line Detail'!$R$6:$R$505,'Line Detail'!$C$6:$C$505,$A15,'Line Detail'!$D$6:$D$505,'Job Info'!$B$59,'Line Detail'!$B$6:$B$505,"Base")))</f>
        <v/>
      </c>
      <c r="I15" s="59" t="str">
        <f aca="false">IF($A15="","",IF('Job Info'!$B$60="",0,SUMIFS('Line Detail'!$R$6:$R$505,'Line Detail'!$C$6:$C$505,$A15,'Line Detail'!$D$6:$D$505,'Job Info'!$B$60,'Line Detail'!$B$6:$B$505,"Base")))</f>
        <v/>
      </c>
      <c r="J15" s="59" t="str">
        <f aca="false">IF($A15="","",K15-SUM(B15:I15))</f>
        <v/>
      </c>
      <c r="K15" s="60" t="str">
        <f aca="false">IFERROR(INDEX(Lists!$C$2:$C$26,MATCH(10,Lists!$D$2:$D$26,0)),"")</f>
        <v/>
      </c>
    </row>
    <row r="16" customFormat="false" ht="15" hidden="false" customHeight="false" outlineLevel="0" collapsed="false">
      <c r="A16" s="13" t="str">
        <f aca="false">IFERROR(INDEX(Lists!$B$2:$B$26,MATCH(11,Lists!$D$2:$D$26,0)),"")</f>
        <v/>
      </c>
      <c r="B16" s="59" t="str">
        <f aca="false">IF($A16="","",IF('Job Info'!$B$53="",0,SUMIFS('Line Detail'!$R$6:$R$505,'Line Detail'!$C$6:$C$505,$A16,'Line Detail'!$D$6:$D$505,'Job Info'!$B$53,'Line Detail'!$B$6:$B$505,"Base")))</f>
        <v/>
      </c>
      <c r="C16" s="59" t="str">
        <f aca="false">IF($A16="","",IF('Job Info'!$B$54="",0,SUMIFS('Line Detail'!$R$6:$R$505,'Line Detail'!$C$6:$C$505,$A16,'Line Detail'!$D$6:$D$505,'Job Info'!$B$54,'Line Detail'!$B$6:$B$505,"Base")))</f>
        <v/>
      </c>
      <c r="D16" s="59" t="str">
        <f aca="false">IF($A16="","",IF('Job Info'!$B$55="",0,SUMIFS('Line Detail'!$R$6:$R$505,'Line Detail'!$C$6:$C$505,$A16,'Line Detail'!$D$6:$D$505,'Job Info'!$B$55,'Line Detail'!$B$6:$B$505,"Base")))</f>
        <v/>
      </c>
      <c r="E16" s="59" t="str">
        <f aca="false">IF($A16="","",IF('Job Info'!$B$56="",0,SUMIFS('Line Detail'!$R$6:$R$505,'Line Detail'!$C$6:$C$505,$A16,'Line Detail'!$D$6:$D$505,'Job Info'!$B$56,'Line Detail'!$B$6:$B$505,"Base")))</f>
        <v/>
      </c>
      <c r="F16" s="59" t="str">
        <f aca="false">IF($A16="","",IF('Job Info'!$B$57="",0,SUMIFS('Line Detail'!$R$6:$R$505,'Line Detail'!$C$6:$C$505,$A16,'Line Detail'!$D$6:$D$505,'Job Info'!$B$57,'Line Detail'!$B$6:$B$505,"Base")))</f>
        <v/>
      </c>
      <c r="G16" s="59" t="str">
        <f aca="false">IF($A16="","",IF('Job Info'!$B$58="",0,SUMIFS('Line Detail'!$R$6:$R$505,'Line Detail'!$C$6:$C$505,$A16,'Line Detail'!$D$6:$D$505,'Job Info'!$B$58,'Line Detail'!$B$6:$B$505,"Base")))</f>
        <v/>
      </c>
      <c r="H16" s="59" t="str">
        <f aca="false">IF($A16="","",IF('Job Info'!$B$59="",0,SUMIFS('Line Detail'!$R$6:$R$505,'Line Detail'!$C$6:$C$505,$A16,'Line Detail'!$D$6:$D$505,'Job Info'!$B$59,'Line Detail'!$B$6:$B$505,"Base")))</f>
        <v/>
      </c>
      <c r="I16" s="59" t="str">
        <f aca="false">IF($A16="","",IF('Job Info'!$B$60="",0,SUMIFS('Line Detail'!$R$6:$R$505,'Line Detail'!$C$6:$C$505,$A16,'Line Detail'!$D$6:$D$505,'Job Info'!$B$60,'Line Detail'!$B$6:$B$505,"Base")))</f>
        <v/>
      </c>
      <c r="J16" s="59" t="str">
        <f aca="false">IF($A16="","",K16-SUM(B16:I16))</f>
        <v/>
      </c>
      <c r="K16" s="60" t="str">
        <f aca="false">IFERROR(INDEX(Lists!$C$2:$C$26,MATCH(11,Lists!$D$2:$D$26,0)),"")</f>
        <v/>
      </c>
    </row>
    <row r="17" customFormat="false" ht="15" hidden="false" customHeight="false" outlineLevel="0" collapsed="false">
      <c r="A17" s="13" t="str">
        <f aca="false">IFERROR(INDEX(Lists!$B$2:$B$26,MATCH(12,Lists!$D$2:$D$26,0)),"")</f>
        <v/>
      </c>
      <c r="B17" s="59" t="str">
        <f aca="false">IF($A17="","",IF('Job Info'!$B$53="",0,SUMIFS('Line Detail'!$R$6:$R$505,'Line Detail'!$C$6:$C$505,$A17,'Line Detail'!$D$6:$D$505,'Job Info'!$B$53,'Line Detail'!$B$6:$B$505,"Base")))</f>
        <v/>
      </c>
      <c r="C17" s="59" t="str">
        <f aca="false">IF($A17="","",IF('Job Info'!$B$54="",0,SUMIFS('Line Detail'!$R$6:$R$505,'Line Detail'!$C$6:$C$505,$A17,'Line Detail'!$D$6:$D$505,'Job Info'!$B$54,'Line Detail'!$B$6:$B$505,"Base")))</f>
        <v/>
      </c>
      <c r="D17" s="59" t="str">
        <f aca="false">IF($A17="","",IF('Job Info'!$B$55="",0,SUMIFS('Line Detail'!$R$6:$R$505,'Line Detail'!$C$6:$C$505,$A17,'Line Detail'!$D$6:$D$505,'Job Info'!$B$55,'Line Detail'!$B$6:$B$505,"Base")))</f>
        <v/>
      </c>
      <c r="E17" s="59" t="str">
        <f aca="false">IF($A17="","",IF('Job Info'!$B$56="",0,SUMIFS('Line Detail'!$R$6:$R$505,'Line Detail'!$C$6:$C$505,$A17,'Line Detail'!$D$6:$D$505,'Job Info'!$B$56,'Line Detail'!$B$6:$B$505,"Base")))</f>
        <v/>
      </c>
      <c r="F17" s="59" t="str">
        <f aca="false">IF($A17="","",IF('Job Info'!$B$57="",0,SUMIFS('Line Detail'!$R$6:$R$505,'Line Detail'!$C$6:$C$505,$A17,'Line Detail'!$D$6:$D$505,'Job Info'!$B$57,'Line Detail'!$B$6:$B$505,"Base")))</f>
        <v/>
      </c>
      <c r="G17" s="59" t="str">
        <f aca="false">IF($A17="","",IF('Job Info'!$B$58="",0,SUMIFS('Line Detail'!$R$6:$R$505,'Line Detail'!$C$6:$C$505,$A17,'Line Detail'!$D$6:$D$505,'Job Info'!$B$58,'Line Detail'!$B$6:$B$505,"Base")))</f>
        <v/>
      </c>
      <c r="H17" s="59" t="str">
        <f aca="false">IF($A17="","",IF('Job Info'!$B$59="",0,SUMIFS('Line Detail'!$R$6:$R$505,'Line Detail'!$C$6:$C$505,$A17,'Line Detail'!$D$6:$D$505,'Job Info'!$B$59,'Line Detail'!$B$6:$B$505,"Base")))</f>
        <v/>
      </c>
      <c r="I17" s="59" t="str">
        <f aca="false">IF($A17="","",IF('Job Info'!$B$60="",0,SUMIFS('Line Detail'!$R$6:$R$505,'Line Detail'!$C$6:$C$505,$A17,'Line Detail'!$D$6:$D$505,'Job Info'!$B$60,'Line Detail'!$B$6:$B$505,"Base")))</f>
        <v/>
      </c>
      <c r="J17" s="59" t="str">
        <f aca="false">IF($A17="","",K17-SUM(B17:I17))</f>
        <v/>
      </c>
      <c r="K17" s="60" t="str">
        <f aca="false">IFERROR(INDEX(Lists!$C$2:$C$26,MATCH(12,Lists!$D$2:$D$26,0)),"")</f>
        <v/>
      </c>
    </row>
    <row r="18" customFormat="false" ht="15" hidden="false" customHeight="false" outlineLevel="0" collapsed="false">
      <c r="A18" s="13" t="str">
        <f aca="false">IFERROR(INDEX(Lists!$B$2:$B$26,MATCH(13,Lists!$D$2:$D$26,0)),"")</f>
        <v/>
      </c>
      <c r="B18" s="59" t="str">
        <f aca="false">IF($A18="","",IF('Job Info'!$B$53="",0,SUMIFS('Line Detail'!$R$6:$R$505,'Line Detail'!$C$6:$C$505,$A18,'Line Detail'!$D$6:$D$505,'Job Info'!$B$53,'Line Detail'!$B$6:$B$505,"Base")))</f>
        <v/>
      </c>
      <c r="C18" s="59" t="str">
        <f aca="false">IF($A18="","",IF('Job Info'!$B$54="",0,SUMIFS('Line Detail'!$R$6:$R$505,'Line Detail'!$C$6:$C$505,$A18,'Line Detail'!$D$6:$D$505,'Job Info'!$B$54,'Line Detail'!$B$6:$B$505,"Base")))</f>
        <v/>
      </c>
      <c r="D18" s="59" t="str">
        <f aca="false">IF($A18="","",IF('Job Info'!$B$55="",0,SUMIFS('Line Detail'!$R$6:$R$505,'Line Detail'!$C$6:$C$505,$A18,'Line Detail'!$D$6:$D$505,'Job Info'!$B$55,'Line Detail'!$B$6:$B$505,"Base")))</f>
        <v/>
      </c>
      <c r="E18" s="59" t="str">
        <f aca="false">IF($A18="","",IF('Job Info'!$B$56="",0,SUMIFS('Line Detail'!$R$6:$R$505,'Line Detail'!$C$6:$C$505,$A18,'Line Detail'!$D$6:$D$505,'Job Info'!$B$56,'Line Detail'!$B$6:$B$505,"Base")))</f>
        <v/>
      </c>
      <c r="F18" s="59" t="str">
        <f aca="false">IF($A18="","",IF('Job Info'!$B$57="",0,SUMIFS('Line Detail'!$R$6:$R$505,'Line Detail'!$C$6:$C$505,$A18,'Line Detail'!$D$6:$D$505,'Job Info'!$B$57,'Line Detail'!$B$6:$B$505,"Base")))</f>
        <v/>
      </c>
      <c r="G18" s="59" t="str">
        <f aca="false">IF($A18="","",IF('Job Info'!$B$58="",0,SUMIFS('Line Detail'!$R$6:$R$505,'Line Detail'!$C$6:$C$505,$A18,'Line Detail'!$D$6:$D$505,'Job Info'!$B$58,'Line Detail'!$B$6:$B$505,"Base")))</f>
        <v/>
      </c>
      <c r="H18" s="59" t="str">
        <f aca="false">IF($A18="","",IF('Job Info'!$B$59="",0,SUMIFS('Line Detail'!$R$6:$R$505,'Line Detail'!$C$6:$C$505,$A18,'Line Detail'!$D$6:$D$505,'Job Info'!$B$59,'Line Detail'!$B$6:$B$505,"Base")))</f>
        <v/>
      </c>
      <c r="I18" s="59" t="str">
        <f aca="false">IF($A18="","",IF('Job Info'!$B$60="",0,SUMIFS('Line Detail'!$R$6:$R$505,'Line Detail'!$C$6:$C$505,$A18,'Line Detail'!$D$6:$D$505,'Job Info'!$B$60,'Line Detail'!$B$6:$B$505,"Base")))</f>
        <v/>
      </c>
      <c r="J18" s="59" t="str">
        <f aca="false">IF($A18="","",K18-SUM(B18:I18))</f>
        <v/>
      </c>
      <c r="K18" s="60" t="str">
        <f aca="false">IFERROR(INDEX(Lists!$C$2:$C$26,MATCH(13,Lists!$D$2:$D$26,0)),"")</f>
        <v/>
      </c>
    </row>
    <row r="19" customFormat="false" ht="15" hidden="false" customHeight="false" outlineLevel="0" collapsed="false">
      <c r="A19" s="13" t="str">
        <f aca="false">IFERROR(INDEX(Lists!$B$2:$B$26,MATCH(14,Lists!$D$2:$D$26,0)),"")</f>
        <v/>
      </c>
      <c r="B19" s="59" t="str">
        <f aca="false">IF($A19="","",IF('Job Info'!$B$53="",0,SUMIFS('Line Detail'!$R$6:$R$505,'Line Detail'!$C$6:$C$505,$A19,'Line Detail'!$D$6:$D$505,'Job Info'!$B$53,'Line Detail'!$B$6:$B$505,"Base")))</f>
        <v/>
      </c>
      <c r="C19" s="59" t="str">
        <f aca="false">IF($A19="","",IF('Job Info'!$B$54="",0,SUMIFS('Line Detail'!$R$6:$R$505,'Line Detail'!$C$6:$C$505,$A19,'Line Detail'!$D$6:$D$505,'Job Info'!$B$54,'Line Detail'!$B$6:$B$505,"Base")))</f>
        <v/>
      </c>
      <c r="D19" s="59" t="str">
        <f aca="false">IF($A19="","",IF('Job Info'!$B$55="",0,SUMIFS('Line Detail'!$R$6:$R$505,'Line Detail'!$C$6:$C$505,$A19,'Line Detail'!$D$6:$D$505,'Job Info'!$B$55,'Line Detail'!$B$6:$B$505,"Base")))</f>
        <v/>
      </c>
      <c r="E19" s="59" t="str">
        <f aca="false">IF($A19="","",IF('Job Info'!$B$56="",0,SUMIFS('Line Detail'!$R$6:$R$505,'Line Detail'!$C$6:$C$505,$A19,'Line Detail'!$D$6:$D$505,'Job Info'!$B$56,'Line Detail'!$B$6:$B$505,"Base")))</f>
        <v/>
      </c>
      <c r="F19" s="59" t="str">
        <f aca="false">IF($A19="","",IF('Job Info'!$B$57="",0,SUMIFS('Line Detail'!$R$6:$R$505,'Line Detail'!$C$6:$C$505,$A19,'Line Detail'!$D$6:$D$505,'Job Info'!$B$57,'Line Detail'!$B$6:$B$505,"Base")))</f>
        <v/>
      </c>
      <c r="G19" s="59" t="str">
        <f aca="false">IF($A19="","",IF('Job Info'!$B$58="",0,SUMIFS('Line Detail'!$R$6:$R$505,'Line Detail'!$C$6:$C$505,$A19,'Line Detail'!$D$6:$D$505,'Job Info'!$B$58,'Line Detail'!$B$6:$B$505,"Base")))</f>
        <v/>
      </c>
      <c r="H19" s="59" t="str">
        <f aca="false">IF($A19="","",IF('Job Info'!$B$59="",0,SUMIFS('Line Detail'!$R$6:$R$505,'Line Detail'!$C$6:$C$505,$A19,'Line Detail'!$D$6:$D$505,'Job Info'!$B$59,'Line Detail'!$B$6:$B$505,"Base")))</f>
        <v/>
      </c>
      <c r="I19" s="59" t="str">
        <f aca="false">IF($A19="","",IF('Job Info'!$B$60="",0,SUMIFS('Line Detail'!$R$6:$R$505,'Line Detail'!$C$6:$C$505,$A19,'Line Detail'!$D$6:$D$505,'Job Info'!$B$60,'Line Detail'!$B$6:$B$505,"Base")))</f>
        <v/>
      </c>
      <c r="J19" s="59" t="str">
        <f aca="false">IF($A19="","",K19-SUM(B19:I19))</f>
        <v/>
      </c>
      <c r="K19" s="60" t="str">
        <f aca="false">IFERROR(INDEX(Lists!$C$2:$C$26,MATCH(14,Lists!$D$2:$D$26,0)),"")</f>
        <v/>
      </c>
    </row>
    <row r="20" customFormat="false" ht="15" hidden="false" customHeight="false" outlineLevel="0" collapsed="false">
      <c r="A20" s="13" t="str">
        <f aca="false">IFERROR(INDEX(Lists!$B$2:$B$26,MATCH(15,Lists!$D$2:$D$26,0)),"")</f>
        <v/>
      </c>
      <c r="B20" s="59" t="str">
        <f aca="false">IF($A20="","",IF('Job Info'!$B$53="",0,SUMIFS('Line Detail'!$R$6:$R$505,'Line Detail'!$C$6:$C$505,$A20,'Line Detail'!$D$6:$D$505,'Job Info'!$B$53,'Line Detail'!$B$6:$B$505,"Base")))</f>
        <v/>
      </c>
      <c r="C20" s="59" t="str">
        <f aca="false">IF($A20="","",IF('Job Info'!$B$54="",0,SUMIFS('Line Detail'!$R$6:$R$505,'Line Detail'!$C$6:$C$505,$A20,'Line Detail'!$D$6:$D$505,'Job Info'!$B$54,'Line Detail'!$B$6:$B$505,"Base")))</f>
        <v/>
      </c>
      <c r="D20" s="59" t="str">
        <f aca="false">IF($A20="","",IF('Job Info'!$B$55="",0,SUMIFS('Line Detail'!$R$6:$R$505,'Line Detail'!$C$6:$C$505,$A20,'Line Detail'!$D$6:$D$505,'Job Info'!$B$55,'Line Detail'!$B$6:$B$505,"Base")))</f>
        <v/>
      </c>
      <c r="E20" s="59" t="str">
        <f aca="false">IF($A20="","",IF('Job Info'!$B$56="",0,SUMIFS('Line Detail'!$R$6:$R$505,'Line Detail'!$C$6:$C$505,$A20,'Line Detail'!$D$6:$D$505,'Job Info'!$B$56,'Line Detail'!$B$6:$B$505,"Base")))</f>
        <v/>
      </c>
      <c r="F20" s="59" t="str">
        <f aca="false">IF($A20="","",IF('Job Info'!$B$57="",0,SUMIFS('Line Detail'!$R$6:$R$505,'Line Detail'!$C$6:$C$505,$A20,'Line Detail'!$D$6:$D$505,'Job Info'!$B$57,'Line Detail'!$B$6:$B$505,"Base")))</f>
        <v/>
      </c>
      <c r="G20" s="59" t="str">
        <f aca="false">IF($A20="","",IF('Job Info'!$B$58="",0,SUMIFS('Line Detail'!$R$6:$R$505,'Line Detail'!$C$6:$C$505,$A20,'Line Detail'!$D$6:$D$505,'Job Info'!$B$58,'Line Detail'!$B$6:$B$505,"Base")))</f>
        <v/>
      </c>
      <c r="H20" s="59" t="str">
        <f aca="false">IF($A20="","",IF('Job Info'!$B$59="",0,SUMIFS('Line Detail'!$R$6:$R$505,'Line Detail'!$C$6:$C$505,$A20,'Line Detail'!$D$6:$D$505,'Job Info'!$B$59,'Line Detail'!$B$6:$B$505,"Base")))</f>
        <v/>
      </c>
      <c r="I20" s="59" t="str">
        <f aca="false">IF($A20="","",IF('Job Info'!$B$60="",0,SUMIFS('Line Detail'!$R$6:$R$505,'Line Detail'!$C$6:$C$505,$A20,'Line Detail'!$D$6:$D$505,'Job Info'!$B$60,'Line Detail'!$B$6:$B$505,"Base")))</f>
        <v/>
      </c>
      <c r="J20" s="59" t="str">
        <f aca="false">IF($A20="","",K20-SUM(B20:I20))</f>
        <v/>
      </c>
      <c r="K20" s="60" t="str">
        <f aca="false">IFERROR(INDEX(Lists!$C$2:$C$26,MATCH(15,Lists!$D$2:$D$26,0)),"")</f>
        <v/>
      </c>
    </row>
    <row r="21" customFormat="false" ht="15" hidden="false" customHeight="false" outlineLevel="0" collapsed="false">
      <c r="A21" s="13" t="str">
        <f aca="false">IFERROR(INDEX(Lists!$B$2:$B$26,MATCH(16,Lists!$D$2:$D$26,0)),"")</f>
        <v/>
      </c>
      <c r="B21" s="59" t="str">
        <f aca="false">IF($A21="","",IF('Job Info'!$B$53="",0,SUMIFS('Line Detail'!$R$6:$R$505,'Line Detail'!$C$6:$C$505,$A21,'Line Detail'!$D$6:$D$505,'Job Info'!$B$53,'Line Detail'!$B$6:$B$505,"Base")))</f>
        <v/>
      </c>
      <c r="C21" s="59" t="str">
        <f aca="false">IF($A21="","",IF('Job Info'!$B$54="",0,SUMIFS('Line Detail'!$R$6:$R$505,'Line Detail'!$C$6:$C$505,$A21,'Line Detail'!$D$6:$D$505,'Job Info'!$B$54,'Line Detail'!$B$6:$B$505,"Base")))</f>
        <v/>
      </c>
      <c r="D21" s="59" t="str">
        <f aca="false">IF($A21="","",IF('Job Info'!$B$55="",0,SUMIFS('Line Detail'!$R$6:$R$505,'Line Detail'!$C$6:$C$505,$A21,'Line Detail'!$D$6:$D$505,'Job Info'!$B$55,'Line Detail'!$B$6:$B$505,"Base")))</f>
        <v/>
      </c>
      <c r="E21" s="59" t="str">
        <f aca="false">IF($A21="","",IF('Job Info'!$B$56="",0,SUMIFS('Line Detail'!$R$6:$R$505,'Line Detail'!$C$6:$C$505,$A21,'Line Detail'!$D$6:$D$505,'Job Info'!$B$56,'Line Detail'!$B$6:$B$505,"Base")))</f>
        <v/>
      </c>
      <c r="F21" s="59" t="str">
        <f aca="false">IF($A21="","",IF('Job Info'!$B$57="",0,SUMIFS('Line Detail'!$R$6:$R$505,'Line Detail'!$C$6:$C$505,$A21,'Line Detail'!$D$6:$D$505,'Job Info'!$B$57,'Line Detail'!$B$6:$B$505,"Base")))</f>
        <v/>
      </c>
      <c r="G21" s="59" t="str">
        <f aca="false">IF($A21="","",IF('Job Info'!$B$58="",0,SUMIFS('Line Detail'!$R$6:$R$505,'Line Detail'!$C$6:$C$505,$A21,'Line Detail'!$D$6:$D$505,'Job Info'!$B$58,'Line Detail'!$B$6:$B$505,"Base")))</f>
        <v/>
      </c>
      <c r="H21" s="59" t="str">
        <f aca="false">IF($A21="","",IF('Job Info'!$B$59="",0,SUMIFS('Line Detail'!$R$6:$R$505,'Line Detail'!$C$6:$C$505,$A21,'Line Detail'!$D$6:$D$505,'Job Info'!$B$59,'Line Detail'!$B$6:$B$505,"Base")))</f>
        <v/>
      </c>
      <c r="I21" s="59" t="str">
        <f aca="false">IF($A21="","",IF('Job Info'!$B$60="",0,SUMIFS('Line Detail'!$R$6:$R$505,'Line Detail'!$C$6:$C$505,$A21,'Line Detail'!$D$6:$D$505,'Job Info'!$B$60,'Line Detail'!$B$6:$B$505,"Base")))</f>
        <v/>
      </c>
      <c r="J21" s="59" t="str">
        <f aca="false">IF($A21="","",K21-SUM(B21:I21))</f>
        <v/>
      </c>
      <c r="K21" s="60" t="str">
        <f aca="false">IFERROR(INDEX(Lists!$C$2:$C$26,MATCH(16,Lists!$D$2:$D$26,0)),"")</f>
        <v/>
      </c>
    </row>
    <row r="22" customFormat="false" ht="15" hidden="false" customHeight="false" outlineLevel="0" collapsed="false">
      <c r="A22" s="5" t="s">
        <v>310</v>
      </c>
      <c r="B22" s="61" t="n">
        <f aca="false">SUM(B6:B21)</f>
        <v>6328.75367647059</v>
      </c>
      <c r="C22" s="61" t="n">
        <f aca="false">SUM(C6:C21)</f>
        <v>0</v>
      </c>
      <c r="D22" s="61" t="n">
        <f aca="false">SUM(D6:D21)</f>
        <v>0</v>
      </c>
      <c r="E22" s="61" t="n">
        <f aca="false">SUM(E6:E21)</f>
        <v>0</v>
      </c>
      <c r="F22" s="61" t="n">
        <f aca="false">SUM(F6:F21)</f>
        <v>0</v>
      </c>
      <c r="G22" s="61" t="n">
        <f aca="false">SUM(G6:G21)</f>
        <v>0</v>
      </c>
      <c r="H22" s="61" t="n">
        <f aca="false">SUM(H6:H21)</f>
        <v>0</v>
      </c>
      <c r="I22" s="61" t="n">
        <f aca="false">SUM(I6:I21)</f>
        <v>0</v>
      </c>
      <c r="J22" s="61" t="n">
        <f aca="false">SUM(J6:J21)</f>
        <v>0</v>
      </c>
      <c r="K22" s="61" t="n">
        <f aca="false">SUM(K6:K21)</f>
        <v>6328.75367647059</v>
      </c>
    </row>
    <row r="23" customFormat="false" ht="15" hidden="false" customHeight="false" outlineLevel="0" collapsed="false">
      <c r="A23" s="1"/>
      <c r="B23" s="1"/>
      <c r="C23" s="1"/>
      <c r="D23" s="1"/>
      <c r="E23" s="1"/>
      <c r="F23" s="1"/>
      <c r="G23" s="1"/>
      <c r="H23" s="1"/>
      <c r="I23" s="1"/>
      <c r="J23" s="1"/>
      <c r="K23" s="1"/>
    </row>
    <row r="24" customFormat="false" ht="15" hidden="false" customHeight="false" outlineLevel="0" collapsed="false">
      <c r="A24" s="28" t="s">
        <v>311</v>
      </c>
      <c r="B24" s="28" t="s">
        <v>312</v>
      </c>
      <c r="C24" s="28" t="s">
        <v>313</v>
      </c>
      <c r="D24" s="28" t="s">
        <v>309</v>
      </c>
      <c r="E24" s="1"/>
      <c r="F24" s="1"/>
      <c r="G24" s="1"/>
      <c r="H24" s="1"/>
      <c r="I24" s="1"/>
      <c r="J24" s="1"/>
      <c r="K24" s="1"/>
    </row>
    <row r="25" customFormat="false" ht="15" hidden="false" customHeight="false" outlineLevel="0" collapsed="false">
      <c r="A25" s="1" t="str">
        <f aca="false">IF('Job Info'!$B$53="","",'Job Info'!$B$53)</f>
        <v>Units / Apartments</v>
      </c>
      <c r="B25" s="59" t="n">
        <f aca="false">IF('Job Info'!$B$53="",0,SUMIFS('Line Detail'!$P$6:$P$505,'Line Detail'!$D$6:$D$505,'Job Info'!$B$53,'Line Detail'!$B$6:$B$505,"Base"))</f>
        <v>4475.8125</v>
      </c>
      <c r="C25" s="59" t="n">
        <f aca="false">IF('Job Info'!$B$53="",0,SUMIFS('Line Detail'!$Q$6:$Q$505,'Line Detail'!$D$6:$D$505,'Job Info'!$B$53,'Line Detail'!$B$6:$B$505,"Base"))</f>
        <v>1852.94117647059</v>
      </c>
      <c r="D25" s="59" t="n">
        <f aca="false">B25+C25</f>
        <v>6328.75367647059</v>
      </c>
      <c r="E25" s="1"/>
      <c r="F25" s="1"/>
      <c r="G25" s="1"/>
      <c r="H25" s="1"/>
      <c r="I25" s="1"/>
      <c r="J25" s="1"/>
      <c r="K25" s="1"/>
    </row>
    <row r="26" customFormat="false" ht="15" hidden="false" customHeight="false" outlineLevel="0" collapsed="false">
      <c r="A26" s="1" t="str">
        <f aca="false">IF('Job Info'!$B$54="","",'Job Info'!$B$54)</f>
        <v>Clubhouse</v>
      </c>
      <c r="B26" s="59" t="n">
        <f aca="false">IF('Job Info'!$B$54="",0,SUMIFS('Line Detail'!$P$6:$P$505,'Line Detail'!$D$6:$D$505,'Job Info'!$B$54,'Line Detail'!$B$6:$B$505,"Base"))</f>
        <v>0</v>
      </c>
      <c r="C26" s="59" t="n">
        <f aca="false">IF('Job Info'!$B$54="",0,SUMIFS('Line Detail'!$Q$6:$Q$505,'Line Detail'!$D$6:$D$505,'Job Info'!$B$54,'Line Detail'!$B$6:$B$505,"Base"))</f>
        <v>0</v>
      </c>
      <c r="D26" s="59" t="n">
        <f aca="false">B26+C26</f>
        <v>0</v>
      </c>
      <c r="E26" s="1"/>
      <c r="F26" s="1"/>
      <c r="G26" s="1"/>
      <c r="H26" s="1"/>
      <c r="I26" s="1"/>
      <c r="J26" s="1"/>
      <c r="K26" s="1"/>
    </row>
    <row r="27" customFormat="false" ht="15" hidden="false" customHeight="false" outlineLevel="0" collapsed="false">
      <c r="A27" s="1" t="str">
        <f aca="false">IF('Job Info'!$B$55="","",'Job Info'!$B$55)</f>
        <v>Leasing / Amenity</v>
      </c>
      <c r="B27" s="59" t="n">
        <f aca="false">IF('Job Info'!$B$55="",0,SUMIFS('Line Detail'!$P$6:$P$505,'Line Detail'!$D$6:$D$505,'Job Info'!$B$55,'Line Detail'!$B$6:$B$505,"Base"))</f>
        <v>0</v>
      </c>
      <c r="C27" s="59" t="n">
        <f aca="false">IF('Job Info'!$B$55="",0,SUMIFS('Line Detail'!$Q$6:$Q$505,'Line Detail'!$D$6:$D$505,'Job Info'!$B$55,'Line Detail'!$B$6:$B$505,"Base"))</f>
        <v>0</v>
      </c>
      <c r="D27" s="59" t="n">
        <f aca="false">B27+C27</f>
        <v>0</v>
      </c>
      <c r="E27" s="1"/>
      <c r="F27" s="1"/>
      <c r="G27" s="1"/>
      <c r="H27" s="1"/>
      <c r="I27" s="1"/>
      <c r="J27" s="1"/>
      <c r="K27" s="1"/>
    </row>
    <row r="28" customFormat="false" ht="15" hidden="false" customHeight="false" outlineLevel="0" collapsed="false">
      <c r="A28" s="1" t="str">
        <f aca="false">IF('Job Info'!$B$56="","",'Job Info'!$B$56)</f>
        <v>Corridors / Common</v>
      </c>
      <c r="B28" s="59" t="n">
        <f aca="false">IF('Job Info'!$B$56="",0,SUMIFS('Line Detail'!$P$6:$P$505,'Line Detail'!$D$6:$D$505,'Job Info'!$B$56,'Line Detail'!$B$6:$B$505,"Base"))</f>
        <v>0</v>
      </c>
      <c r="C28" s="59" t="n">
        <f aca="false">IF('Job Info'!$B$56="",0,SUMIFS('Line Detail'!$Q$6:$Q$505,'Line Detail'!$D$6:$D$505,'Job Info'!$B$56,'Line Detail'!$B$6:$B$505,"Base"))</f>
        <v>0</v>
      </c>
      <c r="D28" s="59" t="n">
        <f aca="false">B28+C28</f>
        <v>0</v>
      </c>
      <c r="E28" s="1"/>
      <c r="F28" s="1"/>
      <c r="G28" s="1"/>
      <c r="H28" s="1"/>
      <c r="I28" s="1"/>
      <c r="J28" s="1"/>
      <c r="K28" s="1"/>
    </row>
    <row r="29" customFormat="false" ht="15" hidden="false" customHeight="false" outlineLevel="0" collapsed="false">
      <c r="A29" s="1" t="str">
        <f aca="false">IF('Job Info'!$B$57="","",'Job Info'!$B$57)</f>
        <v>Maintenance</v>
      </c>
      <c r="B29" s="59" t="n">
        <f aca="false">IF('Job Info'!$B$57="",0,SUMIFS('Line Detail'!$P$6:$P$505,'Line Detail'!$D$6:$D$505,'Job Info'!$B$57,'Line Detail'!$B$6:$B$505,"Base"))</f>
        <v>0</v>
      </c>
      <c r="C29" s="59" t="n">
        <f aca="false">IF('Job Info'!$B$57="",0,SUMIFS('Line Detail'!$Q$6:$Q$505,'Line Detail'!$D$6:$D$505,'Job Info'!$B$57,'Line Detail'!$B$6:$B$505,"Base"))</f>
        <v>0</v>
      </c>
      <c r="D29" s="59" t="n">
        <f aca="false">B29+C29</f>
        <v>0</v>
      </c>
      <c r="E29" s="1"/>
      <c r="F29" s="1"/>
      <c r="G29" s="1"/>
      <c r="H29" s="1"/>
      <c r="I29" s="1"/>
      <c r="J29" s="1"/>
      <c r="K29" s="1"/>
    </row>
    <row r="30" customFormat="false" ht="15" hidden="false" customHeight="false" outlineLevel="0" collapsed="false">
      <c r="A30" s="1" t="str">
        <f aca="false">IF('Job Info'!$B$58="","",'Job Info'!$B$58)</f>
        <v>Garages</v>
      </c>
      <c r="B30" s="59" t="n">
        <f aca="false">IF('Job Info'!$B$58="",0,SUMIFS('Line Detail'!$P$6:$P$505,'Line Detail'!$D$6:$D$505,'Job Info'!$B$58,'Line Detail'!$B$6:$B$505,"Base"))</f>
        <v>0</v>
      </c>
      <c r="C30" s="59" t="n">
        <f aca="false">IF('Job Info'!$B$58="",0,SUMIFS('Line Detail'!$Q$6:$Q$505,'Line Detail'!$D$6:$D$505,'Job Info'!$B$58,'Line Detail'!$B$6:$B$505,"Base"))</f>
        <v>0</v>
      </c>
      <c r="D30" s="59" t="n">
        <f aca="false">B30+C30</f>
        <v>0</v>
      </c>
      <c r="E30" s="1"/>
      <c r="F30" s="1"/>
      <c r="G30" s="1"/>
      <c r="H30" s="1"/>
      <c r="I30" s="1"/>
      <c r="J30" s="1"/>
      <c r="K30" s="1"/>
    </row>
    <row r="31" customFormat="false" ht="15" hidden="false" customHeight="false" outlineLevel="0" collapsed="false">
      <c r="A31" s="1" t="str">
        <f aca="false">IF('Job Info'!$B$59="","",'Job Info'!$B$59)</f>
        <v>Pool Cabana</v>
      </c>
      <c r="B31" s="59" t="n">
        <f aca="false">IF('Job Info'!$B$59="",0,SUMIFS('Line Detail'!$P$6:$P$505,'Line Detail'!$D$6:$D$505,'Job Info'!$B$59,'Line Detail'!$B$6:$B$505,"Base"))</f>
        <v>0</v>
      </c>
      <c r="C31" s="59" t="n">
        <f aca="false">IF('Job Info'!$B$59="",0,SUMIFS('Line Detail'!$Q$6:$Q$505,'Line Detail'!$D$6:$D$505,'Job Info'!$B$59,'Line Detail'!$B$6:$B$505,"Base"))</f>
        <v>0</v>
      </c>
      <c r="D31" s="59" t="n">
        <f aca="false">B31+C31</f>
        <v>0</v>
      </c>
      <c r="E31" s="1"/>
      <c r="F31" s="1"/>
      <c r="G31" s="1"/>
      <c r="H31" s="1"/>
      <c r="I31" s="1"/>
      <c r="J31" s="1"/>
      <c r="K31" s="1"/>
    </row>
    <row r="32" customFormat="false" ht="15" hidden="false" customHeight="false" outlineLevel="0" collapsed="false">
      <c r="A32" s="1" t="str">
        <f aca="false">IF('Job Info'!$B$60="","",'Job Info'!$B$60)</f>
        <v/>
      </c>
      <c r="B32" s="59" t="n">
        <f aca="false">IF('Job Info'!$B$60="",0,SUMIFS('Line Detail'!$P$6:$P$505,'Line Detail'!$D$6:$D$505,'Job Info'!$B$60,'Line Detail'!$B$6:$B$505,"Base"))</f>
        <v>0</v>
      </c>
      <c r="C32" s="59" t="n">
        <f aca="false">IF('Job Info'!$B$60="",0,SUMIFS('Line Detail'!$Q$6:$Q$505,'Line Detail'!$D$6:$D$505,'Job Info'!$B$60,'Line Detail'!$B$6:$B$505,"Base"))</f>
        <v>0</v>
      </c>
      <c r="D32" s="59" t="n">
        <f aca="false">B32+C32</f>
        <v>0</v>
      </c>
      <c r="E32" s="1"/>
      <c r="F32" s="1"/>
      <c r="G32" s="1"/>
      <c r="H32" s="1"/>
      <c r="I32" s="1"/>
      <c r="J32" s="1"/>
      <c r="K32" s="1"/>
    </row>
    <row r="33" customFormat="false" ht="15" hidden="false" customHeight="false" outlineLevel="0" collapsed="false">
      <c r="A33" s="1" t="s">
        <v>314</v>
      </c>
      <c r="B33" s="59" t="n">
        <f aca="false">SUMIFS('Line Detail'!$P$6:$P$505,'Line Detail'!$B$6:$B$505,"Base")-SUM(B25:B32)</f>
        <v>0</v>
      </c>
      <c r="C33" s="59" t="n">
        <f aca="false">SUMIFS('Line Detail'!$Q$6:$Q$505,'Line Detail'!$B$6:$B$505,"Base")-SUM(C25:C32)</f>
        <v>0</v>
      </c>
      <c r="D33" s="59" t="n">
        <f aca="false">B33+C33</f>
        <v>0</v>
      </c>
      <c r="E33" s="1"/>
      <c r="F33" s="1"/>
      <c r="G33" s="1"/>
      <c r="H33" s="1"/>
      <c r="I33" s="1"/>
      <c r="J33" s="1"/>
      <c r="K33" s="1"/>
    </row>
    <row r="34" customFormat="false" ht="15" hidden="false" customHeight="false" outlineLevel="0" collapsed="false">
      <c r="A34" s="5" t="s">
        <v>315</v>
      </c>
      <c r="B34" s="61" t="n">
        <f aca="false">SUM(B25:B33)</f>
        <v>4475.8125</v>
      </c>
      <c r="C34" s="61" t="n">
        <f aca="false">SUM(C25:C33)</f>
        <v>1852.94117647059</v>
      </c>
      <c r="D34" s="61" t="n">
        <f aca="false">SUM(D25:D33)</f>
        <v>6328.75367647059</v>
      </c>
      <c r="E34" s="1"/>
      <c r="F34" s="1"/>
      <c r="G34" s="1"/>
      <c r="H34" s="1"/>
      <c r="I34" s="1"/>
      <c r="J34" s="1"/>
      <c r="K34" s="1"/>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M5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9"/>
    <col collapsed="false" customWidth="true" hidden="false" outlineLevel="0" max="3" min="3" style="0" width="27"/>
    <col collapsed="false" customWidth="true" hidden="false" outlineLevel="0" max="4" min="4" style="0" width="15"/>
    <col collapsed="false" customWidth="true" hidden="false" outlineLevel="0" max="5" min="5" style="0" width="12"/>
    <col collapsed="false" customWidth="true" hidden="false" outlineLevel="0" max="6" min="6" style="0" width="52"/>
    <col collapsed="false" customWidth="true" hidden="false" outlineLevel="0" max="7" min="7" style="0" width="11"/>
    <col collapsed="false" customWidth="true" hidden="false" outlineLevel="0" max="8" min="8" style="0" width="6"/>
    <col collapsed="false" customWidth="true" hidden="false" outlineLevel="0" max="9" min="9" style="0" width="12"/>
    <col collapsed="false" customWidth="true" hidden="false" outlineLevel="0" max="10" min="10" style="0" width="14"/>
    <col collapsed="false" customWidth="true" hidden="false" outlineLevel="0" max="11" min="11" style="0" width="20"/>
    <col collapsed="false" customWidth="true" hidden="true" outlineLevel="0" max="13" min="13" style="0" width="13"/>
  </cols>
  <sheetData>
    <row r="1" customFormat="false" ht="19.7" hidden="false" customHeight="false" outlineLevel="0" collapsed="false">
      <c r="A1" s="2" t="str">
        <f aca="false">'Job Info'!$B$5&amp;"  -  BID SUMMARY"</f>
        <v>Four Corners Building Supply  -  BID SUMMARY</v>
      </c>
      <c r="B1" s="1"/>
      <c r="C1" s="1"/>
      <c r="D1" s="1"/>
      <c r="E1" s="1"/>
      <c r="F1" s="1"/>
      <c r="G1" s="1"/>
      <c r="H1" s="1"/>
      <c r="I1" s="1"/>
      <c r="J1" s="1"/>
      <c r="K1" s="1"/>
      <c r="L1" s="1"/>
      <c r="M1" s="1"/>
    </row>
    <row r="2" customFormat="false" ht="15" hidden="false" customHeight="false" outlineLevel="0" collapsed="false">
      <c r="A2" s="5" t="str">
        <f aca="false">"Job: "&amp;'Job Info'!$B$20&amp;"   |   Proposal "&amp;'Job Info'!$B$28&amp;"   |   Plans dated "&amp;IF('Job Info'!$B$25="","[date TBD]",TEXT('Job Info'!$B$25,"mmmm d, yyyy"))</f>
        <v>Job:    |   Proposal    |   Plans dated [date TBD]</v>
      </c>
      <c r="B2" s="1"/>
      <c r="C2" s="1"/>
      <c r="D2" s="1"/>
      <c r="E2" s="1"/>
      <c r="F2" s="1"/>
      <c r="G2" s="1"/>
      <c r="H2" s="1"/>
      <c r="I2" s="1"/>
      <c r="J2" s="1"/>
      <c r="K2" s="1"/>
      <c r="L2" s="1"/>
      <c r="M2" s="1"/>
    </row>
    <row r="3" customFormat="false" ht="15" hidden="false" customHeight="false" outlineLevel="0" collapsed="false">
      <c r="A3" s="10" t="str">
        <f aca="false">"Part of the proposal. Unit prices include material"&amp;IF('Job Info'!$B$38="Yes"," (with "&amp;TEXT('Job Info'!$B$37,"0.0%")&amp;" sales tax)","")&amp;" and installation labor where applicable. Lines marked Alt or Optional are NOT in the base bid."</f>
        <v>Part of the proposal. Unit prices include material (with 9.0% sales tax) and installation labor where applicable. Lines marked Alt or Optional are NOT in the base bid.</v>
      </c>
      <c r="B3" s="1"/>
      <c r="C3" s="1"/>
      <c r="D3" s="1"/>
      <c r="E3" s="1"/>
      <c r="F3" s="1"/>
      <c r="G3" s="1"/>
      <c r="H3" s="1"/>
      <c r="I3" s="1"/>
      <c r="J3" s="1"/>
      <c r="K3" s="1"/>
      <c r="L3" s="1"/>
      <c r="M3" s="1"/>
    </row>
    <row r="4" customFormat="false" ht="15" hidden="false" customHeight="false" outlineLevel="0" collapsed="false">
      <c r="A4" s="1"/>
      <c r="B4" s="1"/>
      <c r="C4" s="1"/>
      <c r="D4" s="1"/>
      <c r="E4" s="1"/>
      <c r="F4" s="1"/>
      <c r="G4" s="1"/>
      <c r="H4" s="1"/>
      <c r="I4" s="1"/>
      <c r="J4" s="1"/>
      <c r="K4" s="1"/>
      <c r="L4" s="1"/>
      <c r="M4" s="1"/>
    </row>
    <row r="5" customFormat="false" ht="15" hidden="false" customHeight="false" outlineLevel="0" collapsed="false">
      <c r="A5" s="28" t="s">
        <v>316</v>
      </c>
      <c r="B5" s="28" t="s">
        <v>317</v>
      </c>
      <c r="C5" s="28" t="s">
        <v>154</v>
      </c>
      <c r="D5" s="28" t="s">
        <v>155</v>
      </c>
      <c r="E5" s="28" t="s">
        <v>318</v>
      </c>
      <c r="F5" s="28" t="s">
        <v>319</v>
      </c>
      <c r="G5" s="28" t="s">
        <v>158</v>
      </c>
      <c r="H5" s="28" t="s">
        <v>159</v>
      </c>
      <c r="I5" s="28" t="s">
        <v>320</v>
      </c>
      <c r="J5" s="28" t="s">
        <v>321</v>
      </c>
      <c r="K5" s="28" t="s">
        <v>322</v>
      </c>
      <c r="L5" s="1"/>
      <c r="M5" s="1"/>
    </row>
    <row r="6" customFormat="false" ht="15" hidden="false" customHeight="false" outlineLevel="0" collapsed="false">
      <c r="A6" s="13" t="n">
        <f aca="false">IF($M6=0,"",1)</f>
        <v>1</v>
      </c>
      <c r="B6" s="13" t="str">
        <f aca="false">IF($M6=0,"",IF(INDEX('Line Detail'!$B$6:$B$505,$M6)="","",INDEX('Line Detail'!$B$6:$B$505,$M6)))</f>
        <v>Base</v>
      </c>
      <c r="C6" s="13" t="str">
        <f aca="false">IF($M6=0,"",IF(INDEX('Line Detail'!$C$6:$C$505,$M6)="","",INDEX('Line Detail'!$C$6:$C$505,$M6)))</f>
        <v>06 20 00 Interior Trim / Finish Carpentry</v>
      </c>
      <c r="D6" s="13" t="str">
        <f aca="false">IF($M6=0,"",IF(INDEX('Line Detail'!$D$6:$D$505,$M6)="","",INDEX('Line Detail'!$D$6:$D$505,$M6)))</f>
        <v>Units / Apartments</v>
      </c>
      <c r="E6" s="13" t="str">
        <f aca="false">IF($M6=0,"",IF(INDEX('Line Detail'!$E$6:$E$505,$M6)="","",INDEX('Line Detail'!$E$6:$E$505,$M6)))</f>
        <v/>
      </c>
      <c r="F6" s="6" t="str">
        <f aca="false">IF($M6=0,"",IF(INDEX('Line Detail'!$F$6:$F$505,$M6)="","",INDEX('Line Detail'!$F$6:$F$505,$M6)))</f>
        <v>Base FJ Primed 1x6</v>
      </c>
      <c r="G6" s="62" t="n">
        <f aca="false">IF($M6=0,"",IF(INDEX('Line Detail'!$G$6:$G$505,$M6)="","",INDEX('Line Detail'!$G$6:$G$505,$M6)))</f>
        <v>1000</v>
      </c>
      <c r="H6" s="13" t="str">
        <f aca="false">IF($M6=0,"",IF(INDEX('Line Detail'!$H$6:$H$505,$M6)="","",INDEX('Line Detail'!$H$6:$H$505,$M6)))</f>
        <v>LF</v>
      </c>
      <c r="I6" s="34" t="n">
        <f aca="false">IF($M6=0,"",IF(INDEX('Line Detail'!$O$6:$O$505,$M6)="","",INDEX('Line Detail'!$O$6:$O$505,$M6)))</f>
        <v>3.26974264705882</v>
      </c>
      <c r="J6" s="34" t="n">
        <f aca="false">IF($M6=0,"",IF(INDEX('Line Detail'!$R$6:$R$505,$M6)="","",INDEX('Line Detail'!$R$6:$R$505,$M6)))</f>
        <v>3269.74264705882</v>
      </c>
      <c r="K6" s="6" t="str">
        <f aca="false">IF($M6=0,"",IF(INDEX('Line Detail'!$S$6:$S$505,$M6)="","",INDEX('Line Detail'!$S$6:$S$505,$M6)))</f>
        <v/>
      </c>
      <c r="L6" s="1"/>
      <c r="M6" s="63" t="n">
        <f aca="false">IFERROR(MATCH(1,'Line Detail'!$W$6:$W$505,0),0)</f>
        <v>1</v>
      </c>
    </row>
    <row r="7" customFormat="false" ht="23.85" hidden="false" customHeight="false" outlineLevel="0" collapsed="false">
      <c r="A7" s="13" t="n">
        <f aca="false">IF($M7=0,"",2)</f>
        <v>2</v>
      </c>
      <c r="B7" s="13" t="str">
        <f aca="false">IF($M7=0,"",IF(INDEX('Line Detail'!$B$6:$B$505,$M7)="","",INDEX('Line Detail'!$B$6:$B$505,$M7)))</f>
        <v>Base</v>
      </c>
      <c r="C7" s="13" t="str">
        <f aca="false">IF($M7=0,"",IF(INDEX('Line Detail'!$C$6:$C$505,$M7)="","",INDEX('Line Detail'!$C$6:$C$505,$M7)))</f>
        <v>08 17 43 Interior Pre-Hung Doors</v>
      </c>
      <c r="D7" s="13" t="str">
        <f aca="false">IF($M7=0,"",IF(INDEX('Line Detail'!$D$6:$D$505,$M7)="","",INDEX('Line Detail'!$D$6:$D$505,$M7)))</f>
        <v>Units / Apartments</v>
      </c>
      <c r="E7" s="13" t="str">
        <f aca="false">IF($M7=0,"",IF(INDEX('Line Detail'!$E$6:$E$505,$M7)="","",INDEX('Line Detail'!$E$6:$E$505,$M7)))</f>
        <v>Type 4</v>
      </c>
      <c r="F7" s="6" t="str">
        <f aca="false">IF($M7=0,"",IF(INDEX('Line Detail'!$F$6:$F$505,$M7)="","",INDEX('Line Detail'!$F$6:$F$505,$M7)))</f>
        <v>3068 Hollow Core Hardboard 2-Panel Shaker 1-3/8", FJ split jamb 4-7/8" w/ FJ 1x4 casing, 3 ea US15 hinges, 2-3/8" backset single bore</v>
      </c>
      <c r="G7" s="62" t="n">
        <f aca="false">IF($M7=0,"",IF(INDEX('Line Detail'!$G$6:$G$505,$M7)="","",INDEX('Line Detail'!$G$6:$G$505,$M7)))</f>
        <v>10</v>
      </c>
      <c r="H7" s="13" t="str">
        <f aca="false">IF($M7=0,"",IF(INDEX('Line Detail'!$H$6:$H$505,$M7)="","",INDEX('Line Detail'!$H$6:$H$505,$M7)))</f>
        <v>EA</v>
      </c>
      <c r="I7" s="34" t="n">
        <f aca="false">IF($M7=0,"",IF(INDEX('Line Detail'!$O$6:$O$505,$M7)="","",INDEX('Line Detail'!$O$6:$O$505,$M7)))</f>
        <v>269.518382352941</v>
      </c>
      <c r="J7" s="34" t="n">
        <f aca="false">IF($M7=0,"",IF(INDEX('Line Detail'!$R$6:$R$505,$M7)="","",INDEX('Line Detail'!$R$6:$R$505,$M7)))</f>
        <v>2695.18382352941</v>
      </c>
      <c r="K7" s="6" t="str">
        <f aca="false">IF($M7=0,"",IF(INDEX('Line Detail'!$S$6:$S$505,$M7)="","",INDEX('Line Detail'!$S$6:$S$505,$M7)))</f>
        <v/>
      </c>
      <c r="L7" s="1"/>
      <c r="M7" s="63" t="n">
        <f aca="false">IFERROR(MATCH(2,'Line Detail'!$W$6:$W$505,0),0)</f>
        <v>2</v>
      </c>
    </row>
    <row r="8" customFormat="false" ht="15" hidden="false" customHeight="false" outlineLevel="0" collapsed="false">
      <c r="A8" s="13" t="n">
        <f aca="false">IF($M8=0,"",3)</f>
        <v>3</v>
      </c>
      <c r="B8" s="13" t="str">
        <f aca="false">IF($M8=0,"",IF(INDEX('Line Detail'!$B$6:$B$505,$M8)="","",INDEX('Line Detail'!$B$6:$B$505,$M8)))</f>
        <v>Base</v>
      </c>
      <c r="C8" s="13" t="str">
        <f aca="false">IF($M8=0,"",IF(INDEX('Line Detail'!$C$6:$C$505,$M8)="","",INDEX('Line Detail'!$C$6:$C$505,$M8)))</f>
        <v>08 71 00 Door Hardware</v>
      </c>
      <c r="D8" s="13" t="str">
        <f aca="false">IF($M8=0,"",IF(INDEX('Line Detail'!$D$6:$D$505,$M8)="","",INDEX('Line Detail'!$D$6:$D$505,$M8)))</f>
        <v>Units / Apartments</v>
      </c>
      <c r="E8" s="13" t="str">
        <f aca="false">IF($M8=0,"",IF(INDEX('Line Detail'!$E$6:$E$505,$M8)="","",INDEX('Line Detail'!$E$6:$E$505,$M8)))</f>
        <v>HW Set Bed/Bath</v>
      </c>
      <c r="F8" s="6" t="str">
        <f aca="false">IF($M8=0,"",IF(INDEX('Line Detail'!$F$6:$F$505,$M8)="","",INDEX('Line Detail'!$F$6:$F$505,$M8)))</f>
        <v>1 ea privacy lever US15; 1 ea door stop US15</v>
      </c>
      <c r="G8" s="62" t="n">
        <f aca="false">IF($M8=0,"",IF(INDEX('Line Detail'!$G$6:$G$505,$M8)="","",INDEX('Line Detail'!$G$6:$G$505,$M8)))</f>
        <v>10</v>
      </c>
      <c r="H8" s="13" t="str">
        <f aca="false">IF($M8=0,"",IF(INDEX('Line Detail'!$H$6:$H$505,$M8)="","",INDEX('Line Detail'!$H$6:$H$505,$M8)))</f>
        <v>SET</v>
      </c>
      <c r="I8" s="34" t="n">
        <f aca="false">IF($M8=0,"",IF(INDEX('Line Detail'!$O$6:$O$505,$M8)="","",INDEX('Line Detail'!$O$6:$O$505,$M8)))</f>
        <v>36.3827205882353</v>
      </c>
      <c r="J8" s="34" t="n">
        <f aca="false">IF($M8=0,"",IF(INDEX('Line Detail'!$R$6:$R$505,$M8)="","",INDEX('Line Detail'!$R$6:$R$505,$M8)))</f>
        <v>363.827205882353</v>
      </c>
      <c r="K8" s="6" t="str">
        <f aca="false">IF($M8=0,"",IF(INDEX('Line Detail'!$S$6:$S$505,$M8)="","",INDEX('Line Detail'!$S$6:$S$505,$M8)))</f>
        <v/>
      </c>
      <c r="L8" s="1"/>
      <c r="M8" s="63" t="n">
        <f aca="false">IFERROR(MATCH(3,'Line Detail'!$W$6:$W$505,0),0)</f>
        <v>3</v>
      </c>
    </row>
    <row r="9" customFormat="false" ht="15" hidden="false" customHeight="false" outlineLevel="0" collapsed="false">
      <c r="A9" s="13" t="n">
        <f aca="false">IF($M9=0,"",4)</f>
        <v>4</v>
      </c>
      <c r="B9" s="13" t="str">
        <f aca="false">IF($M9=0,"",IF(INDEX('Line Detail'!$B$6:$B$505,$M9)="","",INDEX('Line Detail'!$B$6:$B$505,$M9)))</f>
        <v>Alt 1</v>
      </c>
      <c r="C9" s="13" t="str">
        <f aca="false">IF($M9=0,"",IF(INDEX('Line Detail'!$C$6:$C$505,$M9)="","",INDEX('Line Detail'!$C$6:$C$505,$M9)))</f>
        <v>08 71 00 Door Hardware</v>
      </c>
      <c r="D9" s="13" t="str">
        <f aca="false">IF($M9=0,"",IF(INDEX('Line Detail'!$D$6:$D$505,$M9)="","",INDEX('Line Detail'!$D$6:$D$505,$M9)))</f>
        <v>Units / Apartments</v>
      </c>
      <c r="E9" s="13" t="str">
        <f aca="false">IF($M9=0,"",IF(INDEX('Line Detail'!$E$6:$E$505,$M9)="","",INDEX('Line Detail'!$E$6:$E$505,$M9)))</f>
        <v>HW Set Entry</v>
      </c>
      <c r="F9" s="6" t="str">
        <f aca="false">IF($M9=0,"",IF(INDEX('Line Detail'!$F$6:$F$505,$M9)="","",INDEX('Line Detail'!$F$6:$F$505,$M9)))</f>
        <v>ADD: battery-powered keypad deadbolt in lieu of keyed deadbolt</v>
      </c>
      <c r="G9" s="62" t="n">
        <f aca="false">IF($M9=0,"",IF(INDEX('Line Detail'!$G$6:$G$505,$M9)="","",INDEX('Line Detail'!$G$6:$G$505,$M9)))</f>
        <v>10</v>
      </c>
      <c r="H9" s="13" t="str">
        <f aca="false">IF($M9=0,"",IF(INDEX('Line Detail'!$H$6:$H$505,$M9)="","",INDEX('Line Detail'!$H$6:$H$505,$M9)))</f>
        <v>EA</v>
      </c>
      <c r="I9" s="34" t="n">
        <f aca="false">IF($M9=0,"",IF(INDEX('Line Detail'!$O$6:$O$505,$M9)="","",INDEX('Line Detail'!$O$6:$O$505,$M9)))</f>
        <v>356.411764705882</v>
      </c>
      <c r="J9" s="34" t="n">
        <f aca="false">IF($M9=0,"",IF(INDEX('Line Detail'!$R$6:$R$505,$M9)="","",INDEX('Line Detail'!$R$6:$R$505,$M9)))</f>
        <v>3564.11764705882</v>
      </c>
      <c r="K9" s="6" t="str">
        <f aca="false">IF($M9=0,"",IF(INDEX('Line Detail'!$S$6:$S$505,$M9)="","",INDEX('Line Detail'!$S$6:$S$505,$M9)))</f>
        <v>Add alternate</v>
      </c>
      <c r="L9" s="1"/>
      <c r="M9" s="63" t="n">
        <f aca="false">IFERROR(MATCH(4,'Line Detail'!$W$6:$W$505,0),0)</f>
        <v>4</v>
      </c>
    </row>
    <row r="10" customFormat="false" ht="15" hidden="false" customHeight="false" outlineLevel="0" collapsed="false">
      <c r="A10" s="13" t="str">
        <f aca="false">IF($M10=0,"",5)</f>
        <v/>
      </c>
      <c r="B10" s="13" t="str">
        <f aca="false">IF($M10=0,"",IF(INDEX('Line Detail'!$B$6:$B$505,$M10)="","",INDEX('Line Detail'!$B$6:$B$505,$M10)))</f>
        <v/>
      </c>
      <c r="C10" s="13" t="str">
        <f aca="false">IF($M10=0,"",IF(INDEX('Line Detail'!$C$6:$C$505,$M10)="","",INDEX('Line Detail'!$C$6:$C$505,$M10)))</f>
        <v/>
      </c>
      <c r="D10" s="13" t="str">
        <f aca="false">IF($M10=0,"",IF(INDEX('Line Detail'!$D$6:$D$505,$M10)="","",INDEX('Line Detail'!$D$6:$D$505,$M10)))</f>
        <v/>
      </c>
      <c r="E10" s="13" t="str">
        <f aca="false">IF($M10=0,"",IF(INDEX('Line Detail'!$E$6:$E$505,$M10)="","",INDEX('Line Detail'!$E$6:$E$505,$M10)))</f>
        <v/>
      </c>
      <c r="F10" s="6" t="str">
        <f aca="false">IF($M10=0,"",IF(INDEX('Line Detail'!$F$6:$F$505,$M10)="","",INDEX('Line Detail'!$F$6:$F$505,$M10)))</f>
        <v/>
      </c>
      <c r="G10" s="62" t="str">
        <f aca="false">IF($M10=0,"",IF(INDEX('Line Detail'!$G$6:$G$505,$M10)="","",INDEX('Line Detail'!$G$6:$G$505,$M10)))</f>
        <v/>
      </c>
      <c r="H10" s="13" t="str">
        <f aca="false">IF($M10=0,"",IF(INDEX('Line Detail'!$H$6:$H$505,$M10)="","",INDEX('Line Detail'!$H$6:$H$505,$M10)))</f>
        <v/>
      </c>
      <c r="I10" s="34" t="str">
        <f aca="false">IF($M10=0,"",IF(INDEX('Line Detail'!$O$6:$O$505,$M10)="","",INDEX('Line Detail'!$O$6:$O$505,$M10)))</f>
        <v/>
      </c>
      <c r="J10" s="34" t="str">
        <f aca="false">IF($M10=0,"",IF(INDEX('Line Detail'!$R$6:$R$505,$M10)="","",INDEX('Line Detail'!$R$6:$R$505,$M10)))</f>
        <v/>
      </c>
      <c r="K10" s="6" t="str">
        <f aca="false">IF($M10=0,"",IF(INDEX('Line Detail'!$S$6:$S$505,$M10)="","",INDEX('Line Detail'!$S$6:$S$505,$M10)))</f>
        <v/>
      </c>
      <c r="L10" s="1"/>
      <c r="M10" s="63" t="n">
        <f aca="false">IFERROR(MATCH(5,'Line Detail'!$W$6:$W$505,0),0)</f>
        <v>0</v>
      </c>
    </row>
    <row r="11" customFormat="false" ht="15" hidden="false" customHeight="false" outlineLevel="0" collapsed="false">
      <c r="A11" s="13" t="str">
        <f aca="false">IF($M11=0,"",6)</f>
        <v/>
      </c>
      <c r="B11" s="13" t="str">
        <f aca="false">IF($M11=0,"",IF(INDEX('Line Detail'!$B$6:$B$505,$M11)="","",INDEX('Line Detail'!$B$6:$B$505,$M11)))</f>
        <v/>
      </c>
      <c r="C11" s="13" t="str">
        <f aca="false">IF($M11=0,"",IF(INDEX('Line Detail'!$C$6:$C$505,$M11)="","",INDEX('Line Detail'!$C$6:$C$505,$M11)))</f>
        <v/>
      </c>
      <c r="D11" s="13" t="str">
        <f aca="false">IF($M11=0,"",IF(INDEX('Line Detail'!$D$6:$D$505,$M11)="","",INDEX('Line Detail'!$D$6:$D$505,$M11)))</f>
        <v/>
      </c>
      <c r="E11" s="13" t="str">
        <f aca="false">IF($M11=0,"",IF(INDEX('Line Detail'!$E$6:$E$505,$M11)="","",INDEX('Line Detail'!$E$6:$E$505,$M11)))</f>
        <v/>
      </c>
      <c r="F11" s="6" t="str">
        <f aca="false">IF($M11=0,"",IF(INDEX('Line Detail'!$F$6:$F$505,$M11)="","",INDEX('Line Detail'!$F$6:$F$505,$M11)))</f>
        <v/>
      </c>
      <c r="G11" s="62" t="str">
        <f aca="false">IF($M11=0,"",IF(INDEX('Line Detail'!$G$6:$G$505,$M11)="","",INDEX('Line Detail'!$G$6:$G$505,$M11)))</f>
        <v/>
      </c>
      <c r="H11" s="13" t="str">
        <f aca="false">IF($M11=0,"",IF(INDEX('Line Detail'!$H$6:$H$505,$M11)="","",INDEX('Line Detail'!$H$6:$H$505,$M11)))</f>
        <v/>
      </c>
      <c r="I11" s="34" t="str">
        <f aca="false">IF($M11=0,"",IF(INDEX('Line Detail'!$O$6:$O$505,$M11)="","",INDEX('Line Detail'!$O$6:$O$505,$M11)))</f>
        <v/>
      </c>
      <c r="J11" s="34" t="str">
        <f aca="false">IF($M11=0,"",IF(INDEX('Line Detail'!$R$6:$R$505,$M11)="","",INDEX('Line Detail'!$R$6:$R$505,$M11)))</f>
        <v/>
      </c>
      <c r="K11" s="6" t="str">
        <f aca="false">IF($M11=0,"",IF(INDEX('Line Detail'!$S$6:$S$505,$M11)="","",INDEX('Line Detail'!$S$6:$S$505,$M11)))</f>
        <v/>
      </c>
      <c r="L11" s="1"/>
      <c r="M11" s="63" t="n">
        <f aca="false">IFERROR(MATCH(6,'Line Detail'!$W$6:$W$505,0),0)</f>
        <v>0</v>
      </c>
    </row>
    <row r="12" customFormat="false" ht="15" hidden="false" customHeight="false" outlineLevel="0" collapsed="false">
      <c r="A12" s="13" t="str">
        <f aca="false">IF($M12=0,"",7)</f>
        <v/>
      </c>
      <c r="B12" s="13" t="str">
        <f aca="false">IF($M12=0,"",IF(INDEX('Line Detail'!$B$6:$B$505,$M12)="","",INDEX('Line Detail'!$B$6:$B$505,$M12)))</f>
        <v/>
      </c>
      <c r="C12" s="13" t="str">
        <f aca="false">IF($M12=0,"",IF(INDEX('Line Detail'!$C$6:$C$505,$M12)="","",INDEX('Line Detail'!$C$6:$C$505,$M12)))</f>
        <v/>
      </c>
      <c r="D12" s="13" t="str">
        <f aca="false">IF($M12=0,"",IF(INDEX('Line Detail'!$D$6:$D$505,$M12)="","",INDEX('Line Detail'!$D$6:$D$505,$M12)))</f>
        <v/>
      </c>
      <c r="E12" s="13" t="str">
        <f aca="false">IF($M12=0,"",IF(INDEX('Line Detail'!$E$6:$E$505,$M12)="","",INDEX('Line Detail'!$E$6:$E$505,$M12)))</f>
        <v/>
      </c>
      <c r="F12" s="6" t="str">
        <f aca="false">IF($M12=0,"",IF(INDEX('Line Detail'!$F$6:$F$505,$M12)="","",INDEX('Line Detail'!$F$6:$F$505,$M12)))</f>
        <v/>
      </c>
      <c r="G12" s="62" t="str">
        <f aca="false">IF($M12=0,"",IF(INDEX('Line Detail'!$G$6:$G$505,$M12)="","",INDEX('Line Detail'!$G$6:$G$505,$M12)))</f>
        <v/>
      </c>
      <c r="H12" s="13" t="str">
        <f aca="false">IF($M12=0,"",IF(INDEX('Line Detail'!$H$6:$H$505,$M12)="","",INDEX('Line Detail'!$H$6:$H$505,$M12)))</f>
        <v/>
      </c>
      <c r="I12" s="34" t="str">
        <f aca="false">IF($M12=0,"",IF(INDEX('Line Detail'!$O$6:$O$505,$M12)="","",INDEX('Line Detail'!$O$6:$O$505,$M12)))</f>
        <v/>
      </c>
      <c r="J12" s="34" t="str">
        <f aca="false">IF($M12=0,"",IF(INDEX('Line Detail'!$R$6:$R$505,$M12)="","",INDEX('Line Detail'!$R$6:$R$505,$M12)))</f>
        <v/>
      </c>
      <c r="K12" s="6" t="str">
        <f aca="false">IF($M12=0,"",IF(INDEX('Line Detail'!$S$6:$S$505,$M12)="","",INDEX('Line Detail'!$S$6:$S$505,$M12)))</f>
        <v/>
      </c>
      <c r="L12" s="1"/>
      <c r="M12" s="63" t="n">
        <f aca="false">IFERROR(MATCH(7,'Line Detail'!$W$6:$W$505,0),0)</f>
        <v>0</v>
      </c>
    </row>
    <row r="13" customFormat="false" ht="15" hidden="false" customHeight="false" outlineLevel="0" collapsed="false">
      <c r="A13" s="13" t="str">
        <f aca="false">IF($M13=0,"",8)</f>
        <v/>
      </c>
      <c r="B13" s="13" t="str">
        <f aca="false">IF($M13=0,"",IF(INDEX('Line Detail'!$B$6:$B$505,$M13)="","",INDEX('Line Detail'!$B$6:$B$505,$M13)))</f>
        <v/>
      </c>
      <c r="C13" s="13" t="str">
        <f aca="false">IF($M13=0,"",IF(INDEX('Line Detail'!$C$6:$C$505,$M13)="","",INDEX('Line Detail'!$C$6:$C$505,$M13)))</f>
        <v/>
      </c>
      <c r="D13" s="13" t="str">
        <f aca="false">IF($M13=0,"",IF(INDEX('Line Detail'!$D$6:$D$505,$M13)="","",INDEX('Line Detail'!$D$6:$D$505,$M13)))</f>
        <v/>
      </c>
      <c r="E13" s="13" t="str">
        <f aca="false">IF($M13=0,"",IF(INDEX('Line Detail'!$E$6:$E$505,$M13)="","",INDEX('Line Detail'!$E$6:$E$505,$M13)))</f>
        <v/>
      </c>
      <c r="F13" s="6" t="str">
        <f aca="false">IF($M13=0,"",IF(INDEX('Line Detail'!$F$6:$F$505,$M13)="","",INDEX('Line Detail'!$F$6:$F$505,$M13)))</f>
        <v/>
      </c>
      <c r="G13" s="62" t="str">
        <f aca="false">IF($M13=0,"",IF(INDEX('Line Detail'!$G$6:$G$505,$M13)="","",INDEX('Line Detail'!$G$6:$G$505,$M13)))</f>
        <v/>
      </c>
      <c r="H13" s="13" t="str">
        <f aca="false">IF($M13=0,"",IF(INDEX('Line Detail'!$H$6:$H$505,$M13)="","",INDEX('Line Detail'!$H$6:$H$505,$M13)))</f>
        <v/>
      </c>
      <c r="I13" s="34" t="str">
        <f aca="false">IF($M13=0,"",IF(INDEX('Line Detail'!$O$6:$O$505,$M13)="","",INDEX('Line Detail'!$O$6:$O$505,$M13)))</f>
        <v/>
      </c>
      <c r="J13" s="34" t="str">
        <f aca="false">IF($M13=0,"",IF(INDEX('Line Detail'!$R$6:$R$505,$M13)="","",INDEX('Line Detail'!$R$6:$R$505,$M13)))</f>
        <v/>
      </c>
      <c r="K13" s="6" t="str">
        <f aca="false">IF($M13=0,"",IF(INDEX('Line Detail'!$S$6:$S$505,$M13)="","",INDEX('Line Detail'!$S$6:$S$505,$M13)))</f>
        <v/>
      </c>
      <c r="L13" s="1"/>
      <c r="M13" s="63" t="n">
        <f aca="false">IFERROR(MATCH(8,'Line Detail'!$W$6:$W$505,0),0)</f>
        <v>0</v>
      </c>
    </row>
    <row r="14" customFormat="false" ht="15" hidden="false" customHeight="false" outlineLevel="0" collapsed="false">
      <c r="A14" s="13" t="str">
        <f aca="false">IF($M14=0,"",9)</f>
        <v/>
      </c>
      <c r="B14" s="13" t="str">
        <f aca="false">IF($M14=0,"",IF(INDEX('Line Detail'!$B$6:$B$505,$M14)="","",INDEX('Line Detail'!$B$6:$B$505,$M14)))</f>
        <v/>
      </c>
      <c r="C14" s="13" t="str">
        <f aca="false">IF($M14=0,"",IF(INDEX('Line Detail'!$C$6:$C$505,$M14)="","",INDEX('Line Detail'!$C$6:$C$505,$M14)))</f>
        <v/>
      </c>
      <c r="D14" s="13" t="str">
        <f aca="false">IF($M14=0,"",IF(INDEX('Line Detail'!$D$6:$D$505,$M14)="","",INDEX('Line Detail'!$D$6:$D$505,$M14)))</f>
        <v/>
      </c>
      <c r="E14" s="13" t="str">
        <f aca="false">IF($M14=0,"",IF(INDEX('Line Detail'!$E$6:$E$505,$M14)="","",INDEX('Line Detail'!$E$6:$E$505,$M14)))</f>
        <v/>
      </c>
      <c r="F14" s="6" t="str">
        <f aca="false">IF($M14=0,"",IF(INDEX('Line Detail'!$F$6:$F$505,$M14)="","",INDEX('Line Detail'!$F$6:$F$505,$M14)))</f>
        <v/>
      </c>
      <c r="G14" s="62" t="str">
        <f aca="false">IF($M14=0,"",IF(INDEX('Line Detail'!$G$6:$G$505,$M14)="","",INDEX('Line Detail'!$G$6:$G$505,$M14)))</f>
        <v/>
      </c>
      <c r="H14" s="13" t="str">
        <f aca="false">IF($M14=0,"",IF(INDEX('Line Detail'!$H$6:$H$505,$M14)="","",INDEX('Line Detail'!$H$6:$H$505,$M14)))</f>
        <v/>
      </c>
      <c r="I14" s="34" t="str">
        <f aca="false">IF($M14=0,"",IF(INDEX('Line Detail'!$O$6:$O$505,$M14)="","",INDEX('Line Detail'!$O$6:$O$505,$M14)))</f>
        <v/>
      </c>
      <c r="J14" s="34" t="str">
        <f aca="false">IF($M14=0,"",IF(INDEX('Line Detail'!$R$6:$R$505,$M14)="","",INDEX('Line Detail'!$R$6:$R$505,$M14)))</f>
        <v/>
      </c>
      <c r="K14" s="6" t="str">
        <f aca="false">IF($M14=0,"",IF(INDEX('Line Detail'!$S$6:$S$505,$M14)="","",INDEX('Line Detail'!$S$6:$S$505,$M14)))</f>
        <v/>
      </c>
      <c r="L14" s="1"/>
      <c r="M14" s="63" t="n">
        <f aca="false">IFERROR(MATCH(9,'Line Detail'!$W$6:$W$505,0),0)</f>
        <v>0</v>
      </c>
    </row>
    <row r="15" customFormat="false" ht="15" hidden="false" customHeight="false" outlineLevel="0" collapsed="false">
      <c r="A15" s="13" t="str">
        <f aca="false">IF($M15=0,"",10)</f>
        <v/>
      </c>
      <c r="B15" s="13" t="str">
        <f aca="false">IF($M15=0,"",IF(INDEX('Line Detail'!$B$6:$B$505,$M15)="","",INDEX('Line Detail'!$B$6:$B$505,$M15)))</f>
        <v/>
      </c>
      <c r="C15" s="13" t="str">
        <f aca="false">IF($M15=0,"",IF(INDEX('Line Detail'!$C$6:$C$505,$M15)="","",INDEX('Line Detail'!$C$6:$C$505,$M15)))</f>
        <v/>
      </c>
      <c r="D15" s="13" t="str">
        <f aca="false">IF($M15=0,"",IF(INDEX('Line Detail'!$D$6:$D$505,$M15)="","",INDEX('Line Detail'!$D$6:$D$505,$M15)))</f>
        <v/>
      </c>
      <c r="E15" s="13" t="str">
        <f aca="false">IF($M15=0,"",IF(INDEX('Line Detail'!$E$6:$E$505,$M15)="","",INDEX('Line Detail'!$E$6:$E$505,$M15)))</f>
        <v/>
      </c>
      <c r="F15" s="6" t="str">
        <f aca="false">IF($M15=0,"",IF(INDEX('Line Detail'!$F$6:$F$505,$M15)="","",INDEX('Line Detail'!$F$6:$F$505,$M15)))</f>
        <v/>
      </c>
      <c r="G15" s="62" t="str">
        <f aca="false">IF($M15=0,"",IF(INDEX('Line Detail'!$G$6:$G$505,$M15)="","",INDEX('Line Detail'!$G$6:$G$505,$M15)))</f>
        <v/>
      </c>
      <c r="H15" s="13" t="str">
        <f aca="false">IF($M15=0,"",IF(INDEX('Line Detail'!$H$6:$H$505,$M15)="","",INDEX('Line Detail'!$H$6:$H$505,$M15)))</f>
        <v/>
      </c>
      <c r="I15" s="34" t="str">
        <f aca="false">IF($M15=0,"",IF(INDEX('Line Detail'!$O$6:$O$505,$M15)="","",INDEX('Line Detail'!$O$6:$O$505,$M15)))</f>
        <v/>
      </c>
      <c r="J15" s="34" t="str">
        <f aca="false">IF($M15=0,"",IF(INDEX('Line Detail'!$R$6:$R$505,$M15)="","",INDEX('Line Detail'!$R$6:$R$505,$M15)))</f>
        <v/>
      </c>
      <c r="K15" s="6" t="str">
        <f aca="false">IF($M15=0,"",IF(INDEX('Line Detail'!$S$6:$S$505,$M15)="","",INDEX('Line Detail'!$S$6:$S$505,$M15)))</f>
        <v/>
      </c>
      <c r="L15" s="1"/>
      <c r="M15" s="63" t="n">
        <f aca="false">IFERROR(MATCH(10,'Line Detail'!$W$6:$W$505,0),0)</f>
        <v>0</v>
      </c>
    </row>
    <row r="16" customFormat="false" ht="15" hidden="false" customHeight="false" outlineLevel="0" collapsed="false">
      <c r="A16" s="13" t="str">
        <f aca="false">IF($M16=0,"",11)</f>
        <v/>
      </c>
      <c r="B16" s="13" t="str">
        <f aca="false">IF($M16=0,"",IF(INDEX('Line Detail'!$B$6:$B$505,$M16)="","",INDEX('Line Detail'!$B$6:$B$505,$M16)))</f>
        <v/>
      </c>
      <c r="C16" s="13" t="str">
        <f aca="false">IF($M16=0,"",IF(INDEX('Line Detail'!$C$6:$C$505,$M16)="","",INDEX('Line Detail'!$C$6:$C$505,$M16)))</f>
        <v/>
      </c>
      <c r="D16" s="13" t="str">
        <f aca="false">IF($M16=0,"",IF(INDEX('Line Detail'!$D$6:$D$505,$M16)="","",INDEX('Line Detail'!$D$6:$D$505,$M16)))</f>
        <v/>
      </c>
      <c r="E16" s="13" t="str">
        <f aca="false">IF($M16=0,"",IF(INDEX('Line Detail'!$E$6:$E$505,$M16)="","",INDEX('Line Detail'!$E$6:$E$505,$M16)))</f>
        <v/>
      </c>
      <c r="F16" s="6" t="str">
        <f aca="false">IF($M16=0,"",IF(INDEX('Line Detail'!$F$6:$F$505,$M16)="","",INDEX('Line Detail'!$F$6:$F$505,$M16)))</f>
        <v/>
      </c>
      <c r="G16" s="62" t="str">
        <f aca="false">IF($M16=0,"",IF(INDEX('Line Detail'!$G$6:$G$505,$M16)="","",INDEX('Line Detail'!$G$6:$G$505,$M16)))</f>
        <v/>
      </c>
      <c r="H16" s="13" t="str">
        <f aca="false">IF($M16=0,"",IF(INDEX('Line Detail'!$H$6:$H$505,$M16)="","",INDEX('Line Detail'!$H$6:$H$505,$M16)))</f>
        <v/>
      </c>
      <c r="I16" s="34" t="str">
        <f aca="false">IF($M16=0,"",IF(INDEX('Line Detail'!$O$6:$O$505,$M16)="","",INDEX('Line Detail'!$O$6:$O$505,$M16)))</f>
        <v/>
      </c>
      <c r="J16" s="34" t="str">
        <f aca="false">IF($M16=0,"",IF(INDEX('Line Detail'!$R$6:$R$505,$M16)="","",INDEX('Line Detail'!$R$6:$R$505,$M16)))</f>
        <v/>
      </c>
      <c r="K16" s="6" t="str">
        <f aca="false">IF($M16=0,"",IF(INDEX('Line Detail'!$S$6:$S$505,$M16)="","",INDEX('Line Detail'!$S$6:$S$505,$M16)))</f>
        <v/>
      </c>
      <c r="L16" s="1"/>
      <c r="M16" s="63" t="n">
        <f aca="false">IFERROR(MATCH(11,'Line Detail'!$W$6:$W$505,0),0)</f>
        <v>0</v>
      </c>
    </row>
    <row r="17" customFormat="false" ht="15" hidden="false" customHeight="false" outlineLevel="0" collapsed="false">
      <c r="A17" s="13" t="str">
        <f aca="false">IF($M17=0,"",12)</f>
        <v/>
      </c>
      <c r="B17" s="13" t="str">
        <f aca="false">IF($M17=0,"",IF(INDEX('Line Detail'!$B$6:$B$505,$M17)="","",INDEX('Line Detail'!$B$6:$B$505,$M17)))</f>
        <v/>
      </c>
      <c r="C17" s="13" t="str">
        <f aca="false">IF($M17=0,"",IF(INDEX('Line Detail'!$C$6:$C$505,$M17)="","",INDEX('Line Detail'!$C$6:$C$505,$M17)))</f>
        <v/>
      </c>
      <c r="D17" s="13" t="str">
        <f aca="false">IF($M17=0,"",IF(INDEX('Line Detail'!$D$6:$D$505,$M17)="","",INDEX('Line Detail'!$D$6:$D$505,$M17)))</f>
        <v/>
      </c>
      <c r="E17" s="13" t="str">
        <f aca="false">IF($M17=0,"",IF(INDEX('Line Detail'!$E$6:$E$505,$M17)="","",INDEX('Line Detail'!$E$6:$E$505,$M17)))</f>
        <v/>
      </c>
      <c r="F17" s="6" t="str">
        <f aca="false">IF($M17=0,"",IF(INDEX('Line Detail'!$F$6:$F$505,$M17)="","",INDEX('Line Detail'!$F$6:$F$505,$M17)))</f>
        <v/>
      </c>
      <c r="G17" s="62" t="str">
        <f aca="false">IF($M17=0,"",IF(INDEX('Line Detail'!$G$6:$G$505,$M17)="","",INDEX('Line Detail'!$G$6:$G$505,$M17)))</f>
        <v/>
      </c>
      <c r="H17" s="13" t="str">
        <f aca="false">IF($M17=0,"",IF(INDEX('Line Detail'!$H$6:$H$505,$M17)="","",INDEX('Line Detail'!$H$6:$H$505,$M17)))</f>
        <v/>
      </c>
      <c r="I17" s="34" t="str">
        <f aca="false">IF($M17=0,"",IF(INDEX('Line Detail'!$O$6:$O$505,$M17)="","",INDEX('Line Detail'!$O$6:$O$505,$M17)))</f>
        <v/>
      </c>
      <c r="J17" s="34" t="str">
        <f aca="false">IF($M17=0,"",IF(INDEX('Line Detail'!$R$6:$R$505,$M17)="","",INDEX('Line Detail'!$R$6:$R$505,$M17)))</f>
        <v/>
      </c>
      <c r="K17" s="6" t="str">
        <f aca="false">IF($M17=0,"",IF(INDEX('Line Detail'!$S$6:$S$505,$M17)="","",INDEX('Line Detail'!$S$6:$S$505,$M17)))</f>
        <v/>
      </c>
      <c r="L17" s="1"/>
      <c r="M17" s="63" t="n">
        <f aca="false">IFERROR(MATCH(12,'Line Detail'!$W$6:$W$505,0),0)</f>
        <v>0</v>
      </c>
    </row>
    <row r="18" customFormat="false" ht="15" hidden="false" customHeight="false" outlineLevel="0" collapsed="false">
      <c r="A18" s="13" t="str">
        <f aca="false">IF($M18=0,"",13)</f>
        <v/>
      </c>
      <c r="B18" s="13" t="str">
        <f aca="false">IF($M18=0,"",IF(INDEX('Line Detail'!$B$6:$B$505,$M18)="","",INDEX('Line Detail'!$B$6:$B$505,$M18)))</f>
        <v/>
      </c>
      <c r="C18" s="13" t="str">
        <f aca="false">IF($M18=0,"",IF(INDEX('Line Detail'!$C$6:$C$505,$M18)="","",INDEX('Line Detail'!$C$6:$C$505,$M18)))</f>
        <v/>
      </c>
      <c r="D18" s="13" t="str">
        <f aca="false">IF($M18=0,"",IF(INDEX('Line Detail'!$D$6:$D$505,$M18)="","",INDEX('Line Detail'!$D$6:$D$505,$M18)))</f>
        <v/>
      </c>
      <c r="E18" s="13" t="str">
        <f aca="false">IF($M18=0,"",IF(INDEX('Line Detail'!$E$6:$E$505,$M18)="","",INDEX('Line Detail'!$E$6:$E$505,$M18)))</f>
        <v/>
      </c>
      <c r="F18" s="6" t="str">
        <f aca="false">IF($M18=0,"",IF(INDEX('Line Detail'!$F$6:$F$505,$M18)="","",INDEX('Line Detail'!$F$6:$F$505,$M18)))</f>
        <v/>
      </c>
      <c r="G18" s="62" t="str">
        <f aca="false">IF($M18=0,"",IF(INDEX('Line Detail'!$G$6:$G$505,$M18)="","",INDEX('Line Detail'!$G$6:$G$505,$M18)))</f>
        <v/>
      </c>
      <c r="H18" s="13" t="str">
        <f aca="false">IF($M18=0,"",IF(INDEX('Line Detail'!$H$6:$H$505,$M18)="","",INDEX('Line Detail'!$H$6:$H$505,$M18)))</f>
        <v/>
      </c>
      <c r="I18" s="34" t="str">
        <f aca="false">IF($M18=0,"",IF(INDEX('Line Detail'!$O$6:$O$505,$M18)="","",INDEX('Line Detail'!$O$6:$O$505,$M18)))</f>
        <v/>
      </c>
      <c r="J18" s="34" t="str">
        <f aca="false">IF($M18=0,"",IF(INDEX('Line Detail'!$R$6:$R$505,$M18)="","",INDEX('Line Detail'!$R$6:$R$505,$M18)))</f>
        <v/>
      </c>
      <c r="K18" s="6" t="str">
        <f aca="false">IF($M18=0,"",IF(INDEX('Line Detail'!$S$6:$S$505,$M18)="","",INDEX('Line Detail'!$S$6:$S$505,$M18)))</f>
        <v/>
      </c>
      <c r="L18" s="1"/>
      <c r="M18" s="63" t="n">
        <f aca="false">IFERROR(MATCH(13,'Line Detail'!$W$6:$W$505,0),0)</f>
        <v>0</v>
      </c>
    </row>
    <row r="19" customFormat="false" ht="15" hidden="false" customHeight="false" outlineLevel="0" collapsed="false">
      <c r="A19" s="13" t="str">
        <f aca="false">IF($M19=0,"",14)</f>
        <v/>
      </c>
      <c r="B19" s="13" t="str">
        <f aca="false">IF($M19=0,"",IF(INDEX('Line Detail'!$B$6:$B$505,$M19)="","",INDEX('Line Detail'!$B$6:$B$505,$M19)))</f>
        <v/>
      </c>
      <c r="C19" s="13" t="str">
        <f aca="false">IF($M19=0,"",IF(INDEX('Line Detail'!$C$6:$C$505,$M19)="","",INDEX('Line Detail'!$C$6:$C$505,$M19)))</f>
        <v/>
      </c>
      <c r="D19" s="13" t="str">
        <f aca="false">IF($M19=0,"",IF(INDEX('Line Detail'!$D$6:$D$505,$M19)="","",INDEX('Line Detail'!$D$6:$D$505,$M19)))</f>
        <v/>
      </c>
      <c r="E19" s="13" t="str">
        <f aca="false">IF($M19=0,"",IF(INDEX('Line Detail'!$E$6:$E$505,$M19)="","",INDEX('Line Detail'!$E$6:$E$505,$M19)))</f>
        <v/>
      </c>
      <c r="F19" s="6" t="str">
        <f aca="false">IF($M19=0,"",IF(INDEX('Line Detail'!$F$6:$F$505,$M19)="","",INDEX('Line Detail'!$F$6:$F$505,$M19)))</f>
        <v/>
      </c>
      <c r="G19" s="62" t="str">
        <f aca="false">IF($M19=0,"",IF(INDEX('Line Detail'!$G$6:$G$505,$M19)="","",INDEX('Line Detail'!$G$6:$G$505,$M19)))</f>
        <v/>
      </c>
      <c r="H19" s="13" t="str">
        <f aca="false">IF($M19=0,"",IF(INDEX('Line Detail'!$H$6:$H$505,$M19)="","",INDEX('Line Detail'!$H$6:$H$505,$M19)))</f>
        <v/>
      </c>
      <c r="I19" s="34" t="str">
        <f aca="false">IF($M19=0,"",IF(INDEX('Line Detail'!$O$6:$O$505,$M19)="","",INDEX('Line Detail'!$O$6:$O$505,$M19)))</f>
        <v/>
      </c>
      <c r="J19" s="34" t="str">
        <f aca="false">IF($M19=0,"",IF(INDEX('Line Detail'!$R$6:$R$505,$M19)="","",INDEX('Line Detail'!$R$6:$R$505,$M19)))</f>
        <v/>
      </c>
      <c r="K19" s="6" t="str">
        <f aca="false">IF($M19=0,"",IF(INDEX('Line Detail'!$S$6:$S$505,$M19)="","",INDEX('Line Detail'!$S$6:$S$505,$M19)))</f>
        <v/>
      </c>
      <c r="L19" s="1"/>
      <c r="M19" s="63" t="n">
        <f aca="false">IFERROR(MATCH(14,'Line Detail'!$W$6:$W$505,0),0)</f>
        <v>0</v>
      </c>
    </row>
    <row r="20" customFormat="false" ht="15" hidden="false" customHeight="false" outlineLevel="0" collapsed="false">
      <c r="A20" s="13" t="str">
        <f aca="false">IF($M20=0,"",15)</f>
        <v/>
      </c>
      <c r="B20" s="13" t="str">
        <f aca="false">IF($M20=0,"",IF(INDEX('Line Detail'!$B$6:$B$505,$M20)="","",INDEX('Line Detail'!$B$6:$B$505,$M20)))</f>
        <v/>
      </c>
      <c r="C20" s="13" t="str">
        <f aca="false">IF($M20=0,"",IF(INDEX('Line Detail'!$C$6:$C$505,$M20)="","",INDEX('Line Detail'!$C$6:$C$505,$M20)))</f>
        <v/>
      </c>
      <c r="D20" s="13" t="str">
        <f aca="false">IF($M20=0,"",IF(INDEX('Line Detail'!$D$6:$D$505,$M20)="","",INDEX('Line Detail'!$D$6:$D$505,$M20)))</f>
        <v/>
      </c>
      <c r="E20" s="13" t="str">
        <f aca="false">IF($M20=0,"",IF(INDEX('Line Detail'!$E$6:$E$505,$M20)="","",INDEX('Line Detail'!$E$6:$E$505,$M20)))</f>
        <v/>
      </c>
      <c r="F20" s="6" t="str">
        <f aca="false">IF($M20=0,"",IF(INDEX('Line Detail'!$F$6:$F$505,$M20)="","",INDEX('Line Detail'!$F$6:$F$505,$M20)))</f>
        <v/>
      </c>
      <c r="G20" s="62" t="str">
        <f aca="false">IF($M20=0,"",IF(INDEX('Line Detail'!$G$6:$G$505,$M20)="","",INDEX('Line Detail'!$G$6:$G$505,$M20)))</f>
        <v/>
      </c>
      <c r="H20" s="13" t="str">
        <f aca="false">IF($M20=0,"",IF(INDEX('Line Detail'!$H$6:$H$505,$M20)="","",INDEX('Line Detail'!$H$6:$H$505,$M20)))</f>
        <v/>
      </c>
      <c r="I20" s="34" t="str">
        <f aca="false">IF($M20=0,"",IF(INDEX('Line Detail'!$O$6:$O$505,$M20)="","",INDEX('Line Detail'!$O$6:$O$505,$M20)))</f>
        <v/>
      </c>
      <c r="J20" s="34" t="str">
        <f aca="false">IF($M20=0,"",IF(INDEX('Line Detail'!$R$6:$R$505,$M20)="","",INDEX('Line Detail'!$R$6:$R$505,$M20)))</f>
        <v/>
      </c>
      <c r="K20" s="6" t="str">
        <f aca="false">IF($M20=0,"",IF(INDEX('Line Detail'!$S$6:$S$505,$M20)="","",INDEX('Line Detail'!$S$6:$S$505,$M20)))</f>
        <v/>
      </c>
      <c r="L20" s="1"/>
      <c r="M20" s="63" t="n">
        <f aca="false">IFERROR(MATCH(15,'Line Detail'!$W$6:$W$505,0),0)</f>
        <v>0</v>
      </c>
    </row>
    <row r="21" customFormat="false" ht="15" hidden="false" customHeight="false" outlineLevel="0" collapsed="false">
      <c r="A21" s="13" t="str">
        <f aca="false">IF($M21=0,"",16)</f>
        <v/>
      </c>
      <c r="B21" s="13" t="str">
        <f aca="false">IF($M21=0,"",IF(INDEX('Line Detail'!$B$6:$B$505,$M21)="","",INDEX('Line Detail'!$B$6:$B$505,$M21)))</f>
        <v/>
      </c>
      <c r="C21" s="13" t="str">
        <f aca="false">IF($M21=0,"",IF(INDEX('Line Detail'!$C$6:$C$505,$M21)="","",INDEX('Line Detail'!$C$6:$C$505,$M21)))</f>
        <v/>
      </c>
      <c r="D21" s="13" t="str">
        <f aca="false">IF($M21=0,"",IF(INDEX('Line Detail'!$D$6:$D$505,$M21)="","",INDEX('Line Detail'!$D$6:$D$505,$M21)))</f>
        <v/>
      </c>
      <c r="E21" s="13" t="str">
        <f aca="false">IF($M21=0,"",IF(INDEX('Line Detail'!$E$6:$E$505,$M21)="","",INDEX('Line Detail'!$E$6:$E$505,$M21)))</f>
        <v/>
      </c>
      <c r="F21" s="6" t="str">
        <f aca="false">IF($M21=0,"",IF(INDEX('Line Detail'!$F$6:$F$505,$M21)="","",INDEX('Line Detail'!$F$6:$F$505,$M21)))</f>
        <v/>
      </c>
      <c r="G21" s="62" t="str">
        <f aca="false">IF($M21=0,"",IF(INDEX('Line Detail'!$G$6:$G$505,$M21)="","",INDEX('Line Detail'!$G$6:$G$505,$M21)))</f>
        <v/>
      </c>
      <c r="H21" s="13" t="str">
        <f aca="false">IF($M21=0,"",IF(INDEX('Line Detail'!$H$6:$H$505,$M21)="","",INDEX('Line Detail'!$H$6:$H$505,$M21)))</f>
        <v/>
      </c>
      <c r="I21" s="34" t="str">
        <f aca="false">IF($M21=0,"",IF(INDEX('Line Detail'!$O$6:$O$505,$M21)="","",INDEX('Line Detail'!$O$6:$O$505,$M21)))</f>
        <v/>
      </c>
      <c r="J21" s="34" t="str">
        <f aca="false">IF($M21=0,"",IF(INDEX('Line Detail'!$R$6:$R$505,$M21)="","",INDEX('Line Detail'!$R$6:$R$505,$M21)))</f>
        <v/>
      </c>
      <c r="K21" s="6" t="str">
        <f aca="false">IF($M21=0,"",IF(INDEX('Line Detail'!$S$6:$S$505,$M21)="","",INDEX('Line Detail'!$S$6:$S$505,$M21)))</f>
        <v/>
      </c>
      <c r="L21" s="1"/>
      <c r="M21" s="63" t="n">
        <f aca="false">IFERROR(MATCH(16,'Line Detail'!$W$6:$W$505,0),0)</f>
        <v>0</v>
      </c>
    </row>
    <row r="22" customFormat="false" ht="15" hidden="false" customHeight="false" outlineLevel="0" collapsed="false">
      <c r="A22" s="13" t="str">
        <f aca="false">IF($M22=0,"",17)</f>
        <v/>
      </c>
      <c r="B22" s="13" t="str">
        <f aca="false">IF($M22=0,"",IF(INDEX('Line Detail'!$B$6:$B$505,$M22)="","",INDEX('Line Detail'!$B$6:$B$505,$M22)))</f>
        <v/>
      </c>
      <c r="C22" s="13" t="str">
        <f aca="false">IF($M22=0,"",IF(INDEX('Line Detail'!$C$6:$C$505,$M22)="","",INDEX('Line Detail'!$C$6:$C$505,$M22)))</f>
        <v/>
      </c>
      <c r="D22" s="13" t="str">
        <f aca="false">IF($M22=0,"",IF(INDEX('Line Detail'!$D$6:$D$505,$M22)="","",INDEX('Line Detail'!$D$6:$D$505,$M22)))</f>
        <v/>
      </c>
      <c r="E22" s="13" t="str">
        <f aca="false">IF($M22=0,"",IF(INDEX('Line Detail'!$E$6:$E$505,$M22)="","",INDEX('Line Detail'!$E$6:$E$505,$M22)))</f>
        <v/>
      </c>
      <c r="F22" s="6" t="str">
        <f aca="false">IF($M22=0,"",IF(INDEX('Line Detail'!$F$6:$F$505,$M22)="","",INDEX('Line Detail'!$F$6:$F$505,$M22)))</f>
        <v/>
      </c>
      <c r="G22" s="62" t="str">
        <f aca="false">IF($M22=0,"",IF(INDEX('Line Detail'!$G$6:$G$505,$M22)="","",INDEX('Line Detail'!$G$6:$G$505,$M22)))</f>
        <v/>
      </c>
      <c r="H22" s="13" t="str">
        <f aca="false">IF($M22=0,"",IF(INDEX('Line Detail'!$H$6:$H$505,$M22)="","",INDEX('Line Detail'!$H$6:$H$505,$M22)))</f>
        <v/>
      </c>
      <c r="I22" s="34" t="str">
        <f aca="false">IF($M22=0,"",IF(INDEX('Line Detail'!$O$6:$O$505,$M22)="","",INDEX('Line Detail'!$O$6:$O$505,$M22)))</f>
        <v/>
      </c>
      <c r="J22" s="34" t="str">
        <f aca="false">IF($M22=0,"",IF(INDEX('Line Detail'!$R$6:$R$505,$M22)="","",INDEX('Line Detail'!$R$6:$R$505,$M22)))</f>
        <v/>
      </c>
      <c r="K22" s="6" t="str">
        <f aca="false">IF($M22=0,"",IF(INDEX('Line Detail'!$S$6:$S$505,$M22)="","",INDEX('Line Detail'!$S$6:$S$505,$M22)))</f>
        <v/>
      </c>
      <c r="L22" s="1"/>
      <c r="M22" s="63" t="n">
        <f aca="false">IFERROR(MATCH(17,'Line Detail'!$W$6:$W$505,0),0)</f>
        <v>0</v>
      </c>
    </row>
    <row r="23" customFormat="false" ht="15" hidden="false" customHeight="false" outlineLevel="0" collapsed="false">
      <c r="A23" s="13" t="str">
        <f aca="false">IF($M23=0,"",18)</f>
        <v/>
      </c>
      <c r="B23" s="13" t="str">
        <f aca="false">IF($M23=0,"",IF(INDEX('Line Detail'!$B$6:$B$505,$M23)="","",INDEX('Line Detail'!$B$6:$B$505,$M23)))</f>
        <v/>
      </c>
      <c r="C23" s="13" t="str">
        <f aca="false">IF($M23=0,"",IF(INDEX('Line Detail'!$C$6:$C$505,$M23)="","",INDEX('Line Detail'!$C$6:$C$505,$M23)))</f>
        <v/>
      </c>
      <c r="D23" s="13" t="str">
        <f aca="false">IF($M23=0,"",IF(INDEX('Line Detail'!$D$6:$D$505,$M23)="","",INDEX('Line Detail'!$D$6:$D$505,$M23)))</f>
        <v/>
      </c>
      <c r="E23" s="13" t="str">
        <f aca="false">IF($M23=0,"",IF(INDEX('Line Detail'!$E$6:$E$505,$M23)="","",INDEX('Line Detail'!$E$6:$E$505,$M23)))</f>
        <v/>
      </c>
      <c r="F23" s="6" t="str">
        <f aca="false">IF($M23=0,"",IF(INDEX('Line Detail'!$F$6:$F$505,$M23)="","",INDEX('Line Detail'!$F$6:$F$505,$M23)))</f>
        <v/>
      </c>
      <c r="G23" s="62" t="str">
        <f aca="false">IF($M23=0,"",IF(INDEX('Line Detail'!$G$6:$G$505,$M23)="","",INDEX('Line Detail'!$G$6:$G$505,$M23)))</f>
        <v/>
      </c>
      <c r="H23" s="13" t="str">
        <f aca="false">IF($M23=0,"",IF(INDEX('Line Detail'!$H$6:$H$505,$M23)="","",INDEX('Line Detail'!$H$6:$H$505,$M23)))</f>
        <v/>
      </c>
      <c r="I23" s="34" t="str">
        <f aca="false">IF($M23=0,"",IF(INDEX('Line Detail'!$O$6:$O$505,$M23)="","",INDEX('Line Detail'!$O$6:$O$505,$M23)))</f>
        <v/>
      </c>
      <c r="J23" s="34" t="str">
        <f aca="false">IF($M23=0,"",IF(INDEX('Line Detail'!$R$6:$R$505,$M23)="","",INDEX('Line Detail'!$R$6:$R$505,$M23)))</f>
        <v/>
      </c>
      <c r="K23" s="6" t="str">
        <f aca="false">IF($M23=0,"",IF(INDEX('Line Detail'!$S$6:$S$505,$M23)="","",INDEX('Line Detail'!$S$6:$S$505,$M23)))</f>
        <v/>
      </c>
      <c r="L23" s="1"/>
      <c r="M23" s="63" t="n">
        <f aca="false">IFERROR(MATCH(18,'Line Detail'!$W$6:$W$505,0),0)</f>
        <v>0</v>
      </c>
    </row>
    <row r="24" customFormat="false" ht="15" hidden="false" customHeight="false" outlineLevel="0" collapsed="false">
      <c r="A24" s="13" t="str">
        <f aca="false">IF($M24=0,"",19)</f>
        <v/>
      </c>
      <c r="B24" s="13" t="str">
        <f aca="false">IF($M24=0,"",IF(INDEX('Line Detail'!$B$6:$B$505,$M24)="","",INDEX('Line Detail'!$B$6:$B$505,$M24)))</f>
        <v/>
      </c>
      <c r="C24" s="13" t="str">
        <f aca="false">IF($M24=0,"",IF(INDEX('Line Detail'!$C$6:$C$505,$M24)="","",INDEX('Line Detail'!$C$6:$C$505,$M24)))</f>
        <v/>
      </c>
      <c r="D24" s="13" t="str">
        <f aca="false">IF($M24=0,"",IF(INDEX('Line Detail'!$D$6:$D$505,$M24)="","",INDEX('Line Detail'!$D$6:$D$505,$M24)))</f>
        <v/>
      </c>
      <c r="E24" s="13" t="str">
        <f aca="false">IF($M24=0,"",IF(INDEX('Line Detail'!$E$6:$E$505,$M24)="","",INDEX('Line Detail'!$E$6:$E$505,$M24)))</f>
        <v/>
      </c>
      <c r="F24" s="6" t="str">
        <f aca="false">IF($M24=0,"",IF(INDEX('Line Detail'!$F$6:$F$505,$M24)="","",INDEX('Line Detail'!$F$6:$F$505,$M24)))</f>
        <v/>
      </c>
      <c r="G24" s="62" t="str">
        <f aca="false">IF($M24=0,"",IF(INDEX('Line Detail'!$G$6:$G$505,$M24)="","",INDEX('Line Detail'!$G$6:$G$505,$M24)))</f>
        <v/>
      </c>
      <c r="H24" s="13" t="str">
        <f aca="false">IF($M24=0,"",IF(INDEX('Line Detail'!$H$6:$H$505,$M24)="","",INDEX('Line Detail'!$H$6:$H$505,$M24)))</f>
        <v/>
      </c>
      <c r="I24" s="34" t="str">
        <f aca="false">IF($M24=0,"",IF(INDEX('Line Detail'!$O$6:$O$505,$M24)="","",INDEX('Line Detail'!$O$6:$O$505,$M24)))</f>
        <v/>
      </c>
      <c r="J24" s="34" t="str">
        <f aca="false">IF($M24=0,"",IF(INDEX('Line Detail'!$R$6:$R$505,$M24)="","",INDEX('Line Detail'!$R$6:$R$505,$M24)))</f>
        <v/>
      </c>
      <c r="K24" s="6" t="str">
        <f aca="false">IF($M24=0,"",IF(INDEX('Line Detail'!$S$6:$S$505,$M24)="","",INDEX('Line Detail'!$S$6:$S$505,$M24)))</f>
        <v/>
      </c>
      <c r="L24" s="1"/>
      <c r="M24" s="63" t="n">
        <f aca="false">IFERROR(MATCH(19,'Line Detail'!$W$6:$W$505,0),0)</f>
        <v>0</v>
      </c>
    </row>
    <row r="25" customFormat="false" ht="15" hidden="false" customHeight="false" outlineLevel="0" collapsed="false">
      <c r="A25" s="13" t="str">
        <f aca="false">IF($M25=0,"",20)</f>
        <v/>
      </c>
      <c r="B25" s="13" t="str">
        <f aca="false">IF($M25=0,"",IF(INDEX('Line Detail'!$B$6:$B$505,$M25)="","",INDEX('Line Detail'!$B$6:$B$505,$M25)))</f>
        <v/>
      </c>
      <c r="C25" s="13" t="str">
        <f aca="false">IF($M25=0,"",IF(INDEX('Line Detail'!$C$6:$C$505,$M25)="","",INDEX('Line Detail'!$C$6:$C$505,$M25)))</f>
        <v/>
      </c>
      <c r="D25" s="13" t="str">
        <f aca="false">IF($M25=0,"",IF(INDEX('Line Detail'!$D$6:$D$505,$M25)="","",INDEX('Line Detail'!$D$6:$D$505,$M25)))</f>
        <v/>
      </c>
      <c r="E25" s="13" t="str">
        <f aca="false">IF($M25=0,"",IF(INDEX('Line Detail'!$E$6:$E$505,$M25)="","",INDEX('Line Detail'!$E$6:$E$505,$M25)))</f>
        <v/>
      </c>
      <c r="F25" s="6" t="str">
        <f aca="false">IF($M25=0,"",IF(INDEX('Line Detail'!$F$6:$F$505,$M25)="","",INDEX('Line Detail'!$F$6:$F$505,$M25)))</f>
        <v/>
      </c>
      <c r="G25" s="62" t="str">
        <f aca="false">IF($M25=0,"",IF(INDEX('Line Detail'!$G$6:$G$505,$M25)="","",INDEX('Line Detail'!$G$6:$G$505,$M25)))</f>
        <v/>
      </c>
      <c r="H25" s="13" t="str">
        <f aca="false">IF($M25=0,"",IF(INDEX('Line Detail'!$H$6:$H$505,$M25)="","",INDEX('Line Detail'!$H$6:$H$505,$M25)))</f>
        <v/>
      </c>
      <c r="I25" s="34" t="str">
        <f aca="false">IF($M25=0,"",IF(INDEX('Line Detail'!$O$6:$O$505,$M25)="","",INDEX('Line Detail'!$O$6:$O$505,$M25)))</f>
        <v/>
      </c>
      <c r="J25" s="34" t="str">
        <f aca="false">IF($M25=0,"",IF(INDEX('Line Detail'!$R$6:$R$505,$M25)="","",INDEX('Line Detail'!$R$6:$R$505,$M25)))</f>
        <v/>
      </c>
      <c r="K25" s="6" t="str">
        <f aca="false">IF($M25=0,"",IF(INDEX('Line Detail'!$S$6:$S$505,$M25)="","",INDEX('Line Detail'!$S$6:$S$505,$M25)))</f>
        <v/>
      </c>
      <c r="L25" s="1"/>
      <c r="M25" s="63" t="n">
        <f aca="false">IFERROR(MATCH(20,'Line Detail'!$W$6:$W$505,0),0)</f>
        <v>0</v>
      </c>
    </row>
    <row r="26" customFormat="false" ht="15" hidden="false" customHeight="false" outlineLevel="0" collapsed="false">
      <c r="A26" s="13" t="str">
        <f aca="false">IF($M26=0,"",21)</f>
        <v/>
      </c>
      <c r="B26" s="13" t="str">
        <f aca="false">IF($M26=0,"",IF(INDEX('Line Detail'!$B$6:$B$505,$M26)="","",INDEX('Line Detail'!$B$6:$B$505,$M26)))</f>
        <v/>
      </c>
      <c r="C26" s="13" t="str">
        <f aca="false">IF($M26=0,"",IF(INDEX('Line Detail'!$C$6:$C$505,$M26)="","",INDEX('Line Detail'!$C$6:$C$505,$M26)))</f>
        <v/>
      </c>
      <c r="D26" s="13" t="str">
        <f aca="false">IF($M26=0,"",IF(INDEX('Line Detail'!$D$6:$D$505,$M26)="","",INDEX('Line Detail'!$D$6:$D$505,$M26)))</f>
        <v/>
      </c>
      <c r="E26" s="13" t="str">
        <f aca="false">IF($M26=0,"",IF(INDEX('Line Detail'!$E$6:$E$505,$M26)="","",INDEX('Line Detail'!$E$6:$E$505,$M26)))</f>
        <v/>
      </c>
      <c r="F26" s="6" t="str">
        <f aca="false">IF($M26=0,"",IF(INDEX('Line Detail'!$F$6:$F$505,$M26)="","",INDEX('Line Detail'!$F$6:$F$505,$M26)))</f>
        <v/>
      </c>
      <c r="G26" s="62" t="str">
        <f aca="false">IF($M26=0,"",IF(INDEX('Line Detail'!$G$6:$G$505,$M26)="","",INDEX('Line Detail'!$G$6:$G$505,$M26)))</f>
        <v/>
      </c>
      <c r="H26" s="13" t="str">
        <f aca="false">IF($M26=0,"",IF(INDEX('Line Detail'!$H$6:$H$505,$M26)="","",INDEX('Line Detail'!$H$6:$H$505,$M26)))</f>
        <v/>
      </c>
      <c r="I26" s="34" t="str">
        <f aca="false">IF($M26=0,"",IF(INDEX('Line Detail'!$O$6:$O$505,$M26)="","",INDEX('Line Detail'!$O$6:$O$505,$M26)))</f>
        <v/>
      </c>
      <c r="J26" s="34" t="str">
        <f aca="false">IF($M26=0,"",IF(INDEX('Line Detail'!$R$6:$R$505,$M26)="","",INDEX('Line Detail'!$R$6:$R$505,$M26)))</f>
        <v/>
      </c>
      <c r="K26" s="6" t="str">
        <f aca="false">IF($M26=0,"",IF(INDEX('Line Detail'!$S$6:$S$505,$M26)="","",INDEX('Line Detail'!$S$6:$S$505,$M26)))</f>
        <v/>
      </c>
      <c r="L26" s="1"/>
      <c r="M26" s="63" t="n">
        <f aca="false">IFERROR(MATCH(21,'Line Detail'!$W$6:$W$505,0),0)</f>
        <v>0</v>
      </c>
    </row>
    <row r="27" customFormat="false" ht="15" hidden="false" customHeight="false" outlineLevel="0" collapsed="false">
      <c r="A27" s="13" t="str">
        <f aca="false">IF($M27=0,"",22)</f>
        <v/>
      </c>
      <c r="B27" s="13" t="str">
        <f aca="false">IF($M27=0,"",IF(INDEX('Line Detail'!$B$6:$B$505,$M27)="","",INDEX('Line Detail'!$B$6:$B$505,$M27)))</f>
        <v/>
      </c>
      <c r="C27" s="13" t="str">
        <f aca="false">IF($M27=0,"",IF(INDEX('Line Detail'!$C$6:$C$505,$M27)="","",INDEX('Line Detail'!$C$6:$C$505,$M27)))</f>
        <v/>
      </c>
      <c r="D27" s="13" t="str">
        <f aca="false">IF($M27=0,"",IF(INDEX('Line Detail'!$D$6:$D$505,$M27)="","",INDEX('Line Detail'!$D$6:$D$505,$M27)))</f>
        <v/>
      </c>
      <c r="E27" s="13" t="str">
        <f aca="false">IF($M27=0,"",IF(INDEX('Line Detail'!$E$6:$E$505,$M27)="","",INDEX('Line Detail'!$E$6:$E$505,$M27)))</f>
        <v/>
      </c>
      <c r="F27" s="6" t="str">
        <f aca="false">IF($M27=0,"",IF(INDEX('Line Detail'!$F$6:$F$505,$M27)="","",INDEX('Line Detail'!$F$6:$F$505,$M27)))</f>
        <v/>
      </c>
      <c r="G27" s="62" t="str">
        <f aca="false">IF($M27=0,"",IF(INDEX('Line Detail'!$G$6:$G$505,$M27)="","",INDEX('Line Detail'!$G$6:$G$505,$M27)))</f>
        <v/>
      </c>
      <c r="H27" s="13" t="str">
        <f aca="false">IF($M27=0,"",IF(INDEX('Line Detail'!$H$6:$H$505,$M27)="","",INDEX('Line Detail'!$H$6:$H$505,$M27)))</f>
        <v/>
      </c>
      <c r="I27" s="34" t="str">
        <f aca="false">IF($M27=0,"",IF(INDEX('Line Detail'!$O$6:$O$505,$M27)="","",INDEX('Line Detail'!$O$6:$O$505,$M27)))</f>
        <v/>
      </c>
      <c r="J27" s="34" t="str">
        <f aca="false">IF($M27=0,"",IF(INDEX('Line Detail'!$R$6:$R$505,$M27)="","",INDEX('Line Detail'!$R$6:$R$505,$M27)))</f>
        <v/>
      </c>
      <c r="K27" s="6" t="str">
        <f aca="false">IF($M27=0,"",IF(INDEX('Line Detail'!$S$6:$S$505,$M27)="","",INDEX('Line Detail'!$S$6:$S$505,$M27)))</f>
        <v/>
      </c>
      <c r="L27" s="1"/>
      <c r="M27" s="63" t="n">
        <f aca="false">IFERROR(MATCH(22,'Line Detail'!$W$6:$W$505,0),0)</f>
        <v>0</v>
      </c>
    </row>
    <row r="28" customFormat="false" ht="15" hidden="false" customHeight="false" outlineLevel="0" collapsed="false">
      <c r="A28" s="13" t="str">
        <f aca="false">IF($M28=0,"",23)</f>
        <v/>
      </c>
      <c r="B28" s="13" t="str">
        <f aca="false">IF($M28=0,"",IF(INDEX('Line Detail'!$B$6:$B$505,$M28)="","",INDEX('Line Detail'!$B$6:$B$505,$M28)))</f>
        <v/>
      </c>
      <c r="C28" s="13" t="str">
        <f aca="false">IF($M28=0,"",IF(INDEX('Line Detail'!$C$6:$C$505,$M28)="","",INDEX('Line Detail'!$C$6:$C$505,$M28)))</f>
        <v/>
      </c>
      <c r="D28" s="13" t="str">
        <f aca="false">IF($M28=0,"",IF(INDEX('Line Detail'!$D$6:$D$505,$M28)="","",INDEX('Line Detail'!$D$6:$D$505,$M28)))</f>
        <v/>
      </c>
      <c r="E28" s="13" t="str">
        <f aca="false">IF($M28=0,"",IF(INDEX('Line Detail'!$E$6:$E$505,$M28)="","",INDEX('Line Detail'!$E$6:$E$505,$M28)))</f>
        <v/>
      </c>
      <c r="F28" s="6" t="str">
        <f aca="false">IF($M28=0,"",IF(INDEX('Line Detail'!$F$6:$F$505,$M28)="","",INDEX('Line Detail'!$F$6:$F$505,$M28)))</f>
        <v/>
      </c>
      <c r="G28" s="62" t="str">
        <f aca="false">IF($M28=0,"",IF(INDEX('Line Detail'!$G$6:$G$505,$M28)="","",INDEX('Line Detail'!$G$6:$G$505,$M28)))</f>
        <v/>
      </c>
      <c r="H28" s="13" t="str">
        <f aca="false">IF($M28=0,"",IF(INDEX('Line Detail'!$H$6:$H$505,$M28)="","",INDEX('Line Detail'!$H$6:$H$505,$M28)))</f>
        <v/>
      </c>
      <c r="I28" s="34" t="str">
        <f aca="false">IF($M28=0,"",IF(INDEX('Line Detail'!$O$6:$O$505,$M28)="","",INDEX('Line Detail'!$O$6:$O$505,$M28)))</f>
        <v/>
      </c>
      <c r="J28" s="34" t="str">
        <f aca="false">IF($M28=0,"",IF(INDEX('Line Detail'!$R$6:$R$505,$M28)="","",INDEX('Line Detail'!$R$6:$R$505,$M28)))</f>
        <v/>
      </c>
      <c r="K28" s="6" t="str">
        <f aca="false">IF($M28=0,"",IF(INDEX('Line Detail'!$S$6:$S$505,$M28)="","",INDEX('Line Detail'!$S$6:$S$505,$M28)))</f>
        <v/>
      </c>
      <c r="L28" s="1"/>
      <c r="M28" s="63" t="n">
        <f aca="false">IFERROR(MATCH(23,'Line Detail'!$W$6:$W$505,0),0)</f>
        <v>0</v>
      </c>
    </row>
    <row r="29" customFormat="false" ht="15" hidden="false" customHeight="false" outlineLevel="0" collapsed="false">
      <c r="A29" s="13" t="str">
        <f aca="false">IF($M29=0,"",24)</f>
        <v/>
      </c>
      <c r="B29" s="13" t="str">
        <f aca="false">IF($M29=0,"",IF(INDEX('Line Detail'!$B$6:$B$505,$M29)="","",INDEX('Line Detail'!$B$6:$B$505,$M29)))</f>
        <v/>
      </c>
      <c r="C29" s="13" t="str">
        <f aca="false">IF($M29=0,"",IF(INDEX('Line Detail'!$C$6:$C$505,$M29)="","",INDEX('Line Detail'!$C$6:$C$505,$M29)))</f>
        <v/>
      </c>
      <c r="D29" s="13" t="str">
        <f aca="false">IF($M29=0,"",IF(INDEX('Line Detail'!$D$6:$D$505,$M29)="","",INDEX('Line Detail'!$D$6:$D$505,$M29)))</f>
        <v/>
      </c>
      <c r="E29" s="13" t="str">
        <f aca="false">IF($M29=0,"",IF(INDEX('Line Detail'!$E$6:$E$505,$M29)="","",INDEX('Line Detail'!$E$6:$E$505,$M29)))</f>
        <v/>
      </c>
      <c r="F29" s="6" t="str">
        <f aca="false">IF($M29=0,"",IF(INDEX('Line Detail'!$F$6:$F$505,$M29)="","",INDEX('Line Detail'!$F$6:$F$505,$M29)))</f>
        <v/>
      </c>
      <c r="G29" s="62" t="str">
        <f aca="false">IF($M29=0,"",IF(INDEX('Line Detail'!$G$6:$G$505,$M29)="","",INDEX('Line Detail'!$G$6:$G$505,$M29)))</f>
        <v/>
      </c>
      <c r="H29" s="13" t="str">
        <f aca="false">IF($M29=0,"",IF(INDEX('Line Detail'!$H$6:$H$505,$M29)="","",INDEX('Line Detail'!$H$6:$H$505,$M29)))</f>
        <v/>
      </c>
      <c r="I29" s="34" t="str">
        <f aca="false">IF($M29=0,"",IF(INDEX('Line Detail'!$O$6:$O$505,$M29)="","",INDEX('Line Detail'!$O$6:$O$505,$M29)))</f>
        <v/>
      </c>
      <c r="J29" s="34" t="str">
        <f aca="false">IF($M29=0,"",IF(INDEX('Line Detail'!$R$6:$R$505,$M29)="","",INDEX('Line Detail'!$R$6:$R$505,$M29)))</f>
        <v/>
      </c>
      <c r="K29" s="6" t="str">
        <f aca="false">IF($M29=0,"",IF(INDEX('Line Detail'!$S$6:$S$505,$M29)="","",INDEX('Line Detail'!$S$6:$S$505,$M29)))</f>
        <v/>
      </c>
      <c r="L29" s="1"/>
      <c r="M29" s="63" t="n">
        <f aca="false">IFERROR(MATCH(24,'Line Detail'!$W$6:$W$505,0),0)</f>
        <v>0</v>
      </c>
    </row>
    <row r="30" customFormat="false" ht="15" hidden="false" customHeight="false" outlineLevel="0" collapsed="false">
      <c r="A30" s="13" t="str">
        <f aca="false">IF($M30=0,"",25)</f>
        <v/>
      </c>
      <c r="B30" s="13" t="str">
        <f aca="false">IF($M30=0,"",IF(INDEX('Line Detail'!$B$6:$B$505,$M30)="","",INDEX('Line Detail'!$B$6:$B$505,$M30)))</f>
        <v/>
      </c>
      <c r="C30" s="13" t="str">
        <f aca="false">IF($M30=0,"",IF(INDEX('Line Detail'!$C$6:$C$505,$M30)="","",INDEX('Line Detail'!$C$6:$C$505,$M30)))</f>
        <v/>
      </c>
      <c r="D30" s="13" t="str">
        <f aca="false">IF($M30=0,"",IF(INDEX('Line Detail'!$D$6:$D$505,$M30)="","",INDEX('Line Detail'!$D$6:$D$505,$M30)))</f>
        <v/>
      </c>
      <c r="E30" s="13" t="str">
        <f aca="false">IF($M30=0,"",IF(INDEX('Line Detail'!$E$6:$E$505,$M30)="","",INDEX('Line Detail'!$E$6:$E$505,$M30)))</f>
        <v/>
      </c>
      <c r="F30" s="6" t="str">
        <f aca="false">IF($M30=0,"",IF(INDEX('Line Detail'!$F$6:$F$505,$M30)="","",INDEX('Line Detail'!$F$6:$F$505,$M30)))</f>
        <v/>
      </c>
      <c r="G30" s="62" t="str">
        <f aca="false">IF($M30=0,"",IF(INDEX('Line Detail'!$G$6:$G$505,$M30)="","",INDEX('Line Detail'!$G$6:$G$505,$M30)))</f>
        <v/>
      </c>
      <c r="H30" s="13" t="str">
        <f aca="false">IF($M30=0,"",IF(INDEX('Line Detail'!$H$6:$H$505,$M30)="","",INDEX('Line Detail'!$H$6:$H$505,$M30)))</f>
        <v/>
      </c>
      <c r="I30" s="34" t="str">
        <f aca="false">IF($M30=0,"",IF(INDEX('Line Detail'!$O$6:$O$505,$M30)="","",INDEX('Line Detail'!$O$6:$O$505,$M30)))</f>
        <v/>
      </c>
      <c r="J30" s="34" t="str">
        <f aca="false">IF($M30=0,"",IF(INDEX('Line Detail'!$R$6:$R$505,$M30)="","",INDEX('Line Detail'!$R$6:$R$505,$M30)))</f>
        <v/>
      </c>
      <c r="K30" s="6" t="str">
        <f aca="false">IF($M30=0,"",IF(INDEX('Line Detail'!$S$6:$S$505,$M30)="","",INDEX('Line Detail'!$S$6:$S$505,$M30)))</f>
        <v/>
      </c>
      <c r="L30" s="1"/>
      <c r="M30" s="63" t="n">
        <f aca="false">IFERROR(MATCH(25,'Line Detail'!$W$6:$W$505,0),0)</f>
        <v>0</v>
      </c>
    </row>
    <row r="31" customFormat="false" ht="15" hidden="false" customHeight="false" outlineLevel="0" collapsed="false">
      <c r="A31" s="13" t="str">
        <f aca="false">IF($M31=0,"",26)</f>
        <v/>
      </c>
      <c r="B31" s="13" t="str">
        <f aca="false">IF($M31=0,"",IF(INDEX('Line Detail'!$B$6:$B$505,$M31)="","",INDEX('Line Detail'!$B$6:$B$505,$M31)))</f>
        <v/>
      </c>
      <c r="C31" s="13" t="str">
        <f aca="false">IF($M31=0,"",IF(INDEX('Line Detail'!$C$6:$C$505,$M31)="","",INDEX('Line Detail'!$C$6:$C$505,$M31)))</f>
        <v/>
      </c>
      <c r="D31" s="13" t="str">
        <f aca="false">IF($M31=0,"",IF(INDEX('Line Detail'!$D$6:$D$505,$M31)="","",INDEX('Line Detail'!$D$6:$D$505,$M31)))</f>
        <v/>
      </c>
      <c r="E31" s="13" t="str">
        <f aca="false">IF($M31=0,"",IF(INDEX('Line Detail'!$E$6:$E$505,$M31)="","",INDEX('Line Detail'!$E$6:$E$505,$M31)))</f>
        <v/>
      </c>
      <c r="F31" s="6" t="str">
        <f aca="false">IF($M31=0,"",IF(INDEX('Line Detail'!$F$6:$F$505,$M31)="","",INDEX('Line Detail'!$F$6:$F$505,$M31)))</f>
        <v/>
      </c>
      <c r="G31" s="62" t="str">
        <f aca="false">IF($M31=0,"",IF(INDEX('Line Detail'!$G$6:$G$505,$M31)="","",INDEX('Line Detail'!$G$6:$G$505,$M31)))</f>
        <v/>
      </c>
      <c r="H31" s="13" t="str">
        <f aca="false">IF($M31=0,"",IF(INDEX('Line Detail'!$H$6:$H$505,$M31)="","",INDEX('Line Detail'!$H$6:$H$505,$M31)))</f>
        <v/>
      </c>
      <c r="I31" s="34" t="str">
        <f aca="false">IF($M31=0,"",IF(INDEX('Line Detail'!$O$6:$O$505,$M31)="","",INDEX('Line Detail'!$O$6:$O$505,$M31)))</f>
        <v/>
      </c>
      <c r="J31" s="34" t="str">
        <f aca="false">IF($M31=0,"",IF(INDEX('Line Detail'!$R$6:$R$505,$M31)="","",INDEX('Line Detail'!$R$6:$R$505,$M31)))</f>
        <v/>
      </c>
      <c r="K31" s="6" t="str">
        <f aca="false">IF($M31=0,"",IF(INDEX('Line Detail'!$S$6:$S$505,$M31)="","",INDEX('Line Detail'!$S$6:$S$505,$M31)))</f>
        <v/>
      </c>
      <c r="L31" s="1"/>
      <c r="M31" s="63" t="n">
        <f aca="false">IFERROR(MATCH(26,'Line Detail'!$W$6:$W$505,0),0)</f>
        <v>0</v>
      </c>
    </row>
    <row r="32" customFormat="false" ht="15" hidden="false" customHeight="false" outlineLevel="0" collapsed="false">
      <c r="A32" s="13" t="str">
        <f aca="false">IF($M32=0,"",27)</f>
        <v/>
      </c>
      <c r="B32" s="13" t="str">
        <f aca="false">IF($M32=0,"",IF(INDEX('Line Detail'!$B$6:$B$505,$M32)="","",INDEX('Line Detail'!$B$6:$B$505,$M32)))</f>
        <v/>
      </c>
      <c r="C32" s="13" t="str">
        <f aca="false">IF($M32=0,"",IF(INDEX('Line Detail'!$C$6:$C$505,$M32)="","",INDEX('Line Detail'!$C$6:$C$505,$M32)))</f>
        <v/>
      </c>
      <c r="D32" s="13" t="str">
        <f aca="false">IF($M32=0,"",IF(INDEX('Line Detail'!$D$6:$D$505,$M32)="","",INDEX('Line Detail'!$D$6:$D$505,$M32)))</f>
        <v/>
      </c>
      <c r="E32" s="13" t="str">
        <f aca="false">IF($M32=0,"",IF(INDEX('Line Detail'!$E$6:$E$505,$M32)="","",INDEX('Line Detail'!$E$6:$E$505,$M32)))</f>
        <v/>
      </c>
      <c r="F32" s="6" t="str">
        <f aca="false">IF($M32=0,"",IF(INDEX('Line Detail'!$F$6:$F$505,$M32)="","",INDEX('Line Detail'!$F$6:$F$505,$M32)))</f>
        <v/>
      </c>
      <c r="G32" s="62" t="str">
        <f aca="false">IF($M32=0,"",IF(INDEX('Line Detail'!$G$6:$G$505,$M32)="","",INDEX('Line Detail'!$G$6:$G$505,$M32)))</f>
        <v/>
      </c>
      <c r="H32" s="13" t="str">
        <f aca="false">IF($M32=0,"",IF(INDEX('Line Detail'!$H$6:$H$505,$M32)="","",INDEX('Line Detail'!$H$6:$H$505,$M32)))</f>
        <v/>
      </c>
      <c r="I32" s="34" t="str">
        <f aca="false">IF($M32=0,"",IF(INDEX('Line Detail'!$O$6:$O$505,$M32)="","",INDEX('Line Detail'!$O$6:$O$505,$M32)))</f>
        <v/>
      </c>
      <c r="J32" s="34" t="str">
        <f aca="false">IF($M32=0,"",IF(INDEX('Line Detail'!$R$6:$R$505,$M32)="","",INDEX('Line Detail'!$R$6:$R$505,$M32)))</f>
        <v/>
      </c>
      <c r="K32" s="6" t="str">
        <f aca="false">IF($M32=0,"",IF(INDEX('Line Detail'!$S$6:$S$505,$M32)="","",INDEX('Line Detail'!$S$6:$S$505,$M32)))</f>
        <v/>
      </c>
      <c r="L32" s="1"/>
      <c r="M32" s="63" t="n">
        <f aca="false">IFERROR(MATCH(27,'Line Detail'!$W$6:$W$505,0),0)</f>
        <v>0</v>
      </c>
    </row>
    <row r="33" customFormat="false" ht="15" hidden="false" customHeight="false" outlineLevel="0" collapsed="false">
      <c r="A33" s="13" t="str">
        <f aca="false">IF($M33=0,"",28)</f>
        <v/>
      </c>
      <c r="B33" s="13" t="str">
        <f aca="false">IF($M33=0,"",IF(INDEX('Line Detail'!$B$6:$B$505,$M33)="","",INDEX('Line Detail'!$B$6:$B$505,$M33)))</f>
        <v/>
      </c>
      <c r="C33" s="13" t="str">
        <f aca="false">IF($M33=0,"",IF(INDEX('Line Detail'!$C$6:$C$505,$M33)="","",INDEX('Line Detail'!$C$6:$C$505,$M33)))</f>
        <v/>
      </c>
      <c r="D33" s="13" t="str">
        <f aca="false">IF($M33=0,"",IF(INDEX('Line Detail'!$D$6:$D$505,$M33)="","",INDEX('Line Detail'!$D$6:$D$505,$M33)))</f>
        <v/>
      </c>
      <c r="E33" s="13" t="str">
        <f aca="false">IF($M33=0,"",IF(INDEX('Line Detail'!$E$6:$E$505,$M33)="","",INDEX('Line Detail'!$E$6:$E$505,$M33)))</f>
        <v/>
      </c>
      <c r="F33" s="6" t="str">
        <f aca="false">IF($M33=0,"",IF(INDEX('Line Detail'!$F$6:$F$505,$M33)="","",INDEX('Line Detail'!$F$6:$F$505,$M33)))</f>
        <v/>
      </c>
      <c r="G33" s="62" t="str">
        <f aca="false">IF($M33=0,"",IF(INDEX('Line Detail'!$G$6:$G$505,$M33)="","",INDEX('Line Detail'!$G$6:$G$505,$M33)))</f>
        <v/>
      </c>
      <c r="H33" s="13" t="str">
        <f aca="false">IF($M33=0,"",IF(INDEX('Line Detail'!$H$6:$H$505,$M33)="","",INDEX('Line Detail'!$H$6:$H$505,$M33)))</f>
        <v/>
      </c>
      <c r="I33" s="34" t="str">
        <f aca="false">IF($M33=0,"",IF(INDEX('Line Detail'!$O$6:$O$505,$M33)="","",INDEX('Line Detail'!$O$6:$O$505,$M33)))</f>
        <v/>
      </c>
      <c r="J33" s="34" t="str">
        <f aca="false">IF($M33=0,"",IF(INDEX('Line Detail'!$R$6:$R$505,$M33)="","",INDEX('Line Detail'!$R$6:$R$505,$M33)))</f>
        <v/>
      </c>
      <c r="K33" s="6" t="str">
        <f aca="false">IF($M33=0,"",IF(INDEX('Line Detail'!$S$6:$S$505,$M33)="","",INDEX('Line Detail'!$S$6:$S$505,$M33)))</f>
        <v/>
      </c>
      <c r="L33" s="1"/>
      <c r="M33" s="63" t="n">
        <f aca="false">IFERROR(MATCH(28,'Line Detail'!$W$6:$W$505,0),0)</f>
        <v>0</v>
      </c>
    </row>
    <row r="34" customFormat="false" ht="15" hidden="false" customHeight="false" outlineLevel="0" collapsed="false">
      <c r="A34" s="13" t="str">
        <f aca="false">IF($M34=0,"",29)</f>
        <v/>
      </c>
      <c r="B34" s="13" t="str">
        <f aca="false">IF($M34=0,"",IF(INDEX('Line Detail'!$B$6:$B$505,$M34)="","",INDEX('Line Detail'!$B$6:$B$505,$M34)))</f>
        <v/>
      </c>
      <c r="C34" s="13" t="str">
        <f aca="false">IF($M34=0,"",IF(INDEX('Line Detail'!$C$6:$C$505,$M34)="","",INDEX('Line Detail'!$C$6:$C$505,$M34)))</f>
        <v/>
      </c>
      <c r="D34" s="13" t="str">
        <f aca="false">IF($M34=0,"",IF(INDEX('Line Detail'!$D$6:$D$505,$M34)="","",INDEX('Line Detail'!$D$6:$D$505,$M34)))</f>
        <v/>
      </c>
      <c r="E34" s="13" t="str">
        <f aca="false">IF($M34=0,"",IF(INDEX('Line Detail'!$E$6:$E$505,$M34)="","",INDEX('Line Detail'!$E$6:$E$505,$M34)))</f>
        <v/>
      </c>
      <c r="F34" s="6" t="str">
        <f aca="false">IF($M34=0,"",IF(INDEX('Line Detail'!$F$6:$F$505,$M34)="","",INDEX('Line Detail'!$F$6:$F$505,$M34)))</f>
        <v/>
      </c>
      <c r="G34" s="62" t="str">
        <f aca="false">IF($M34=0,"",IF(INDEX('Line Detail'!$G$6:$G$505,$M34)="","",INDEX('Line Detail'!$G$6:$G$505,$M34)))</f>
        <v/>
      </c>
      <c r="H34" s="13" t="str">
        <f aca="false">IF($M34=0,"",IF(INDEX('Line Detail'!$H$6:$H$505,$M34)="","",INDEX('Line Detail'!$H$6:$H$505,$M34)))</f>
        <v/>
      </c>
      <c r="I34" s="34" t="str">
        <f aca="false">IF($M34=0,"",IF(INDEX('Line Detail'!$O$6:$O$505,$M34)="","",INDEX('Line Detail'!$O$6:$O$505,$M34)))</f>
        <v/>
      </c>
      <c r="J34" s="34" t="str">
        <f aca="false">IF($M34=0,"",IF(INDEX('Line Detail'!$R$6:$R$505,$M34)="","",INDEX('Line Detail'!$R$6:$R$505,$M34)))</f>
        <v/>
      </c>
      <c r="K34" s="6" t="str">
        <f aca="false">IF($M34=0,"",IF(INDEX('Line Detail'!$S$6:$S$505,$M34)="","",INDEX('Line Detail'!$S$6:$S$505,$M34)))</f>
        <v/>
      </c>
      <c r="L34" s="1"/>
      <c r="M34" s="63" t="n">
        <f aca="false">IFERROR(MATCH(29,'Line Detail'!$W$6:$W$505,0),0)</f>
        <v>0</v>
      </c>
    </row>
    <row r="35" customFormat="false" ht="15" hidden="false" customHeight="false" outlineLevel="0" collapsed="false">
      <c r="A35" s="13" t="str">
        <f aca="false">IF($M35=0,"",30)</f>
        <v/>
      </c>
      <c r="B35" s="13" t="str">
        <f aca="false">IF($M35=0,"",IF(INDEX('Line Detail'!$B$6:$B$505,$M35)="","",INDEX('Line Detail'!$B$6:$B$505,$M35)))</f>
        <v/>
      </c>
      <c r="C35" s="13" t="str">
        <f aca="false">IF($M35=0,"",IF(INDEX('Line Detail'!$C$6:$C$505,$M35)="","",INDEX('Line Detail'!$C$6:$C$505,$M35)))</f>
        <v/>
      </c>
      <c r="D35" s="13" t="str">
        <f aca="false">IF($M35=0,"",IF(INDEX('Line Detail'!$D$6:$D$505,$M35)="","",INDEX('Line Detail'!$D$6:$D$505,$M35)))</f>
        <v/>
      </c>
      <c r="E35" s="13" t="str">
        <f aca="false">IF($M35=0,"",IF(INDEX('Line Detail'!$E$6:$E$505,$M35)="","",INDEX('Line Detail'!$E$6:$E$505,$M35)))</f>
        <v/>
      </c>
      <c r="F35" s="6" t="str">
        <f aca="false">IF($M35=0,"",IF(INDEX('Line Detail'!$F$6:$F$505,$M35)="","",INDEX('Line Detail'!$F$6:$F$505,$M35)))</f>
        <v/>
      </c>
      <c r="G35" s="62" t="str">
        <f aca="false">IF($M35=0,"",IF(INDEX('Line Detail'!$G$6:$G$505,$M35)="","",INDEX('Line Detail'!$G$6:$G$505,$M35)))</f>
        <v/>
      </c>
      <c r="H35" s="13" t="str">
        <f aca="false">IF($M35=0,"",IF(INDEX('Line Detail'!$H$6:$H$505,$M35)="","",INDEX('Line Detail'!$H$6:$H$505,$M35)))</f>
        <v/>
      </c>
      <c r="I35" s="34" t="str">
        <f aca="false">IF($M35=0,"",IF(INDEX('Line Detail'!$O$6:$O$505,$M35)="","",INDEX('Line Detail'!$O$6:$O$505,$M35)))</f>
        <v/>
      </c>
      <c r="J35" s="34" t="str">
        <f aca="false">IF($M35=0,"",IF(INDEX('Line Detail'!$R$6:$R$505,$M35)="","",INDEX('Line Detail'!$R$6:$R$505,$M35)))</f>
        <v/>
      </c>
      <c r="K35" s="6" t="str">
        <f aca="false">IF($M35=0,"",IF(INDEX('Line Detail'!$S$6:$S$505,$M35)="","",INDEX('Line Detail'!$S$6:$S$505,$M35)))</f>
        <v/>
      </c>
      <c r="L35" s="1"/>
      <c r="M35" s="63" t="n">
        <f aca="false">IFERROR(MATCH(30,'Line Detail'!$W$6:$W$505,0),0)</f>
        <v>0</v>
      </c>
    </row>
    <row r="36" customFormat="false" ht="15" hidden="false" customHeight="false" outlineLevel="0" collapsed="false">
      <c r="A36" s="13" t="str">
        <f aca="false">IF($M36=0,"",31)</f>
        <v/>
      </c>
      <c r="B36" s="13" t="str">
        <f aca="false">IF($M36=0,"",IF(INDEX('Line Detail'!$B$6:$B$505,$M36)="","",INDEX('Line Detail'!$B$6:$B$505,$M36)))</f>
        <v/>
      </c>
      <c r="C36" s="13" t="str">
        <f aca="false">IF($M36=0,"",IF(INDEX('Line Detail'!$C$6:$C$505,$M36)="","",INDEX('Line Detail'!$C$6:$C$505,$M36)))</f>
        <v/>
      </c>
      <c r="D36" s="13" t="str">
        <f aca="false">IF($M36=0,"",IF(INDEX('Line Detail'!$D$6:$D$505,$M36)="","",INDEX('Line Detail'!$D$6:$D$505,$M36)))</f>
        <v/>
      </c>
      <c r="E36" s="13" t="str">
        <f aca="false">IF($M36=0,"",IF(INDEX('Line Detail'!$E$6:$E$505,$M36)="","",INDEX('Line Detail'!$E$6:$E$505,$M36)))</f>
        <v/>
      </c>
      <c r="F36" s="6" t="str">
        <f aca="false">IF($M36=0,"",IF(INDEX('Line Detail'!$F$6:$F$505,$M36)="","",INDEX('Line Detail'!$F$6:$F$505,$M36)))</f>
        <v/>
      </c>
      <c r="G36" s="62" t="str">
        <f aca="false">IF($M36=0,"",IF(INDEX('Line Detail'!$G$6:$G$505,$M36)="","",INDEX('Line Detail'!$G$6:$G$505,$M36)))</f>
        <v/>
      </c>
      <c r="H36" s="13" t="str">
        <f aca="false">IF($M36=0,"",IF(INDEX('Line Detail'!$H$6:$H$505,$M36)="","",INDEX('Line Detail'!$H$6:$H$505,$M36)))</f>
        <v/>
      </c>
      <c r="I36" s="34" t="str">
        <f aca="false">IF($M36=0,"",IF(INDEX('Line Detail'!$O$6:$O$505,$M36)="","",INDEX('Line Detail'!$O$6:$O$505,$M36)))</f>
        <v/>
      </c>
      <c r="J36" s="34" t="str">
        <f aca="false">IF($M36=0,"",IF(INDEX('Line Detail'!$R$6:$R$505,$M36)="","",INDEX('Line Detail'!$R$6:$R$505,$M36)))</f>
        <v/>
      </c>
      <c r="K36" s="6" t="str">
        <f aca="false">IF($M36=0,"",IF(INDEX('Line Detail'!$S$6:$S$505,$M36)="","",INDEX('Line Detail'!$S$6:$S$505,$M36)))</f>
        <v/>
      </c>
      <c r="L36" s="1"/>
      <c r="M36" s="63" t="n">
        <f aca="false">IFERROR(MATCH(31,'Line Detail'!$W$6:$W$505,0),0)</f>
        <v>0</v>
      </c>
    </row>
    <row r="37" customFormat="false" ht="15" hidden="false" customHeight="false" outlineLevel="0" collapsed="false">
      <c r="A37" s="13" t="str">
        <f aca="false">IF($M37=0,"",32)</f>
        <v/>
      </c>
      <c r="B37" s="13" t="str">
        <f aca="false">IF($M37=0,"",IF(INDEX('Line Detail'!$B$6:$B$505,$M37)="","",INDEX('Line Detail'!$B$6:$B$505,$M37)))</f>
        <v/>
      </c>
      <c r="C37" s="13" t="str">
        <f aca="false">IF($M37=0,"",IF(INDEX('Line Detail'!$C$6:$C$505,$M37)="","",INDEX('Line Detail'!$C$6:$C$505,$M37)))</f>
        <v/>
      </c>
      <c r="D37" s="13" t="str">
        <f aca="false">IF($M37=0,"",IF(INDEX('Line Detail'!$D$6:$D$505,$M37)="","",INDEX('Line Detail'!$D$6:$D$505,$M37)))</f>
        <v/>
      </c>
      <c r="E37" s="13" t="str">
        <f aca="false">IF($M37=0,"",IF(INDEX('Line Detail'!$E$6:$E$505,$M37)="","",INDEX('Line Detail'!$E$6:$E$505,$M37)))</f>
        <v/>
      </c>
      <c r="F37" s="6" t="str">
        <f aca="false">IF($M37=0,"",IF(INDEX('Line Detail'!$F$6:$F$505,$M37)="","",INDEX('Line Detail'!$F$6:$F$505,$M37)))</f>
        <v/>
      </c>
      <c r="G37" s="62" t="str">
        <f aca="false">IF($M37=0,"",IF(INDEX('Line Detail'!$G$6:$G$505,$M37)="","",INDEX('Line Detail'!$G$6:$G$505,$M37)))</f>
        <v/>
      </c>
      <c r="H37" s="13" t="str">
        <f aca="false">IF($M37=0,"",IF(INDEX('Line Detail'!$H$6:$H$505,$M37)="","",INDEX('Line Detail'!$H$6:$H$505,$M37)))</f>
        <v/>
      </c>
      <c r="I37" s="34" t="str">
        <f aca="false">IF($M37=0,"",IF(INDEX('Line Detail'!$O$6:$O$505,$M37)="","",INDEX('Line Detail'!$O$6:$O$505,$M37)))</f>
        <v/>
      </c>
      <c r="J37" s="34" t="str">
        <f aca="false">IF($M37=0,"",IF(INDEX('Line Detail'!$R$6:$R$505,$M37)="","",INDEX('Line Detail'!$R$6:$R$505,$M37)))</f>
        <v/>
      </c>
      <c r="K37" s="6" t="str">
        <f aca="false">IF($M37=0,"",IF(INDEX('Line Detail'!$S$6:$S$505,$M37)="","",INDEX('Line Detail'!$S$6:$S$505,$M37)))</f>
        <v/>
      </c>
      <c r="L37" s="1"/>
      <c r="M37" s="63" t="n">
        <f aca="false">IFERROR(MATCH(32,'Line Detail'!$W$6:$W$505,0),0)</f>
        <v>0</v>
      </c>
    </row>
    <row r="38" customFormat="false" ht="15" hidden="false" customHeight="false" outlineLevel="0" collapsed="false">
      <c r="A38" s="13" t="str">
        <f aca="false">IF($M38=0,"",33)</f>
        <v/>
      </c>
      <c r="B38" s="13" t="str">
        <f aca="false">IF($M38=0,"",IF(INDEX('Line Detail'!$B$6:$B$505,$M38)="","",INDEX('Line Detail'!$B$6:$B$505,$M38)))</f>
        <v/>
      </c>
      <c r="C38" s="13" t="str">
        <f aca="false">IF($M38=0,"",IF(INDEX('Line Detail'!$C$6:$C$505,$M38)="","",INDEX('Line Detail'!$C$6:$C$505,$M38)))</f>
        <v/>
      </c>
      <c r="D38" s="13" t="str">
        <f aca="false">IF($M38=0,"",IF(INDEX('Line Detail'!$D$6:$D$505,$M38)="","",INDEX('Line Detail'!$D$6:$D$505,$M38)))</f>
        <v/>
      </c>
      <c r="E38" s="13" t="str">
        <f aca="false">IF($M38=0,"",IF(INDEX('Line Detail'!$E$6:$E$505,$M38)="","",INDEX('Line Detail'!$E$6:$E$505,$M38)))</f>
        <v/>
      </c>
      <c r="F38" s="6" t="str">
        <f aca="false">IF($M38=0,"",IF(INDEX('Line Detail'!$F$6:$F$505,$M38)="","",INDEX('Line Detail'!$F$6:$F$505,$M38)))</f>
        <v/>
      </c>
      <c r="G38" s="62" t="str">
        <f aca="false">IF($M38=0,"",IF(INDEX('Line Detail'!$G$6:$G$505,$M38)="","",INDEX('Line Detail'!$G$6:$G$505,$M38)))</f>
        <v/>
      </c>
      <c r="H38" s="13" t="str">
        <f aca="false">IF($M38=0,"",IF(INDEX('Line Detail'!$H$6:$H$505,$M38)="","",INDEX('Line Detail'!$H$6:$H$505,$M38)))</f>
        <v/>
      </c>
      <c r="I38" s="34" t="str">
        <f aca="false">IF($M38=0,"",IF(INDEX('Line Detail'!$O$6:$O$505,$M38)="","",INDEX('Line Detail'!$O$6:$O$505,$M38)))</f>
        <v/>
      </c>
      <c r="J38" s="34" t="str">
        <f aca="false">IF($M38=0,"",IF(INDEX('Line Detail'!$R$6:$R$505,$M38)="","",INDEX('Line Detail'!$R$6:$R$505,$M38)))</f>
        <v/>
      </c>
      <c r="K38" s="6" t="str">
        <f aca="false">IF($M38=0,"",IF(INDEX('Line Detail'!$S$6:$S$505,$M38)="","",INDEX('Line Detail'!$S$6:$S$505,$M38)))</f>
        <v/>
      </c>
      <c r="L38" s="1"/>
      <c r="M38" s="63" t="n">
        <f aca="false">IFERROR(MATCH(33,'Line Detail'!$W$6:$W$505,0),0)</f>
        <v>0</v>
      </c>
    </row>
    <row r="39" customFormat="false" ht="15" hidden="false" customHeight="false" outlineLevel="0" collapsed="false">
      <c r="A39" s="13" t="str">
        <f aca="false">IF($M39=0,"",34)</f>
        <v/>
      </c>
      <c r="B39" s="13" t="str">
        <f aca="false">IF($M39=0,"",IF(INDEX('Line Detail'!$B$6:$B$505,$M39)="","",INDEX('Line Detail'!$B$6:$B$505,$M39)))</f>
        <v/>
      </c>
      <c r="C39" s="13" t="str">
        <f aca="false">IF($M39=0,"",IF(INDEX('Line Detail'!$C$6:$C$505,$M39)="","",INDEX('Line Detail'!$C$6:$C$505,$M39)))</f>
        <v/>
      </c>
      <c r="D39" s="13" t="str">
        <f aca="false">IF($M39=0,"",IF(INDEX('Line Detail'!$D$6:$D$505,$M39)="","",INDEX('Line Detail'!$D$6:$D$505,$M39)))</f>
        <v/>
      </c>
      <c r="E39" s="13" t="str">
        <f aca="false">IF($M39=0,"",IF(INDEX('Line Detail'!$E$6:$E$505,$M39)="","",INDEX('Line Detail'!$E$6:$E$505,$M39)))</f>
        <v/>
      </c>
      <c r="F39" s="6" t="str">
        <f aca="false">IF($M39=0,"",IF(INDEX('Line Detail'!$F$6:$F$505,$M39)="","",INDEX('Line Detail'!$F$6:$F$505,$M39)))</f>
        <v/>
      </c>
      <c r="G39" s="62" t="str">
        <f aca="false">IF($M39=0,"",IF(INDEX('Line Detail'!$G$6:$G$505,$M39)="","",INDEX('Line Detail'!$G$6:$G$505,$M39)))</f>
        <v/>
      </c>
      <c r="H39" s="13" t="str">
        <f aca="false">IF($M39=0,"",IF(INDEX('Line Detail'!$H$6:$H$505,$M39)="","",INDEX('Line Detail'!$H$6:$H$505,$M39)))</f>
        <v/>
      </c>
      <c r="I39" s="34" t="str">
        <f aca="false">IF($M39=0,"",IF(INDEX('Line Detail'!$O$6:$O$505,$M39)="","",INDEX('Line Detail'!$O$6:$O$505,$M39)))</f>
        <v/>
      </c>
      <c r="J39" s="34" t="str">
        <f aca="false">IF($M39=0,"",IF(INDEX('Line Detail'!$R$6:$R$505,$M39)="","",INDEX('Line Detail'!$R$6:$R$505,$M39)))</f>
        <v/>
      </c>
      <c r="K39" s="6" t="str">
        <f aca="false">IF($M39=0,"",IF(INDEX('Line Detail'!$S$6:$S$505,$M39)="","",INDEX('Line Detail'!$S$6:$S$505,$M39)))</f>
        <v/>
      </c>
      <c r="L39" s="1"/>
      <c r="M39" s="63" t="n">
        <f aca="false">IFERROR(MATCH(34,'Line Detail'!$W$6:$W$505,0),0)</f>
        <v>0</v>
      </c>
    </row>
    <row r="40" customFormat="false" ht="15" hidden="false" customHeight="false" outlineLevel="0" collapsed="false">
      <c r="A40" s="13" t="str">
        <f aca="false">IF($M40=0,"",35)</f>
        <v/>
      </c>
      <c r="B40" s="13" t="str">
        <f aca="false">IF($M40=0,"",IF(INDEX('Line Detail'!$B$6:$B$505,$M40)="","",INDEX('Line Detail'!$B$6:$B$505,$M40)))</f>
        <v/>
      </c>
      <c r="C40" s="13" t="str">
        <f aca="false">IF($M40=0,"",IF(INDEX('Line Detail'!$C$6:$C$505,$M40)="","",INDEX('Line Detail'!$C$6:$C$505,$M40)))</f>
        <v/>
      </c>
      <c r="D40" s="13" t="str">
        <f aca="false">IF($M40=0,"",IF(INDEX('Line Detail'!$D$6:$D$505,$M40)="","",INDEX('Line Detail'!$D$6:$D$505,$M40)))</f>
        <v/>
      </c>
      <c r="E40" s="13" t="str">
        <f aca="false">IF($M40=0,"",IF(INDEX('Line Detail'!$E$6:$E$505,$M40)="","",INDEX('Line Detail'!$E$6:$E$505,$M40)))</f>
        <v/>
      </c>
      <c r="F40" s="6" t="str">
        <f aca="false">IF($M40=0,"",IF(INDEX('Line Detail'!$F$6:$F$505,$M40)="","",INDEX('Line Detail'!$F$6:$F$505,$M40)))</f>
        <v/>
      </c>
      <c r="G40" s="62" t="str">
        <f aca="false">IF($M40=0,"",IF(INDEX('Line Detail'!$G$6:$G$505,$M40)="","",INDEX('Line Detail'!$G$6:$G$505,$M40)))</f>
        <v/>
      </c>
      <c r="H40" s="13" t="str">
        <f aca="false">IF($M40=0,"",IF(INDEX('Line Detail'!$H$6:$H$505,$M40)="","",INDEX('Line Detail'!$H$6:$H$505,$M40)))</f>
        <v/>
      </c>
      <c r="I40" s="34" t="str">
        <f aca="false">IF($M40=0,"",IF(INDEX('Line Detail'!$O$6:$O$505,$M40)="","",INDEX('Line Detail'!$O$6:$O$505,$M40)))</f>
        <v/>
      </c>
      <c r="J40" s="34" t="str">
        <f aca="false">IF($M40=0,"",IF(INDEX('Line Detail'!$R$6:$R$505,$M40)="","",INDEX('Line Detail'!$R$6:$R$505,$M40)))</f>
        <v/>
      </c>
      <c r="K40" s="6" t="str">
        <f aca="false">IF($M40=0,"",IF(INDEX('Line Detail'!$S$6:$S$505,$M40)="","",INDEX('Line Detail'!$S$6:$S$505,$M40)))</f>
        <v/>
      </c>
      <c r="L40" s="1"/>
      <c r="M40" s="63" t="n">
        <f aca="false">IFERROR(MATCH(35,'Line Detail'!$W$6:$W$505,0),0)</f>
        <v>0</v>
      </c>
    </row>
    <row r="41" customFormat="false" ht="15" hidden="false" customHeight="false" outlineLevel="0" collapsed="false">
      <c r="A41" s="13" t="str">
        <f aca="false">IF($M41=0,"",36)</f>
        <v/>
      </c>
      <c r="B41" s="13" t="str">
        <f aca="false">IF($M41=0,"",IF(INDEX('Line Detail'!$B$6:$B$505,$M41)="","",INDEX('Line Detail'!$B$6:$B$505,$M41)))</f>
        <v/>
      </c>
      <c r="C41" s="13" t="str">
        <f aca="false">IF($M41=0,"",IF(INDEX('Line Detail'!$C$6:$C$505,$M41)="","",INDEX('Line Detail'!$C$6:$C$505,$M41)))</f>
        <v/>
      </c>
      <c r="D41" s="13" t="str">
        <f aca="false">IF($M41=0,"",IF(INDEX('Line Detail'!$D$6:$D$505,$M41)="","",INDEX('Line Detail'!$D$6:$D$505,$M41)))</f>
        <v/>
      </c>
      <c r="E41" s="13" t="str">
        <f aca="false">IF($M41=0,"",IF(INDEX('Line Detail'!$E$6:$E$505,$M41)="","",INDEX('Line Detail'!$E$6:$E$505,$M41)))</f>
        <v/>
      </c>
      <c r="F41" s="6" t="str">
        <f aca="false">IF($M41=0,"",IF(INDEX('Line Detail'!$F$6:$F$505,$M41)="","",INDEX('Line Detail'!$F$6:$F$505,$M41)))</f>
        <v/>
      </c>
      <c r="G41" s="62" t="str">
        <f aca="false">IF($M41=0,"",IF(INDEX('Line Detail'!$G$6:$G$505,$M41)="","",INDEX('Line Detail'!$G$6:$G$505,$M41)))</f>
        <v/>
      </c>
      <c r="H41" s="13" t="str">
        <f aca="false">IF($M41=0,"",IF(INDEX('Line Detail'!$H$6:$H$505,$M41)="","",INDEX('Line Detail'!$H$6:$H$505,$M41)))</f>
        <v/>
      </c>
      <c r="I41" s="34" t="str">
        <f aca="false">IF($M41=0,"",IF(INDEX('Line Detail'!$O$6:$O$505,$M41)="","",INDEX('Line Detail'!$O$6:$O$505,$M41)))</f>
        <v/>
      </c>
      <c r="J41" s="34" t="str">
        <f aca="false">IF($M41=0,"",IF(INDEX('Line Detail'!$R$6:$R$505,$M41)="","",INDEX('Line Detail'!$R$6:$R$505,$M41)))</f>
        <v/>
      </c>
      <c r="K41" s="6" t="str">
        <f aca="false">IF($M41=0,"",IF(INDEX('Line Detail'!$S$6:$S$505,$M41)="","",INDEX('Line Detail'!$S$6:$S$505,$M41)))</f>
        <v/>
      </c>
      <c r="L41" s="1"/>
      <c r="M41" s="63" t="n">
        <f aca="false">IFERROR(MATCH(36,'Line Detail'!$W$6:$W$505,0),0)</f>
        <v>0</v>
      </c>
    </row>
    <row r="42" customFormat="false" ht="15" hidden="false" customHeight="false" outlineLevel="0" collapsed="false">
      <c r="A42" s="13" t="str">
        <f aca="false">IF($M42=0,"",37)</f>
        <v/>
      </c>
      <c r="B42" s="13" t="str">
        <f aca="false">IF($M42=0,"",IF(INDEX('Line Detail'!$B$6:$B$505,$M42)="","",INDEX('Line Detail'!$B$6:$B$505,$M42)))</f>
        <v/>
      </c>
      <c r="C42" s="13" t="str">
        <f aca="false">IF($M42=0,"",IF(INDEX('Line Detail'!$C$6:$C$505,$M42)="","",INDEX('Line Detail'!$C$6:$C$505,$M42)))</f>
        <v/>
      </c>
      <c r="D42" s="13" t="str">
        <f aca="false">IF($M42=0,"",IF(INDEX('Line Detail'!$D$6:$D$505,$M42)="","",INDEX('Line Detail'!$D$6:$D$505,$M42)))</f>
        <v/>
      </c>
      <c r="E42" s="13" t="str">
        <f aca="false">IF($M42=0,"",IF(INDEX('Line Detail'!$E$6:$E$505,$M42)="","",INDEX('Line Detail'!$E$6:$E$505,$M42)))</f>
        <v/>
      </c>
      <c r="F42" s="6" t="str">
        <f aca="false">IF($M42=0,"",IF(INDEX('Line Detail'!$F$6:$F$505,$M42)="","",INDEX('Line Detail'!$F$6:$F$505,$M42)))</f>
        <v/>
      </c>
      <c r="G42" s="62" t="str">
        <f aca="false">IF($M42=0,"",IF(INDEX('Line Detail'!$G$6:$G$505,$M42)="","",INDEX('Line Detail'!$G$6:$G$505,$M42)))</f>
        <v/>
      </c>
      <c r="H42" s="13" t="str">
        <f aca="false">IF($M42=0,"",IF(INDEX('Line Detail'!$H$6:$H$505,$M42)="","",INDEX('Line Detail'!$H$6:$H$505,$M42)))</f>
        <v/>
      </c>
      <c r="I42" s="34" t="str">
        <f aca="false">IF($M42=0,"",IF(INDEX('Line Detail'!$O$6:$O$505,$M42)="","",INDEX('Line Detail'!$O$6:$O$505,$M42)))</f>
        <v/>
      </c>
      <c r="J42" s="34" t="str">
        <f aca="false">IF($M42=0,"",IF(INDEX('Line Detail'!$R$6:$R$505,$M42)="","",INDEX('Line Detail'!$R$6:$R$505,$M42)))</f>
        <v/>
      </c>
      <c r="K42" s="6" t="str">
        <f aca="false">IF($M42=0,"",IF(INDEX('Line Detail'!$S$6:$S$505,$M42)="","",INDEX('Line Detail'!$S$6:$S$505,$M42)))</f>
        <v/>
      </c>
      <c r="L42" s="1"/>
      <c r="M42" s="63" t="n">
        <f aca="false">IFERROR(MATCH(37,'Line Detail'!$W$6:$W$505,0),0)</f>
        <v>0</v>
      </c>
    </row>
    <row r="43" customFormat="false" ht="15" hidden="false" customHeight="false" outlineLevel="0" collapsed="false">
      <c r="A43" s="13" t="str">
        <f aca="false">IF($M43=0,"",38)</f>
        <v/>
      </c>
      <c r="B43" s="13" t="str">
        <f aca="false">IF($M43=0,"",IF(INDEX('Line Detail'!$B$6:$B$505,$M43)="","",INDEX('Line Detail'!$B$6:$B$505,$M43)))</f>
        <v/>
      </c>
      <c r="C43" s="13" t="str">
        <f aca="false">IF($M43=0,"",IF(INDEX('Line Detail'!$C$6:$C$505,$M43)="","",INDEX('Line Detail'!$C$6:$C$505,$M43)))</f>
        <v/>
      </c>
      <c r="D43" s="13" t="str">
        <f aca="false">IF($M43=0,"",IF(INDEX('Line Detail'!$D$6:$D$505,$M43)="","",INDEX('Line Detail'!$D$6:$D$505,$M43)))</f>
        <v/>
      </c>
      <c r="E43" s="13" t="str">
        <f aca="false">IF($M43=0,"",IF(INDEX('Line Detail'!$E$6:$E$505,$M43)="","",INDEX('Line Detail'!$E$6:$E$505,$M43)))</f>
        <v/>
      </c>
      <c r="F43" s="6" t="str">
        <f aca="false">IF($M43=0,"",IF(INDEX('Line Detail'!$F$6:$F$505,$M43)="","",INDEX('Line Detail'!$F$6:$F$505,$M43)))</f>
        <v/>
      </c>
      <c r="G43" s="62" t="str">
        <f aca="false">IF($M43=0,"",IF(INDEX('Line Detail'!$G$6:$G$505,$M43)="","",INDEX('Line Detail'!$G$6:$G$505,$M43)))</f>
        <v/>
      </c>
      <c r="H43" s="13" t="str">
        <f aca="false">IF($M43=0,"",IF(INDEX('Line Detail'!$H$6:$H$505,$M43)="","",INDEX('Line Detail'!$H$6:$H$505,$M43)))</f>
        <v/>
      </c>
      <c r="I43" s="34" t="str">
        <f aca="false">IF($M43=0,"",IF(INDEX('Line Detail'!$O$6:$O$505,$M43)="","",INDEX('Line Detail'!$O$6:$O$505,$M43)))</f>
        <v/>
      </c>
      <c r="J43" s="34" t="str">
        <f aca="false">IF($M43=0,"",IF(INDEX('Line Detail'!$R$6:$R$505,$M43)="","",INDEX('Line Detail'!$R$6:$R$505,$M43)))</f>
        <v/>
      </c>
      <c r="K43" s="6" t="str">
        <f aca="false">IF($M43=0,"",IF(INDEX('Line Detail'!$S$6:$S$505,$M43)="","",INDEX('Line Detail'!$S$6:$S$505,$M43)))</f>
        <v/>
      </c>
      <c r="L43" s="1"/>
      <c r="M43" s="63" t="n">
        <f aca="false">IFERROR(MATCH(38,'Line Detail'!$W$6:$W$505,0),0)</f>
        <v>0</v>
      </c>
    </row>
    <row r="44" customFormat="false" ht="15" hidden="false" customHeight="false" outlineLevel="0" collapsed="false">
      <c r="A44" s="13" t="str">
        <f aca="false">IF($M44=0,"",39)</f>
        <v/>
      </c>
      <c r="B44" s="13" t="str">
        <f aca="false">IF($M44=0,"",IF(INDEX('Line Detail'!$B$6:$B$505,$M44)="","",INDEX('Line Detail'!$B$6:$B$505,$M44)))</f>
        <v/>
      </c>
      <c r="C44" s="13" t="str">
        <f aca="false">IF($M44=0,"",IF(INDEX('Line Detail'!$C$6:$C$505,$M44)="","",INDEX('Line Detail'!$C$6:$C$505,$M44)))</f>
        <v/>
      </c>
      <c r="D44" s="13" t="str">
        <f aca="false">IF($M44=0,"",IF(INDEX('Line Detail'!$D$6:$D$505,$M44)="","",INDEX('Line Detail'!$D$6:$D$505,$M44)))</f>
        <v/>
      </c>
      <c r="E44" s="13" t="str">
        <f aca="false">IF($M44=0,"",IF(INDEX('Line Detail'!$E$6:$E$505,$M44)="","",INDEX('Line Detail'!$E$6:$E$505,$M44)))</f>
        <v/>
      </c>
      <c r="F44" s="6" t="str">
        <f aca="false">IF($M44=0,"",IF(INDEX('Line Detail'!$F$6:$F$505,$M44)="","",INDEX('Line Detail'!$F$6:$F$505,$M44)))</f>
        <v/>
      </c>
      <c r="G44" s="62" t="str">
        <f aca="false">IF($M44=0,"",IF(INDEX('Line Detail'!$G$6:$G$505,$M44)="","",INDEX('Line Detail'!$G$6:$G$505,$M44)))</f>
        <v/>
      </c>
      <c r="H44" s="13" t="str">
        <f aca="false">IF($M44=0,"",IF(INDEX('Line Detail'!$H$6:$H$505,$M44)="","",INDEX('Line Detail'!$H$6:$H$505,$M44)))</f>
        <v/>
      </c>
      <c r="I44" s="34" t="str">
        <f aca="false">IF($M44=0,"",IF(INDEX('Line Detail'!$O$6:$O$505,$M44)="","",INDEX('Line Detail'!$O$6:$O$505,$M44)))</f>
        <v/>
      </c>
      <c r="J44" s="34" t="str">
        <f aca="false">IF($M44=0,"",IF(INDEX('Line Detail'!$R$6:$R$505,$M44)="","",INDEX('Line Detail'!$R$6:$R$505,$M44)))</f>
        <v/>
      </c>
      <c r="K44" s="6" t="str">
        <f aca="false">IF($M44=0,"",IF(INDEX('Line Detail'!$S$6:$S$505,$M44)="","",INDEX('Line Detail'!$S$6:$S$505,$M44)))</f>
        <v/>
      </c>
      <c r="L44" s="1"/>
      <c r="M44" s="63" t="n">
        <f aca="false">IFERROR(MATCH(39,'Line Detail'!$W$6:$W$505,0),0)</f>
        <v>0</v>
      </c>
    </row>
    <row r="45" customFormat="false" ht="15" hidden="false" customHeight="false" outlineLevel="0" collapsed="false">
      <c r="A45" s="13" t="str">
        <f aca="false">IF($M45=0,"",40)</f>
        <v/>
      </c>
      <c r="B45" s="13" t="str">
        <f aca="false">IF($M45=0,"",IF(INDEX('Line Detail'!$B$6:$B$505,$M45)="","",INDEX('Line Detail'!$B$6:$B$505,$M45)))</f>
        <v/>
      </c>
      <c r="C45" s="13" t="str">
        <f aca="false">IF($M45=0,"",IF(INDEX('Line Detail'!$C$6:$C$505,$M45)="","",INDEX('Line Detail'!$C$6:$C$505,$M45)))</f>
        <v/>
      </c>
      <c r="D45" s="13" t="str">
        <f aca="false">IF($M45=0,"",IF(INDEX('Line Detail'!$D$6:$D$505,$M45)="","",INDEX('Line Detail'!$D$6:$D$505,$M45)))</f>
        <v/>
      </c>
      <c r="E45" s="13" t="str">
        <f aca="false">IF($M45=0,"",IF(INDEX('Line Detail'!$E$6:$E$505,$M45)="","",INDEX('Line Detail'!$E$6:$E$505,$M45)))</f>
        <v/>
      </c>
      <c r="F45" s="6" t="str">
        <f aca="false">IF($M45=0,"",IF(INDEX('Line Detail'!$F$6:$F$505,$M45)="","",INDEX('Line Detail'!$F$6:$F$505,$M45)))</f>
        <v/>
      </c>
      <c r="G45" s="62" t="str">
        <f aca="false">IF($M45=0,"",IF(INDEX('Line Detail'!$G$6:$G$505,$M45)="","",INDEX('Line Detail'!$G$6:$G$505,$M45)))</f>
        <v/>
      </c>
      <c r="H45" s="13" t="str">
        <f aca="false">IF($M45=0,"",IF(INDEX('Line Detail'!$H$6:$H$505,$M45)="","",INDEX('Line Detail'!$H$6:$H$505,$M45)))</f>
        <v/>
      </c>
      <c r="I45" s="34" t="str">
        <f aca="false">IF($M45=0,"",IF(INDEX('Line Detail'!$O$6:$O$505,$M45)="","",INDEX('Line Detail'!$O$6:$O$505,$M45)))</f>
        <v/>
      </c>
      <c r="J45" s="34" t="str">
        <f aca="false">IF($M45=0,"",IF(INDEX('Line Detail'!$R$6:$R$505,$M45)="","",INDEX('Line Detail'!$R$6:$R$505,$M45)))</f>
        <v/>
      </c>
      <c r="K45" s="6" t="str">
        <f aca="false">IF($M45=0,"",IF(INDEX('Line Detail'!$S$6:$S$505,$M45)="","",INDEX('Line Detail'!$S$6:$S$505,$M45)))</f>
        <v/>
      </c>
      <c r="L45" s="1"/>
      <c r="M45" s="63" t="n">
        <f aca="false">IFERROR(MATCH(40,'Line Detail'!$W$6:$W$505,0),0)</f>
        <v>0</v>
      </c>
    </row>
    <row r="46" customFormat="false" ht="15" hidden="false" customHeight="false" outlineLevel="0" collapsed="false">
      <c r="A46" s="13" t="str">
        <f aca="false">IF($M46=0,"",41)</f>
        <v/>
      </c>
      <c r="B46" s="13" t="str">
        <f aca="false">IF($M46=0,"",IF(INDEX('Line Detail'!$B$6:$B$505,$M46)="","",INDEX('Line Detail'!$B$6:$B$505,$M46)))</f>
        <v/>
      </c>
      <c r="C46" s="13" t="str">
        <f aca="false">IF($M46=0,"",IF(INDEX('Line Detail'!$C$6:$C$505,$M46)="","",INDEX('Line Detail'!$C$6:$C$505,$M46)))</f>
        <v/>
      </c>
      <c r="D46" s="13" t="str">
        <f aca="false">IF($M46=0,"",IF(INDEX('Line Detail'!$D$6:$D$505,$M46)="","",INDEX('Line Detail'!$D$6:$D$505,$M46)))</f>
        <v/>
      </c>
      <c r="E46" s="13" t="str">
        <f aca="false">IF($M46=0,"",IF(INDEX('Line Detail'!$E$6:$E$505,$M46)="","",INDEX('Line Detail'!$E$6:$E$505,$M46)))</f>
        <v/>
      </c>
      <c r="F46" s="6" t="str">
        <f aca="false">IF($M46=0,"",IF(INDEX('Line Detail'!$F$6:$F$505,$M46)="","",INDEX('Line Detail'!$F$6:$F$505,$M46)))</f>
        <v/>
      </c>
      <c r="G46" s="62" t="str">
        <f aca="false">IF($M46=0,"",IF(INDEX('Line Detail'!$G$6:$G$505,$M46)="","",INDEX('Line Detail'!$G$6:$G$505,$M46)))</f>
        <v/>
      </c>
      <c r="H46" s="13" t="str">
        <f aca="false">IF($M46=0,"",IF(INDEX('Line Detail'!$H$6:$H$505,$M46)="","",INDEX('Line Detail'!$H$6:$H$505,$M46)))</f>
        <v/>
      </c>
      <c r="I46" s="34" t="str">
        <f aca="false">IF($M46=0,"",IF(INDEX('Line Detail'!$O$6:$O$505,$M46)="","",INDEX('Line Detail'!$O$6:$O$505,$M46)))</f>
        <v/>
      </c>
      <c r="J46" s="34" t="str">
        <f aca="false">IF($M46=0,"",IF(INDEX('Line Detail'!$R$6:$R$505,$M46)="","",INDEX('Line Detail'!$R$6:$R$505,$M46)))</f>
        <v/>
      </c>
      <c r="K46" s="6" t="str">
        <f aca="false">IF($M46=0,"",IF(INDEX('Line Detail'!$S$6:$S$505,$M46)="","",INDEX('Line Detail'!$S$6:$S$505,$M46)))</f>
        <v/>
      </c>
      <c r="L46" s="1"/>
      <c r="M46" s="63" t="n">
        <f aca="false">IFERROR(MATCH(41,'Line Detail'!$W$6:$W$505,0),0)</f>
        <v>0</v>
      </c>
    </row>
    <row r="47" customFormat="false" ht="15" hidden="false" customHeight="false" outlineLevel="0" collapsed="false">
      <c r="A47" s="13" t="str">
        <f aca="false">IF($M47=0,"",42)</f>
        <v/>
      </c>
      <c r="B47" s="13" t="str">
        <f aca="false">IF($M47=0,"",IF(INDEX('Line Detail'!$B$6:$B$505,$M47)="","",INDEX('Line Detail'!$B$6:$B$505,$M47)))</f>
        <v/>
      </c>
      <c r="C47" s="13" t="str">
        <f aca="false">IF($M47=0,"",IF(INDEX('Line Detail'!$C$6:$C$505,$M47)="","",INDEX('Line Detail'!$C$6:$C$505,$M47)))</f>
        <v/>
      </c>
      <c r="D47" s="13" t="str">
        <f aca="false">IF($M47=0,"",IF(INDEX('Line Detail'!$D$6:$D$505,$M47)="","",INDEX('Line Detail'!$D$6:$D$505,$M47)))</f>
        <v/>
      </c>
      <c r="E47" s="13" t="str">
        <f aca="false">IF($M47=0,"",IF(INDEX('Line Detail'!$E$6:$E$505,$M47)="","",INDEX('Line Detail'!$E$6:$E$505,$M47)))</f>
        <v/>
      </c>
      <c r="F47" s="6" t="str">
        <f aca="false">IF($M47=0,"",IF(INDEX('Line Detail'!$F$6:$F$505,$M47)="","",INDEX('Line Detail'!$F$6:$F$505,$M47)))</f>
        <v/>
      </c>
      <c r="G47" s="62" t="str">
        <f aca="false">IF($M47=0,"",IF(INDEX('Line Detail'!$G$6:$G$505,$M47)="","",INDEX('Line Detail'!$G$6:$G$505,$M47)))</f>
        <v/>
      </c>
      <c r="H47" s="13" t="str">
        <f aca="false">IF($M47=0,"",IF(INDEX('Line Detail'!$H$6:$H$505,$M47)="","",INDEX('Line Detail'!$H$6:$H$505,$M47)))</f>
        <v/>
      </c>
      <c r="I47" s="34" t="str">
        <f aca="false">IF($M47=0,"",IF(INDEX('Line Detail'!$O$6:$O$505,$M47)="","",INDEX('Line Detail'!$O$6:$O$505,$M47)))</f>
        <v/>
      </c>
      <c r="J47" s="34" t="str">
        <f aca="false">IF($M47=0,"",IF(INDEX('Line Detail'!$R$6:$R$505,$M47)="","",INDEX('Line Detail'!$R$6:$R$505,$M47)))</f>
        <v/>
      </c>
      <c r="K47" s="6" t="str">
        <f aca="false">IF($M47=0,"",IF(INDEX('Line Detail'!$S$6:$S$505,$M47)="","",INDEX('Line Detail'!$S$6:$S$505,$M47)))</f>
        <v/>
      </c>
      <c r="L47" s="1"/>
      <c r="M47" s="63" t="n">
        <f aca="false">IFERROR(MATCH(42,'Line Detail'!$W$6:$W$505,0),0)</f>
        <v>0</v>
      </c>
    </row>
    <row r="48" customFormat="false" ht="15" hidden="false" customHeight="false" outlineLevel="0" collapsed="false">
      <c r="A48" s="13" t="str">
        <f aca="false">IF($M48=0,"",43)</f>
        <v/>
      </c>
      <c r="B48" s="13" t="str">
        <f aca="false">IF($M48=0,"",IF(INDEX('Line Detail'!$B$6:$B$505,$M48)="","",INDEX('Line Detail'!$B$6:$B$505,$M48)))</f>
        <v/>
      </c>
      <c r="C48" s="13" t="str">
        <f aca="false">IF($M48=0,"",IF(INDEX('Line Detail'!$C$6:$C$505,$M48)="","",INDEX('Line Detail'!$C$6:$C$505,$M48)))</f>
        <v/>
      </c>
      <c r="D48" s="13" t="str">
        <f aca="false">IF($M48=0,"",IF(INDEX('Line Detail'!$D$6:$D$505,$M48)="","",INDEX('Line Detail'!$D$6:$D$505,$M48)))</f>
        <v/>
      </c>
      <c r="E48" s="13" t="str">
        <f aca="false">IF($M48=0,"",IF(INDEX('Line Detail'!$E$6:$E$505,$M48)="","",INDEX('Line Detail'!$E$6:$E$505,$M48)))</f>
        <v/>
      </c>
      <c r="F48" s="6" t="str">
        <f aca="false">IF($M48=0,"",IF(INDEX('Line Detail'!$F$6:$F$505,$M48)="","",INDEX('Line Detail'!$F$6:$F$505,$M48)))</f>
        <v/>
      </c>
      <c r="G48" s="62" t="str">
        <f aca="false">IF($M48=0,"",IF(INDEX('Line Detail'!$G$6:$G$505,$M48)="","",INDEX('Line Detail'!$G$6:$G$505,$M48)))</f>
        <v/>
      </c>
      <c r="H48" s="13" t="str">
        <f aca="false">IF($M48=0,"",IF(INDEX('Line Detail'!$H$6:$H$505,$M48)="","",INDEX('Line Detail'!$H$6:$H$505,$M48)))</f>
        <v/>
      </c>
      <c r="I48" s="34" t="str">
        <f aca="false">IF($M48=0,"",IF(INDEX('Line Detail'!$O$6:$O$505,$M48)="","",INDEX('Line Detail'!$O$6:$O$505,$M48)))</f>
        <v/>
      </c>
      <c r="J48" s="34" t="str">
        <f aca="false">IF($M48=0,"",IF(INDEX('Line Detail'!$R$6:$R$505,$M48)="","",INDEX('Line Detail'!$R$6:$R$505,$M48)))</f>
        <v/>
      </c>
      <c r="K48" s="6" t="str">
        <f aca="false">IF($M48=0,"",IF(INDEX('Line Detail'!$S$6:$S$505,$M48)="","",INDEX('Line Detail'!$S$6:$S$505,$M48)))</f>
        <v/>
      </c>
      <c r="L48" s="1"/>
      <c r="M48" s="63" t="n">
        <f aca="false">IFERROR(MATCH(43,'Line Detail'!$W$6:$W$505,0),0)</f>
        <v>0</v>
      </c>
    </row>
    <row r="49" customFormat="false" ht="15" hidden="false" customHeight="false" outlineLevel="0" collapsed="false">
      <c r="A49" s="13" t="str">
        <f aca="false">IF($M49=0,"",44)</f>
        <v/>
      </c>
      <c r="B49" s="13" t="str">
        <f aca="false">IF($M49=0,"",IF(INDEX('Line Detail'!$B$6:$B$505,$M49)="","",INDEX('Line Detail'!$B$6:$B$505,$M49)))</f>
        <v/>
      </c>
      <c r="C49" s="13" t="str">
        <f aca="false">IF($M49=0,"",IF(INDEX('Line Detail'!$C$6:$C$505,$M49)="","",INDEX('Line Detail'!$C$6:$C$505,$M49)))</f>
        <v/>
      </c>
      <c r="D49" s="13" t="str">
        <f aca="false">IF($M49=0,"",IF(INDEX('Line Detail'!$D$6:$D$505,$M49)="","",INDEX('Line Detail'!$D$6:$D$505,$M49)))</f>
        <v/>
      </c>
      <c r="E49" s="13" t="str">
        <f aca="false">IF($M49=0,"",IF(INDEX('Line Detail'!$E$6:$E$505,$M49)="","",INDEX('Line Detail'!$E$6:$E$505,$M49)))</f>
        <v/>
      </c>
      <c r="F49" s="6" t="str">
        <f aca="false">IF($M49=0,"",IF(INDEX('Line Detail'!$F$6:$F$505,$M49)="","",INDEX('Line Detail'!$F$6:$F$505,$M49)))</f>
        <v/>
      </c>
      <c r="G49" s="62" t="str">
        <f aca="false">IF($M49=0,"",IF(INDEX('Line Detail'!$G$6:$G$505,$M49)="","",INDEX('Line Detail'!$G$6:$G$505,$M49)))</f>
        <v/>
      </c>
      <c r="H49" s="13" t="str">
        <f aca="false">IF($M49=0,"",IF(INDEX('Line Detail'!$H$6:$H$505,$M49)="","",INDEX('Line Detail'!$H$6:$H$505,$M49)))</f>
        <v/>
      </c>
      <c r="I49" s="34" t="str">
        <f aca="false">IF($M49=0,"",IF(INDEX('Line Detail'!$O$6:$O$505,$M49)="","",INDEX('Line Detail'!$O$6:$O$505,$M49)))</f>
        <v/>
      </c>
      <c r="J49" s="34" t="str">
        <f aca="false">IF($M49=0,"",IF(INDEX('Line Detail'!$R$6:$R$505,$M49)="","",INDEX('Line Detail'!$R$6:$R$505,$M49)))</f>
        <v/>
      </c>
      <c r="K49" s="6" t="str">
        <f aca="false">IF($M49=0,"",IF(INDEX('Line Detail'!$S$6:$S$505,$M49)="","",INDEX('Line Detail'!$S$6:$S$505,$M49)))</f>
        <v/>
      </c>
      <c r="L49" s="1"/>
      <c r="M49" s="63" t="n">
        <f aca="false">IFERROR(MATCH(44,'Line Detail'!$W$6:$W$505,0),0)</f>
        <v>0</v>
      </c>
    </row>
    <row r="50" customFormat="false" ht="15" hidden="false" customHeight="false" outlineLevel="0" collapsed="false">
      <c r="A50" s="13" t="str">
        <f aca="false">IF($M50=0,"",45)</f>
        <v/>
      </c>
      <c r="B50" s="13" t="str">
        <f aca="false">IF($M50=0,"",IF(INDEX('Line Detail'!$B$6:$B$505,$M50)="","",INDEX('Line Detail'!$B$6:$B$505,$M50)))</f>
        <v/>
      </c>
      <c r="C50" s="13" t="str">
        <f aca="false">IF($M50=0,"",IF(INDEX('Line Detail'!$C$6:$C$505,$M50)="","",INDEX('Line Detail'!$C$6:$C$505,$M50)))</f>
        <v/>
      </c>
      <c r="D50" s="13" t="str">
        <f aca="false">IF($M50=0,"",IF(INDEX('Line Detail'!$D$6:$D$505,$M50)="","",INDEX('Line Detail'!$D$6:$D$505,$M50)))</f>
        <v/>
      </c>
      <c r="E50" s="13" t="str">
        <f aca="false">IF($M50=0,"",IF(INDEX('Line Detail'!$E$6:$E$505,$M50)="","",INDEX('Line Detail'!$E$6:$E$505,$M50)))</f>
        <v/>
      </c>
      <c r="F50" s="6" t="str">
        <f aca="false">IF($M50=0,"",IF(INDEX('Line Detail'!$F$6:$F$505,$M50)="","",INDEX('Line Detail'!$F$6:$F$505,$M50)))</f>
        <v/>
      </c>
      <c r="G50" s="62" t="str">
        <f aca="false">IF($M50=0,"",IF(INDEX('Line Detail'!$G$6:$G$505,$M50)="","",INDEX('Line Detail'!$G$6:$G$505,$M50)))</f>
        <v/>
      </c>
      <c r="H50" s="13" t="str">
        <f aca="false">IF($M50=0,"",IF(INDEX('Line Detail'!$H$6:$H$505,$M50)="","",INDEX('Line Detail'!$H$6:$H$505,$M50)))</f>
        <v/>
      </c>
      <c r="I50" s="34" t="str">
        <f aca="false">IF($M50=0,"",IF(INDEX('Line Detail'!$O$6:$O$505,$M50)="","",INDEX('Line Detail'!$O$6:$O$505,$M50)))</f>
        <v/>
      </c>
      <c r="J50" s="34" t="str">
        <f aca="false">IF($M50=0,"",IF(INDEX('Line Detail'!$R$6:$R$505,$M50)="","",INDEX('Line Detail'!$R$6:$R$505,$M50)))</f>
        <v/>
      </c>
      <c r="K50" s="6" t="str">
        <f aca="false">IF($M50=0,"",IF(INDEX('Line Detail'!$S$6:$S$505,$M50)="","",INDEX('Line Detail'!$S$6:$S$505,$M50)))</f>
        <v/>
      </c>
      <c r="L50" s="1"/>
      <c r="M50" s="63" t="n">
        <f aca="false">IFERROR(MATCH(45,'Line Detail'!$W$6:$W$505,0),0)</f>
        <v>0</v>
      </c>
    </row>
    <row r="51" customFormat="false" ht="15" hidden="false" customHeight="false" outlineLevel="0" collapsed="false">
      <c r="A51" s="13" t="str">
        <f aca="false">IF($M51=0,"",46)</f>
        <v/>
      </c>
      <c r="B51" s="13" t="str">
        <f aca="false">IF($M51=0,"",IF(INDEX('Line Detail'!$B$6:$B$505,$M51)="","",INDEX('Line Detail'!$B$6:$B$505,$M51)))</f>
        <v/>
      </c>
      <c r="C51" s="13" t="str">
        <f aca="false">IF($M51=0,"",IF(INDEX('Line Detail'!$C$6:$C$505,$M51)="","",INDEX('Line Detail'!$C$6:$C$505,$M51)))</f>
        <v/>
      </c>
      <c r="D51" s="13" t="str">
        <f aca="false">IF($M51=0,"",IF(INDEX('Line Detail'!$D$6:$D$505,$M51)="","",INDEX('Line Detail'!$D$6:$D$505,$M51)))</f>
        <v/>
      </c>
      <c r="E51" s="13" t="str">
        <f aca="false">IF($M51=0,"",IF(INDEX('Line Detail'!$E$6:$E$505,$M51)="","",INDEX('Line Detail'!$E$6:$E$505,$M51)))</f>
        <v/>
      </c>
      <c r="F51" s="6" t="str">
        <f aca="false">IF($M51=0,"",IF(INDEX('Line Detail'!$F$6:$F$505,$M51)="","",INDEX('Line Detail'!$F$6:$F$505,$M51)))</f>
        <v/>
      </c>
      <c r="G51" s="62" t="str">
        <f aca="false">IF($M51=0,"",IF(INDEX('Line Detail'!$G$6:$G$505,$M51)="","",INDEX('Line Detail'!$G$6:$G$505,$M51)))</f>
        <v/>
      </c>
      <c r="H51" s="13" t="str">
        <f aca="false">IF($M51=0,"",IF(INDEX('Line Detail'!$H$6:$H$505,$M51)="","",INDEX('Line Detail'!$H$6:$H$505,$M51)))</f>
        <v/>
      </c>
      <c r="I51" s="34" t="str">
        <f aca="false">IF($M51=0,"",IF(INDEX('Line Detail'!$O$6:$O$505,$M51)="","",INDEX('Line Detail'!$O$6:$O$505,$M51)))</f>
        <v/>
      </c>
      <c r="J51" s="34" t="str">
        <f aca="false">IF($M51=0,"",IF(INDEX('Line Detail'!$R$6:$R$505,$M51)="","",INDEX('Line Detail'!$R$6:$R$505,$M51)))</f>
        <v/>
      </c>
      <c r="K51" s="6" t="str">
        <f aca="false">IF($M51=0,"",IF(INDEX('Line Detail'!$S$6:$S$505,$M51)="","",INDEX('Line Detail'!$S$6:$S$505,$M51)))</f>
        <v/>
      </c>
      <c r="L51" s="1"/>
      <c r="M51" s="63" t="n">
        <f aca="false">IFERROR(MATCH(46,'Line Detail'!$W$6:$W$505,0),0)</f>
        <v>0</v>
      </c>
    </row>
    <row r="52" customFormat="false" ht="15" hidden="false" customHeight="false" outlineLevel="0" collapsed="false">
      <c r="A52" s="13" t="str">
        <f aca="false">IF($M52=0,"",47)</f>
        <v/>
      </c>
      <c r="B52" s="13" t="str">
        <f aca="false">IF($M52=0,"",IF(INDEX('Line Detail'!$B$6:$B$505,$M52)="","",INDEX('Line Detail'!$B$6:$B$505,$M52)))</f>
        <v/>
      </c>
      <c r="C52" s="13" t="str">
        <f aca="false">IF($M52=0,"",IF(INDEX('Line Detail'!$C$6:$C$505,$M52)="","",INDEX('Line Detail'!$C$6:$C$505,$M52)))</f>
        <v/>
      </c>
      <c r="D52" s="13" t="str">
        <f aca="false">IF($M52=0,"",IF(INDEX('Line Detail'!$D$6:$D$505,$M52)="","",INDEX('Line Detail'!$D$6:$D$505,$M52)))</f>
        <v/>
      </c>
      <c r="E52" s="13" t="str">
        <f aca="false">IF($M52=0,"",IF(INDEX('Line Detail'!$E$6:$E$505,$M52)="","",INDEX('Line Detail'!$E$6:$E$505,$M52)))</f>
        <v/>
      </c>
      <c r="F52" s="6" t="str">
        <f aca="false">IF($M52=0,"",IF(INDEX('Line Detail'!$F$6:$F$505,$M52)="","",INDEX('Line Detail'!$F$6:$F$505,$M52)))</f>
        <v/>
      </c>
      <c r="G52" s="62" t="str">
        <f aca="false">IF($M52=0,"",IF(INDEX('Line Detail'!$G$6:$G$505,$M52)="","",INDEX('Line Detail'!$G$6:$G$505,$M52)))</f>
        <v/>
      </c>
      <c r="H52" s="13" t="str">
        <f aca="false">IF($M52=0,"",IF(INDEX('Line Detail'!$H$6:$H$505,$M52)="","",INDEX('Line Detail'!$H$6:$H$505,$M52)))</f>
        <v/>
      </c>
      <c r="I52" s="34" t="str">
        <f aca="false">IF($M52=0,"",IF(INDEX('Line Detail'!$O$6:$O$505,$M52)="","",INDEX('Line Detail'!$O$6:$O$505,$M52)))</f>
        <v/>
      </c>
      <c r="J52" s="34" t="str">
        <f aca="false">IF($M52=0,"",IF(INDEX('Line Detail'!$R$6:$R$505,$M52)="","",INDEX('Line Detail'!$R$6:$R$505,$M52)))</f>
        <v/>
      </c>
      <c r="K52" s="6" t="str">
        <f aca="false">IF($M52=0,"",IF(INDEX('Line Detail'!$S$6:$S$505,$M52)="","",INDEX('Line Detail'!$S$6:$S$505,$M52)))</f>
        <v/>
      </c>
      <c r="L52" s="1"/>
      <c r="M52" s="63" t="n">
        <f aca="false">IFERROR(MATCH(47,'Line Detail'!$W$6:$W$505,0),0)</f>
        <v>0</v>
      </c>
    </row>
    <row r="53" customFormat="false" ht="15" hidden="false" customHeight="false" outlineLevel="0" collapsed="false">
      <c r="A53" s="13" t="str">
        <f aca="false">IF($M53=0,"",48)</f>
        <v/>
      </c>
      <c r="B53" s="13" t="str">
        <f aca="false">IF($M53=0,"",IF(INDEX('Line Detail'!$B$6:$B$505,$M53)="","",INDEX('Line Detail'!$B$6:$B$505,$M53)))</f>
        <v/>
      </c>
      <c r="C53" s="13" t="str">
        <f aca="false">IF($M53=0,"",IF(INDEX('Line Detail'!$C$6:$C$505,$M53)="","",INDEX('Line Detail'!$C$6:$C$505,$M53)))</f>
        <v/>
      </c>
      <c r="D53" s="13" t="str">
        <f aca="false">IF($M53=0,"",IF(INDEX('Line Detail'!$D$6:$D$505,$M53)="","",INDEX('Line Detail'!$D$6:$D$505,$M53)))</f>
        <v/>
      </c>
      <c r="E53" s="13" t="str">
        <f aca="false">IF($M53=0,"",IF(INDEX('Line Detail'!$E$6:$E$505,$M53)="","",INDEX('Line Detail'!$E$6:$E$505,$M53)))</f>
        <v/>
      </c>
      <c r="F53" s="6" t="str">
        <f aca="false">IF($M53=0,"",IF(INDEX('Line Detail'!$F$6:$F$505,$M53)="","",INDEX('Line Detail'!$F$6:$F$505,$M53)))</f>
        <v/>
      </c>
      <c r="G53" s="62" t="str">
        <f aca="false">IF($M53=0,"",IF(INDEX('Line Detail'!$G$6:$G$505,$M53)="","",INDEX('Line Detail'!$G$6:$G$505,$M53)))</f>
        <v/>
      </c>
      <c r="H53" s="13" t="str">
        <f aca="false">IF($M53=0,"",IF(INDEX('Line Detail'!$H$6:$H$505,$M53)="","",INDEX('Line Detail'!$H$6:$H$505,$M53)))</f>
        <v/>
      </c>
      <c r="I53" s="34" t="str">
        <f aca="false">IF($M53=0,"",IF(INDEX('Line Detail'!$O$6:$O$505,$M53)="","",INDEX('Line Detail'!$O$6:$O$505,$M53)))</f>
        <v/>
      </c>
      <c r="J53" s="34" t="str">
        <f aca="false">IF($M53=0,"",IF(INDEX('Line Detail'!$R$6:$R$505,$M53)="","",INDEX('Line Detail'!$R$6:$R$505,$M53)))</f>
        <v/>
      </c>
      <c r="K53" s="6" t="str">
        <f aca="false">IF($M53=0,"",IF(INDEX('Line Detail'!$S$6:$S$505,$M53)="","",INDEX('Line Detail'!$S$6:$S$505,$M53)))</f>
        <v/>
      </c>
      <c r="L53" s="1"/>
      <c r="M53" s="63" t="n">
        <f aca="false">IFERROR(MATCH(48,'Line Detail'!$W$6:$W$505,0),0)</f>
        <v>0</v>
      </c>
    </row>
    <row r="54" customFormat="false" ht="15" hidden="false" customHeight="false" outlineLevel="0" collapsed="false">
      <c r="A54" s="13" t="str">
        <f aca="false">IF($M54=0,"",49)</f>
        <v/>
      </c>
      <c r="B54" s="13" t="str">
        <f aca="false">IF($M54=0,"",IF(INDEX('Line Detail'!$B$6:$B$505,$M54)="","",INDEX('Line Detail'!$B$6:$B$505,$M54)))</f>
        <v/>
      </c>
      <c r="C54" s="13" t="str">
        <f aca="false">IF($M54=0,"",IF(INDEX('Line Detail'!$C$6:$C$505,$M54)="","",INDEX('Line Detail'!$C$6:$C$505,$M54)))</f>
        <v/>
      </c>
      <c r="D54" s="13" t="str">
        <f aca="false">IF($M54=0,"",IF(INDEX('Line Detail'!$D$6:$D$505,$M54)="","",INDEX('Line Detail'!$D$6:$D$505,$M54)))</f>
        <v/>
      </c>
      <c r="E54" s="13" t="str">
        <f aca="false">IF($M54=0,"",IF(INDEX('Line Detail'!$E$6:$E$505,$M54)="","",INDEX('Line Detail'!$E$6:$E$505,$M54)))</f>
        <v/>
      </c>
      <c r="F54" s="6" t="str">
        <f aca="false">IF($M54=0,"",IF(INDEX('Line Detail'!$F$6:$F$505,$M54)="","",INDEX('Line Detail'!$F$6:$F$505,$M54)))</f>
        <v/>
      </c>
      <c r="G54" s="62" t="str">
        <f aca="false">IF($M54=0,"",IF(INDEX('Line Detail'!$G$6:$G$505,$M54)="","",INDEX('Line Detail'!$G$6:$G$505,$M54)))</f>
        <v/>
      </c>
      <c r="H54" s="13" t="str">
        <f aca="false">IF($M54=0,"",IF(INDEX('Line Detail'!$H$6:$H$505,$M54)="","",INDEX('Line Detail'!$H$6:$H$505,$M54)))</f>
        <v/>
      </c>
      <c r="I54" s="34" t="str">
        <f aca="false">IF($M54=0,"",IF(INDEX('Line Detail'!$O$6:$O$505,$M54)="","",INDEX('Line Detail'!$O$6:$O$505,$M54)))</f>
        <v/>
      </c>
      <c r="J54" s="34" t="str">
        <f aca="false">IF($M54=0,"",IF(INDEX('Line Detail'!$R$6:$R$505,$M54)="","",INDEX('Line Detail'!$R$6:$R$505,$M54)))</f>
        <v/>
      </c>
      <c r="K54" s="6" t="str">
        <f aca="false">IF($M54=0,"",IF(INDEX('Line Detail'!$S$6:$S$505,$M54)="","",INDEX('Line Detail'!$S$6:$S$505,$M54)))</f>
        <v/>
      </c>
      <c r="L54" s="1"/>
      <c r="M54" s="63" t="n">
        <f aca="false">IFERROR(MATCH(49,'Line Detail'!$W$6:$W$505,0),0)</f>
        <v>0</v>
      </c>
    </row>
    <row r="55" customFormat="false" ht="15" hidden="false" customHeight="false" outlineLevel="0" collapsed="false">
      <c r="A55" s="13" t="str">
        <f aca="false">IF($M55=0,"",50)</f>
        <v/>
      </c>
      <c r="B55" s="13" t="str">
        <f aca="false">IF($M55=0,"",IF(INDEX('Line Detail'!$B$6:$B$505,$M55)="","",INDEX('Line Detail'!$B$6:$B$505,$M55)))</f>
        <v/>
      </c>
      <c r="C55" s="13" t="str">
        <f aca="false">IF($M55=0,"",IF(INDEX('Line Detail'!$C$6:$C$505,$M55)="","",INDEX('Line Detail'!$C$6:$C$505,$M55)))</f>
        <v/>
      </c>
      <c r="D55" s="13" t="str">
        <f aca="false">IF($M55=0,"",IF(INDEX('Line Detail'!$D$6:$D$505,$M55)="","",INDEX('Line Detail'!$D$6:$D$505,$M55)))</f>
        <v/>
      </c>
      <c r="E55" s="13" t="str">
        <f aca="false">IF($M55=0,"",IF(INDEX('Line Detail'!$E$6:$E$505,$M55)="","",INDEX('Line Detail'!$E$6:$E$505,$M55)))</f>
        <v/>
      </c>
      <c r="F55" s="6" t="str">
        <f aca="false">IF($M55=0,"",IF(INDEX('Line Detail'!$F$6:$F$505,$M55)="","",INDEX('Line Detail'!$F$6:$F$505,$M55)))</f>
        <v/>
      </c>
      <c r="G55" s="62" t="str">
        <f aca="false">IF($M55=0,"",IF(INDEX('Line Detail'!$G$6:$G$505,$M55)="","",INDEX('Line Detail'!$G$6:$G$505,$M55)))</f>
        <v/>
      </c>
      <c r="H55" s="13" t="str">
        <f aca="false">IF($M55=0,"",IF(INDEX('Line Detail'!$H$6:$H$505,$M55)="","",INDEX('Line Detail'!$H$6:$H$505,$M55)))</f>
        <v/>
      </c>
      <c r="I55" s="34" t="str">
        <f aca="false">IF($M55=0,"",IF(INDEX('Line Detail'!$O$6:$O$505,$M55)="","",INDEX('Line Detail'!$O$6:$O$505,$M55)))</f>
        <v/>
      </c>
      <c r="J55" s="34" t="str">
        <f aca="false">IF($M55=0,"",IF(INDEX('Line Detail'!$R$6:$R$505,$M55)="","",INDEX('Line Detail'!$R$6:$R$505,$M55)))</f>
        <v/>
      </c>
      <c r="K55" s="6" t="str">
        <f aca="false">IF($M55=0,"",IF(INDEX('Line Detail'!$S$6:$S$505,$M55)="","",INDEX('Line Detail'!$S$6:$S$505,$M55)))</f>
        <v/>
      </c>
      <c r="L55" s="1"/>
      <c r="M55" s="63" t="n">
        <f aca="false">IFERROR(MATCH(50,'Line Detail'!$W$6:$W$505,0),0)</f>
        <v>0</v>
      </c>
    </row>
    <row r="56" customFormat="false" ht="15" hidden="false" customHeight="false" outlineLevel="0" collapsed="false">
      <c r="A56" s="13" t="str">
        <f aca="false">IF($M56=0,"",51)</f>
        <v/>
      </c>
      <c r="B56" s="13" t="str">
        <f aca="false">IF($M56=0,"",IF(INDEX('Line Detail'!$B$6:$B$505,$M56)="","",INDEX('Line Detail'!$B$6:$B$505,$M56)))</f>
        <v/>
      </c>
      <c r="C56" s="13" t="str">
        <f aca="false">IF($M56=0,"",IF(INDEX('Line Detail'!$C$6:$C$505,$M56)="","",INDEX('Line Detail'!$C$6:$C$505,$M56)))</f>
        <v/>
      </c>
      <c r="D56" s="13" t="str">
        <f aca="false">IF($M56=0,"",IF(INDEX('Line Detail'!$D$6:$D$505,$M56)="","",INDEX('Line Detail'!$D$6:$D$505,$M56)))</f>
        <v/>
      </c>
      <c r="E56" s="13" t="str">
        <f aca="false">IF($M56=0,"",IF(INDEX('Line Detail'!$E$6:$E$505,$M56)="","",INDEX('Line Detail'!$E$6:$E$505,$M56)))</f>
        <v/>
      </c>
      <c r="F56" s="6" t="str">
        <f aca="false">IF($M56=0,"",IF(INDEX('Line Detail'!$F$6:$F$505,$M56)="","",INDEX('Line Detail'!$F$6:$F$505,$M56)))</f>
        <v/>
      </c>
      <c r="G56" s="62" t="str">
        <f aca="false">IF($M56=0,"",IF(INDEX('Line Detail'!$G$6:$G$505,$M56)="","",INDEX('Line Detail'!$G$6:$G$505,$M56)))</f>
        <v/>
      </c>
      <c r="H56" s="13" t="str">
        <f aca="false">IF($M56=0,"",IF(INDEX('Line Detail'!$H$6:$H$505,$M56)="","",INDEX('Line Detail'!$H$6:$H$505,$M56)))</f>
        <v/>
      </c>
      <c r="I56" s="34" t="str">
        <f aca="false">IF($M56=0,"",IF(INDEX('Line Detail'!$O$6:$O$505,$M56)="","",INDEX('Line Detail'!$O$6:$O$505,$M56)))</f>
        <v/>
      </c>
      <c r="J56" s="34" t="str">
        <f aca="false">IF($M56=0,"",IF(INDEX('Line Detail'!$R$6:$R$505,$M56)="","",INDEX('Line Detail'!$R$6:$R$505,$M56)))</f>
        <v/>
      </c>
      <c r="K56" s="6" t="str">
        <f aca="false">IF($M56=0,"",IF(INDEX('Line Detail'!$S$6:$S$505,$M56)="","",INDEX('Line Detail'!$S$6:$S$505,$M56)))</f>
        <v/>
      </c>
      <c r="L56" s="1"/>
      <c r="M56" s="63" t="n">
        <f aca="false">IFERROR(MATCH(51,'Line Detail'!$W$6:$W$505,0),0)</f>
        <v>0</v>
      </c>
    </row>
    <row r="57" customFormat="false" ht="15" hidden="false" customHeight="false" outlineLevel="0" collapsed="false">
      <c r="A57" s="13" t="str">
        <f aca="false">IF($M57=0,"",52)</f>
        <v/>
      </c>
      <c r="B57" s="13" t="str">
        <f aca="false">IF($M57=0,"",IF(INDEX('Line Detail'!$B$6:$B$505,$M57)="","",INDEX('Line Detail'!$B$6:$B$505,$M57)))</f>
        <v/>
      </c>
      <c r="C57" s="13" t="str">
        <f aca="false">IF($M57=0,"",IF(INDEX('Line Detail'!$C$6:$C$505,$M57)="","",INDEX('Line Detail'!$C$6:$C$505,$M57)))</f>
        <v/>
      </c>
      <c r="D57" s="13" t="str">
        <f aca="false">IF($M57=0,"",IF(INDEX('Line Detail'!$D$6:$D$505,$M57)="","",INDEX('Line Detail'!$D$6:$D$505,$M57)))</f>
        <v/>
      </c>
      <c r="E57" s="13" t="str">
        <f aca="false">IF($M57=0,"",IF(INDEX('Line Detail'!$E$6:$E$505,$M57)="","",INDEX('Line Detail'!$E$6:$E$505,$M57)))</f>
        <v/>
      </c>
      <c r="F57" s="6" t="str">
        <f aca="false">IF($M57=0,"",IF(INDEX('Line Detail'!$F$6:$F$505,$M57)="","",INDEX('Line Detail'!$F$6:$F$505,$M57)))</f>
        <v/>
      </c>
      <c r="G57" s="62" t="str">
        <f aca="false">IF($M57=0,"",IF(INDEX('Line Detail'!$G$6:$G$505,$M57)="","",INDEX('Line Detail'!$G$6:$G$505,$M57)))</f>
        <v/>
      </c>
      <c r="H57" s="13" t="str">
        <f aca="false">IF($M57=0,"",IF(INDEX('Line Detail'!$H$6:$H$505,$M57)="","",INDEX('Line Detail'!$H$6:$H$505,$M57)))</f>
        <v/>
      </c>
      <c r="I57" s="34" t="str">
        <f aca="false">IF($M57=0,"",IF(INDEX('Line Detail'!$O$6:$O$505,$M57)="","",INDEX('Line Detail'!$O$6:$O$505,$M57)))</f>
        <v/>
      </c>
      <c r="J57" s="34" t="str">
        <f aca="false">IF($M57=0,"",IF(INDEX('Line Detail'!$R$6:$R$505,$M57)="","",INDEX('Line Detail'!$R$6:$R$505,$M57)))</f>
        <v/>
      </c>
      <c r="K57" s="6" t="str">
        <f aca="false">IF($M57=0,"",IF(INDEX('Line Detail'!$S$6:$S$505,$M57)="","",INDEX('Line Detail'!$S$6:$S$505,$M57)))</f>
        <v/>
      </c>
      <c r="L57" s="1"/>
      <c r="M57" s="63" t="n">
        <f aca="false">IFERROR(MATCH(52,'Line Detail'!$W$6:$W$505,0),0)</f>
        <v>0</v>
      </c>
    </row>
    <row r="58" customFormat="false" ht="15" hidden="false" customHeight="false" outlineLevel="0" collapsed="false">
      <c r="A58" s="13" t="str">
        <f aca="false">IF($M58=0,"",53)</f>
        <v/>
      </c>
      <c r="B58" s="13" t="str">
        <f aca="false">IF($M58=0,"",IF(INDEX('Line Detail'!$B$6:$B$505,$M58)="","",INDEX('Line Detail'!$B$6:$B$505,$M58)))</f>
        <v/>
      </c>
      <c r="C58" s="13" t="str">
        <f aca="false">IF($M58=0,"",IF(INDEX('Line Detail'!$C$6:$C$505,$M58)="","",INDEX('Line Detail'!$C$6:$C$505,$M58)))</f>
        <v/>
      </c>
      <c r="D58" s="13" t="str">
        <f aca="false">IF($M58=0,"",IF(INDEX('Line Detail'!$D$6:$D$505,$M58)="","",INDEX('Line Detail'!$D$6:$D$505,$M58)))</f>
        <v/>
      </c>
      <c r="E58" s="13" t="str">
        <f aca="false">IF($M58=0,"",IF(INDEX('Line Detail'!$E$6:$E$505,$M58)="","",INDEX('Line Detail'!$E$6:$E$505,$M58)))</f>
        <v/>
      </c>
      <c r="F58" s="6" t="str">
        <f aca="false">IF($M58=0,"",IF(INDEX('Line Detail'!$F$6:$F$505,$M58)="","",INDEX('Line Detail'!$F$6:$F$505,$M58)))</f>
        <v/>
      </c>
      <c r="G58" s="62" t="str">
        <f aca="false">IF($M58=0,"",IF(INDEX('Line Detail'!$G$6:$G$505,$M58)="","",INDEX('Line Detail'!$G$6:$G$505,$M58)))</f>
        <v/>
      </c>
      <c r="H58" s="13" t="str">
        <f aca="false">IF($M58=0,"",IF(INDEX('Line Detail'!$H$6:$H$505,$M58)="","",INDEX('Line Detail'!$H$6:$H$505,$M58)))</f>
        <v/>
      </c>
      <c r="I58" s="34" t="str">
        <f aca="false">IF($M58=0,"",IF(INDEX('Line Detail'!$O$6:$O$505,$M58)="","",INDEX('Line Detail'!$O$6:$O$505,$M58)))</f>
        <v/>
      </c>
      <c r="J58" s="34" t="str">
        <f aca="false">IF($M58=0,"",IF(INDEX('Line Detail'!$R$6:$R$505,$M58)="","",INDEX('Line Detail'!$R$6:$R$505,$M58)))</f>
        <v/>
      </c>
      <c r="K58" s="6" t="str">
        <f aca="false">IF($M58=0,"",IF(INDEX('Line Detail'!$S$6:$S$505,$M58)="","",INDEX('Line Detail'!$S$6:$S$505,$M58)))</f>
        <v/>
      </c>
      <c r="L58" s="1"/>
      <c r="M58" s="63" t="n">
        <f aca="false">IFERROR(MATCH(53,'Line Detail'!$W$6:$W$505,0),0)</f>
        <v>0</v>
      </c>
    </row>
    <row r="59" customFormat="false" ht="15" hidden="false" customHeight="false" outlineLevel="0" collapsed="false">
      <c r="A59" s="13" t="str">
        <f aca="false">IF($M59=0,"",54)</f>
        <v/>
      </c>
      <c r="B59" s="13" t="str">
        <f aca="false">IF($M59=0,"",IF(INDEX('Line Detail'!$B$6:$B$505,$M59)="","",INDEX('Line Detail'!$B$6:$B$505,$M59)))</f>
        <v/>
      </c>
      <c r="C59" s="13" t="str">
        <f aca="false">IF($M59=0,"",IF(INDEX('Line Detail'!$C$6:$C$505,$M59)="","",INDEX('Line Detail'!$C$6:$C$505,$M59)))</f>
        <v/>
      </c>
      <c r="D59" s="13" t="str">
        <f aca="false">IF($M59=0,"",IF(INDEX('Line Detail'!$D$6:$D$505,$M59)="","",INDEX('Line Detail'!$D$6:$D$505,$M59)))</f>
        <v/>
      </c>
      <c r="E59" s="13" t="str">
        <f aca="false">IF($M59=0,"",IF(INDEX('Line Detail'!$E$6:$E$505,$M59)="","",INDEX('Line Detail'!$E$6:$E$505,$M59)))</f>
        <v/>
      </c>
      <c r="F59" s="6" t="str">
        <f aca="false">IF($M59=0,"",IF(INDEX('Line Detail'!$F$6:$F$505,$M59)="","",INDEX('Line Detail'!$F$6:$F$505,$M59)))</f>
        <v/>
      </c>
      <c r="G59" s="62" t="str">
        <f aca="false">IF($M59=0,"",IF(INDEX('Line Detail'!$G$6:$G$505,$M59)="","",INDEX('Line Detail'!$G$6:$G$505,$M59)))</f>
        <v/>
      </c>
      <c r="H59" s="13" t="str">
        <f aca="false">IF($M59=0,"",IF(INDEX('Line Detail'!$H$6:$H$505,$M59)="","",INDEX('Line Detail'!$H$6:$H$505,$M59)))</f>
        <v/>
      </c>
      <c r="I59" s="34" t="str">
        <f aca="false">IF($M59=0,"",IF(INDEX('Line Detail'!$O$6:$O$505,$M59)="","",INDEX('Line Detail'!$O$6:$O$505,$M59)))</f>
        <v/>
      </c>
      <c r="J59" s="34" t="str">
        <f aca="false">IF($M59=0,"",IF(INDEX('Line Detail'!$R$6:$R$505,$M59)="","",INDEX('Line Detail'!$R$6:$R$505,$M59)))</f>
        <v/>
      </c>
      <c r="K59" s="6" t="str">
        <f aca="false">IF($M59=0,"",IF(INDEX('Line Detail'!$S$6:$S$505,$M59)="","",INDEX('Line Detail'!$S$6:$S$505,$M59)))</f>
        <v/>
      </c>
      <c r="L59" s="1"/>
      <c r="M59" s="63" t="n">
        <f aca="false">IFERROR(MATCH(54,'Line Detail'!$W$6:$W$505,0),0)</f>
        <v>0</v>
      </c>
    </row>
    <row r="60" customFormat="false" ht="15" hidden="false" customHeight="false" outlineLevel="0" collapsed="false">
      <c r="A60" s="13" t="str">
        <f aca="false">IF($M60=0,"",55)</f>
        <v/>
      </c>
      <c r="B60" s="13" t="str">
        <f aca="false">IF($M60=0,"",IF(INDEX('Line Detail'!$B$6:$B$505,$M60)="","",INDEX('Line Detail'!$B$6:$B$505,$M60)))</f>
        <v/>
      </c>
      <c r="C60" s="13" t="str">
        <f aca="false">IF($M60=0,"",IF(INDEX('Line Detail'!$C$6:$C$505,$M60)="","",INDEX('Line Detail'!$C$6:$C$505,$M60)))</f>
        <v/>
      </c>
      <c r="D60" s="13" t="str">
        <f aca="false">IF($M60=0,"",IF(INDEX('Line Detail'!$D$6:$D$505,$M60)="","",INDEX('Line Detail'!$D$6:$D$505,$M60)))</f>
        <v/>
      </c>
      <c r="E60" s="13" t="str">
        <f aca="false">IF($M60=0,"",IF(INDEX('Line Detail'!$E$6:$E$505,$M60)="","",INDEX('Line Detail'!$E$6:$E$505,$M60)))</f>
        <v/>
      </c>
      <c r="F60" s="6" t="str">
        <f aca="false">IF($M60=0,"",IF(INDEX('Line Detail'!$F$6:$F$505,$M60)="","",INDEX('Line Detail'!$F$6:$F$505,$M60)))</f>
        <v/>
      </c>
      <c r="G60" s="62" t="str">
        <f aca="false">IF($M60=0,"",IF(INDEX('Line Detail'!$G$6:$G$505,$M60)="","",INDEX('Line Detail'!$G$6:$G$505,$M60)))</f>
        <v/>
      </c>
      <c r="H60" s="13" t="str">
        <f aca="false">IF($M60=0,"",IF(INDEX('Line Detail'!$H$6:$H$505,$M60)="","",INDEX('Line Detail'!$H$6:$H$505,$M60)))</f>
        <v/>
      </c>
      <c r="I60" s="34" t="str">
        <f aca="false">IF($M60=0,"",IF(INDEX('Line Detail'!$O$6:$O$505,$M60)="","",INDEX('Line Detail'!$O$6:$O$505,$M60)))</f>
        <v/>
      </c>
      <c r="J60" s="34" t="str">
        <f aca="false">IF($M60=0,"",IF(INDEX('Line Detail'!$R$6:$R$505,$M60)="","",INDEX('Line Detail'!$R$6:$R$505,$M60)))</f>
        <v/>
      </c>
      <c r="K60" s="6" t="str">
        <f aca="false">IF($M60=0,"",IF(INDEX('Line Detail'!$S$6:$S$505,$M60)="","",INDEX('Line Detail'!$S$6:$S$505,$M60)))</f>
        <v/>
      </c>
      <c r="L60" s="1"/>
      <c r="M60" s="63" t="n">
        <f aca="false">IFERROR(MATCH(55,'Line Detail'!$W$6:$W$505,0),0)</f>
        <v>0</v>
      </c>
    </row>
    <row r="61" customFormat="false" ht="15" hidden="false" customHeight="false" outlineLevel="0" collapsed="false">
      <c r="A61" s="13" t="str">
        <f aca="false">IF($M61=0,"",56)</f>
        <v/>
      </c>
      <c r="B61" s="13" t="str">
        <f aca="false">IF($M61=0,"",IF(INDEX('Line Detail'!$B$6:$B$505,$M61)="","",INDEX('Line Detail'!$B$6:$B$505,$M61)))</f>
        <v/>
      </c>
      <c r="C61" s="13" t="str">
        <f aca="false">IF($M61=0,"",IF(INDEX('Line Detail'!$C$6:$C$505,$M61)="","",INDEX('Line Detail'!$C$6:$C$505,$M61)))</f>
        <v/>
      </c>
      <c r="D61" s="13" t="str">
        <f aca="false">IF($M61=0,"",IF(INDEX('Line Detail'!$D$6:$D$505,$M61)="","",INDEX('Line Detail'!$D$6:$D$505,$M61)))</f>
        <v/>
      </c>
      <c r="E61" s="13" t="str">
        <f aca="false">IF($M61=0,"",IF(INDEX('Line Detail'!$E$6:$E$505,$M61)="","",INDEX('Line Detail'!$E$6:$E$505,$M61)))</f>
        <v/>
      </c>
      <c r="F61" s="6" t="str">
        <f aca="false">IF($M61=0,"",IF(INDEX('Line Detail'!$F$6:$F$505,$M61)="","",INDEX('Line Detail'!$F$6:$F$505,$M61)))</f>
        <v/>
      </c>
      <c r="G61" s="62" t="str">
        <f aca="false">IF($M61=0,"",IF(INDEX('Line Detail'!$G$6:$G$505,$M61)="","",INDEX('Line Detail'!$G$6:$G$505,$M61)))</f>
        <v/>
      </c>
      <c r="H61" s="13" t="str">
        <f aca="false">IF($M61=0,"",IF(INDEX('Line Detail'!$H$6:$H$505,$M61)="","",INDEX('Line Detail'!$H$6:$H$505,$M61)))</f>
        <v/>
      </c>
      <c r="I61" s="34" t="str">
        <f aca="false">IF($M61=0,"",IF(INDEX('Line Detail'!$O$6:$O$505,$M61)="","",INDEX('Line Detail'!$O$6:$O$505,$M61)))</f>
        <v/>
      </c>
      <c r="J61" s="34" t="str">
        <f aca="false">IF($M61=0,"",IF(INDEX('Line Detail'!$R$6:$R$505,$M61)="","",INDEX('Line Detail'!$R$6:$R$505,$M61)))</f>
        <v/>
      </c>
      <c r="K61" s="6" t="str">
        <f aca="false">IF($M61=0,"",IF(INDEX('Line Detail'!$S$6:$S$505,$M61)="","",INDEX('Line Detail'!$S$6:$S$505,$M61)))</f>
        <v/>
      </c>
      <c r="L61" s="1"/>
      <c r="M61" s="63" t="n">
        <f aca="false">IFERROR(MATCH(56,'Line Detail'!$W$6:$W$505,0),0)</f>
        <v>0</v>
      </c>
    </row>
    <row r="62" customFormat="false" ht="15" hidden="false" customHeight="false" outlineLevel="0" collapsed="false">
      <c r="A62" s="13" t="str">
        <f aca="false">IF($M62=0,"",57)</f>
        <v/>
      </c>
      <c r="B62" s="13" t="str">
        <f aca="false">IF($M62=0,"",IF(INDEX('Line Detail'!$B$6:$B$505,$M62)="","",INDEX('Line Detail'!$B$6:$B$505,$M62)))</f>
        <v/>
      </c>
      <c r="C62" s="13" t="str">
        <f aca="false">IF($M62=0,"",IF(INDEX('Line Detail'!$C$6:$C$505,$M62)="","",INDEX('Line Detail'!$C$6:$C$505,$M62)))</f>
        <v/>
      </c>
      <c r="D62" s="13" t="str">
        <f aca="false">IF($M62=0,"",IF(INDEX('Line Detail'!$D$6:$D$505,$M62)="","",INDEX('Line Detail'!$D$6:$D$505,$M62)))</f>
        <v/>
      </c>
      <c r="E62" s="13" t="str">
        <f aca="false">IF($M62=0,"",IF(INDEX('Line Detail'!$E$6:$E$505,$M62)="","",INDEX('Line Detail'!$E$6:$E$505,$M62)))</f>
        <v/>
      </c>
      <c r="F62" s="6" t="str">
        <f aca="false">IF($M62=0,"",IF(INDEX('Line Detail'!$F$6:$F$505,$M62)="","",INDEX('Line Detail'!$F$6:$F$505,$M62)))</f>
        <v/>
      </c>
      <c r="G62" s="62" t="str">
        <f aca="false">IF($M62=0,"",IF(INDEX('Line Detail'!$G$6:$G$505,$M62)="","",INDEX('Line Detail'!$G$6:$G$505,$M62)))</f>
        <v/>
      </c>
      <c r="H62" s="13" t="str">
        <f aca="false">IF($M62=0,"",IF(INDEX('Line Detail'!$H$6:$H$505,$M62)="","",INDEX('Line Detail'!$H$6:$H$505,$M62)))</f>
        <v/>
      </c>
      <c r="I62" s="34" t="str">
        <f aca="false">IF($M62=0,"",IF(INDEX('Line Detail'!$O$6:$O$505,$M62)="","",INDEX('Line Detail'!$O$6:$O$505,$M62)))</f>
        <v/>
      </c>
      <c r="J62" s="34" t="str">
        <f aca="false">IF($M62=0,"",IF(INDEX('Line Detail'!$R$6:$R$505,$M62)="","",INDEX('Line Detail'!$R$6:$R$505,$M62)))</f>
        <v/>
      </c>
      <c r="K62" s="6" t="str">
        <f aca="false">IF($M62=0,"",IF(INDEX('Line Detail'!$S$6:$S$505,$M62)="","",INDEX('Line Detail'!$S$6:$S$505,$M62)))</f>
        <v/>
      </c>
      <c r="L62" s="1"/>
      <c r="M62" s="63" t="n">
        <f aca="false">IFERROR(MATCH(57,'Line Detail'!$W$6:$W$505,0),0)</f>
        <v>0</v>
      </c>
    </row>
    <row r="63" customFormat="false" ht="15" hidden="false" customHeight="false" outlineLevel="0" collapsed="false">
      <c r="A63" s="13" t="str">
        <f aca="false">IF($M63=0,"",58)</f>
        <v/>
      </c>
      <c r="B63" s="13" t="str">
        <f aca="false">IF($M63=0,"",IF(INDEX('Line Detail'!$B$6:$B$505,$M63)="","",INDEX('Line Detail'!$B$6:$B$505,$M63)))</f>
        <v/>
      </c>
      <c r="C63" s="13" t="str">
        <f aca="false">IF($M63=0,"",IF(INDEX('Line Detail'!$C$6:$C$505,$M63)="","",INDEX('Line Detail'!$C$6:$C$505,$M63)))</f>
        <v/>
      </c>
      <c r="D63" s="13" t="str">
        <f aca="false">IF($M63=0,"",IF(INDEX('Line Detail'!$D$6:$D$505,$M63)="","",INDEX('Line Detail'!$D$6:$D$505,$M63)))</f>
        <v/>
      </c>
      <c r="E63" s="13" t="str">
        <f aca="false">IF($M63=0,"",IF(INDEX('Line Detail'!$E$6:$E$505,$M63)="","",INDEX('Line Detail'!$E$6:$E$505,$M63)))</f>
        <v/>
      </c>
      <c r="F63" s="6" t="str">
        <f aca="false">IF($M63=0,"",IF(INDEX('Line Detail'!$F$6:$F$505,$M63)="","",INDEX('Line Detail'!$F$6:$F$505,$M63)))</f>
        <v/>
      </c>
      <c r="G63" s="62" t="str">
        <f aca="false">IF($M63=0,"",IF(INDEX('Line Detail'!$G$6:$G$505,$M63)="","",INDEX('Line Detail'!$G$6:$G$505,$M63)))</f>
        <v/>
      </c>
      <c r="H63" s="13" t="str">
        <f aca="false">IF($M63=0,"",IF(INDEX('Line Detail'!$H$6:$H$505,$M63)="","",INDEX('Line Detail'!$H$6:$H$505,$M63)))</f>
        <v/>
      </c>
      <c r="I63" s="34" t="str">
        <f aca="false">IF($M63=0,"",IF(INDEX('Line Detail'!$O$6:$O$505,$M63)="","",INDEX('Line Detail'!$O$6:$O$505,$M63)))</f>
        <v/>
      </c>
      <c r="J63" s="34" t="str">
        <f aca="false">IF($M63=0,"",IF(INDEX('Line Detail'!$R$6:$R$505,$M63)="","",INDEX('Line Detail'!$R$6:$R$505,$M63)))</f>
        <v/>
      </c>
      <c r="K63" s="6" t="str">
        <f aca="false">IF($M63=0,"",IF(INDEX('Line Detail'!$S$6:$S$505,$M63)="","",INDEX('Line Detail'!$S$6:$S$505,$M63)))</f>
        <v/>
      </c>
      <c r="L63" s="1"/>
      <c r="M63" s="63" t="n">
        <f aca="false">IFERROR(MATCH(58,'Line Detail'!$W$6:$W$505,0),0)</f>
        <v>0</v>
      </c>
    </row>
    <row r="64" customFormat="false" ht="15" hidden="false" customHeight="false" outlineLevel="0" collapsed="false">
      <c r="A64" s="13" t="str">
        <f aca="false">IF($M64=0,"",59)</f>
        <v/>
      </c>
      <c r="B64" s="13" t="str">
        <f aca="false">IF($M64=0,"",IF(INDEX('Line Detail'!$B$6:$B$505,$M64)="","",INDEX('Line Detail'!$B$6:$B$505,$M64)))</f>
        <v/>
      </c>
      <c r="C64" s="13" t="str">
        <f aca="false">IF($M64=0,"",IF(INDEX('Line Detail'!$C$6:$C$505,$M64)="","",INDEX('Line Detail'!$C$6:$C$505,$M64)))</f>
        <v/>
      </c>
      <c r="D64" s="13" t="str">
        <f aca="false">IF($M64=0,"",IF(INDEX('Line Detail'!$D$6:$D$505,$M64)="","",INDEX('Line Detail'!$D$6:$D$505,$M64)))</f>
        <v/>
      </c>
      <c r="E64" s="13" t="str">
        <f aca="false">IF($M64=0,"",IF(INDEX('Line Detail'!$E$6:$E$505,$M64)="","",INDEX('Line Detail'!$E$6:$E$505,$M64)))</f>
        <v/>
      </c>
      <c r="F64" s="6" t="str">
        <f aca="false">IF($M64=0,"",IF(INDEX('Line Detail'!$F$6:$F$505,$M64)="","",INDEX('Line Detail'!$F$6:$F$505,$M64)))</f>
        <v/>
      </c>
      <c r="G64" s="62" t="str">
        <f aca="false">IF($M64=0,"",IF(INDEX('Line Detail'!$G$6:$G$505,$M64)="","",INDEX('Line Detail'!$G$6:$G$505,$M64)))</f>
        <v/>
      </c>
      <c r="H64" s="13" t="str">
        <f aca="false">IF($M64=0,"",IF(INDEX('Line Detail'!$H$6:$H$505,$M64)="","",INDEX('Line Detail'!$H$6:$H$505,$M64)))</f>
        <v/>
      </c>
      <c r="I64" s="34" t="str">
        <f aca="false">IF($M64=0,"",IF(INDEX('Line Detail'!$O$6:$O$505,$M64)="","",INDEX('Line Detail'!$O$6:$O$505,$M64)))</f>
        <v/>
      </c>
      <c r="J64" s="34" t="str">
        <f aca="false">IF($M64=0,"",IF(INDEX('Line Detail'!$R$6:$R$505,$M64)="","",INDEX('Line Detail'!$R$6:$R$505,$M64)))</f>
        <v/>
      </c>
      <c r="K64" s="6" t="str">
        <f aca="false">IF($M64=0,"",IF(INDEX('Line Detail'!$S$6:$S$505,$M64)="","",INDEX('Line Detail'!$S$6:$S$505,$M64)))</f>
        <v/>
      </c>
      <c r="L64" s="1"/>
      <c r="M64" s="63" t="n">
        <f aca="false">IFERROR(MATCH(59,'Line Detail'!$W$6:$W$505,0),0)</f>
        <v>0</v>
      </c>
    </row>
    <row r="65" customFormat="false" ht="15" hidden="false" customHeight="false" outlineLevel="0" collapsed="false">
      <c r="A65" s="13" t="str">
        <f aca="false">IF($M65=0,"",60)</f>
        <v/>
      </c>
      <c r="B65" s="13" t="str">
        <f aca="false">IF($M65=0,"",IF(INDEX('Line Detail'!$B$6:$B$505,$M65)="","",INDEX('Line Detail'!$B$6:$B$505,$M65)))</f>
        <v/>
      </c>
      <c r="C65" s="13" t="str">
        <f aca="false">IF($M65=0,"",IF(INDEX('Line Detail'!$C$6:$C$505,$M65)="","",INDEX('Line Detail'!$C$6:$C$505,$M65)))</f>
        <v/>
      </c>
      <c r="D65" s="13" t="str">
        <f aca="false">IF($M65=0,"",IF(INDEX('Line Detail'!$D$6:$D$505,$M65)="","",INDEX('Line Detail'!$D$6:$D$505,$M65)))</f>
        <v/>
      </c>
      <c r="E65" s="13" t="str">
        <f aca="false">IF($M65=0,"",IF(INDEX('Line Detail'!$E$6:$E$505,$M65)="","",INDEX('Line Detail'!$E$6:$E$505,$M65)))</f>
        <v/>
      </c>
      <c r="F65" s="6" t="str">
        <f aca="false">IF($M65=0,"",IF(INDEX('Line Detail'!$F$6:$F$505,$M65)="","",INDEX('Line Detail'!$F$6:$F$505,$M65)))</f>
        <v/>
      </c>
      <c r="G65" s="62" t="str">
        <f aca="false">IF($M65=0,"",IF(INDEX('Line Detail'!$G$6:$G$505,$M65)="","",INDEX('Line Detail'!$G$6:$G$505,$M65)))</f>
        <v/>
      </c>
      <c r="H65" s="13" t="str">
        <f aca="false">IF($M65=0,"",IF(INDEX('Line Detail'!$H$6:$H$505,$M65)="","",INDEX('Line Detail'!$H$6:$H$505,$M65)))</f>
        <v/>
      </c>
      <c r="I65" s="34" t="str">
        <f aca="false">IF($M65=0,"",IF(INDEX('Line Detail'!$O$6:$O$505,$M65)="","",INDEX('Line Detail'!$O$6:$O$505,$M65)))</f>
        <v/>
      </c>
      <c r="J65" s="34" t="str">
        <f aca="false">IF($M65=0,"",IF(INDEX('Line Detail'!$R$6:$R$505,$M65)="","",INDEX('Line Detail'!$R$6:$R$505,$M65)))</f>
        <v/>
      </c>
      <c r="K65" s="6" t="str">
        <f aca="false">IF($M65=0,"",IF(INDEX('Line Detail'!$S$6:$S$505,$M65)="","",INDEX('Line Detail'!$S$6:$S$505,$M65)))</f>
        <v/>
      </c>
      <c r="L65" s="1"/>
      <c r="M65" s="63" t="n">
        <f aca="false">IFERROR(MATCH(60,'Line Detail'!$W$6:$W$505,0),0)</f>
        <v>0</v>
      </c>
    </row>
    <row r="66" customFormat="false" ht="15" hidden="false" customHeight="false" outlineLevel="0" collapsed="false">
      <c r="A66" s="13" t="str">
        <f aca="false">IF($M66=0,"",61)</f>
        <v/>
      </c>
      <c r="B66" s="13" t="str">
        <f aca="false">IF($M66=0,"",IF(INDEX('Line Detail'!$B$6:$B$505,$M66)="","",INDEX('Line Detail'!$B$6:$B$505,$M66)))</f>
        <v/>
      </c>
      <c r="C66" s="13" t="str">
        <f aca="false">IF($M66=0,"",IF(INDEX('Line Detail'!$C$6:$C$505,$M66)="","",INDEX('Line Detail'!$C$6:$C$505,$M66)))</f>
        <v/>
      </c>
      <c r="D66" s="13" t="str">
        <f aca="false">IF($M66=0,"",IF(INDEX('Line Detail'!$D$6:$D$505,$M66)="","",INDEX('Line Detail'!$D$6:$D$505,$M66)))</f>
        <v/>
      </c>
      <c r="E66" s="13" t="str">
        <f aca="false">IF($M66=0,"",IF(INDEX('Line Detail'!$E$6:$E$505,$M66)="","",INDEX('Line Detail'!$E$6:$E$505,$M66)))</f>
        <v/>
      </c>
      <c r="F66" s="6" t="str">
        <f aca="false">IF($M66=0,"",IF(INDEX('Line Detail'!$F$6:$F$505,$M66)="","",INDEX('Line Detail'!$F$6:$F$505,$M66)))</f>
        <v/>
      </c>
      <c r="G66" s="62" t="str">
        <f aca="false">IF($M66=0,"",IF(INDEX('Line Detail'!$G$6:$G$505,$M66)="","",INDEX('Line Detail'!$G$6:$G$505,$M66)))</f>
        <v/>
      </c>
      <c r="H66" s="13" t="str">
        <f aca="false">IF($M66=0,"",IF(INDEX('Line Detail'!$H$6:$H$505,$M66)="","",INDEX('Line Detail'!$H$6:$H$505,$M66)))</f>
        <v/>
      </c>
      <c r="I66" s="34" t="str">
        <f aca="false">IF($M66=0,"",IF(INDEX('Line Detail'!$O$6:$O$505,$M66)="","",INDEX('Line Detail'!$O$6:$O$505,$M66)))</f>
        <v/>
      </c>
      <c r="J66" s="34" t="str">
        <f aca="false">IF($M66=0,"",IF(INDEX('Line Detail'!$R$6:$R$505,$M66)="","",INDEX('Line Detail'!$R$6:$R$505,$M66)))</f>
        <v/>
      </c>
      <c r="K66" s="6" t="str">
        <f aca="false">IF($M66=0,"",IF(INDEX('Line Detail'!$S$6:$S$505,$M66)="","",INDEX('Line Detail'!$S$6:$S$505,$M66)))</f>
        <v/>
      </c>
      <c r="L66" s="1"/>
      <c r="M66" s="63" t="n">
        <f aca="false">IFERROR(MATCH(61,'Line Detail'!$W$6:$W$505,0),0)</f>
        <v>0</v>
      </c>
    </row>
    <row r="67" customFormat="false" ht="15" hidden="false" customHeight="false" outlineLevel="0" collapsed="false">
      <c r="A67" s="13" t="str">
        <f aca="false">IF($M67=0,"",62)</f>
        <v/>
      </c>
      <c r="B67" s="13" t="str">
        <f aca="false">IF($M67=0,"",IF(INDEX('Line Detail'!$B$6:$B$505,$M67)="","",INDEX('Line Detail'!$B$6:$B$505,$M67)))</f>
        <v/>
      </c>
      <c r="C67" s="13" t="str">
        <f aca="false">IF($M67=0,"",IF(INDEX('Line Detail'!$C$6:$C$505,$M67)="","",INDEX('Line Detail'!$C$6:$C$505,$M67)))</f>
        <v/>
      </c>
      <c r="D67" s="13" t="str">
        <f aca="false">IF($M67=0,"",IF(INDEX('Line Detail'!$D$6:$D$505,$M67)="","",INDEX('Line Detail'!$D$6:$D$505,$M67)))</f>
        <v/>
      </c>
      <c r="E67" s="13" t="str">
        <f aca="false">IF($M67=0,"",IF(INDEX('Line Detail'!$E$6:$E$505,$M67)="","",INDEX('Line Detail'!$E$6:$E$505,$M67)))</f>
        <v/>
      </c>
      <c r="F67" s="6" t="str">
        <f aca="false">IF($M67=0,"",IF(INDEX('Line Detail'!$F$6:$F$505,$M67)="","",INDEX('Line Detail'!$F$6:$F$505,$M67)))</f>
        <v/>
      </c>
      <c r="G67" s="62" t="str">
        <f aca="false">IF($M67=0,"",IF(INDEX('Line Detail'!$G$6:$G$505,$M67)="","",INDEX('Line Detail'!$G$6:$G$505,$M67)))</f>
        <v/>
      </c>
      <c r="H67" s="13" t="str">
        <f aca="false">IF($M67=0,"",IF(INDEX('Line Detail'!$H$6:$H$505,$M67)="","",INDEX('Line Detail'!$H$6:$H$505,$M67)))</f>
        <v/>
      </c>
      <c r="I67" s="34" t="str">
        <f aca="false">IF($M67=0,"",IF(INDEX('Line Detail'!$O$6:$O$505,$M67)="","",INDEX('Line Detail'!$O$6:$O$505,$M67)))</f>
        <v/>
      </c>
      <c r="J67" s="34" t="str">
        <f aca="false">IF($M67=0,"",IF(INDEX('Line Detail'!$R$6:$R$505,$M67)="","",INDEX('Line Detail'!$R$6:$R$505,$M67)))</f>
        <v/>
      </c>
      <c r="K67" s="6" t="str">
        <f aca="false">IF($M67=0,"",IF(INDEX('Line Detail'!$S$6:$S$505,$M67)="","",INDEX('Line Detail'!$S$6:$S$505,$M67)))</f>
        <v/>
      </c>
      <c r="L67" s="1"/>
      <c r="M67" s="63" t="n">
        <f aca="false">IFERROR(MATCH(62,'Line Detail'!$W$6:$W$505,0),0)</f>
        <v>0</v>
      </c>
    </row>
    <row r="68" customFormat="false" ht="15" hidden="false" customHeight="false" outlineLevel="0" collapsed="false">
      <c r="A68" s="13" t="str">
        <f aca="false">IF($M68=0,"",63)</f>
        <v/>
      </c>
      <c r="B68" s="13" t="str">
        <f aca="false">IF($M68=0,"",IF(INDEX('Line Detail'!$B$6:$B$505,$M68)="","",INDEX('Line Detail'!$B$6:$B$505,$M68)))</f>
        <v/>
      </c>
      <c r="C68" s="13" t="str">
        <f aca="false">IF($M68=0,"",IF(INDEX('Line Detail'!$C$6:$C$505,$M68)="","",INDEX('Line Detail'!$C$6:$C$505,$M68)))</f>
        <v/>
      </c>
      <c r="D68" s="13" t="str">
        <f aca="false">IF($M68=0,"",IF(INDEX('Line Detail'!$D$6:$D$505,$M68)="","",INDEX('Line Detail'!$D$6:$D$505,$M68)))</f>
        <v/>
      </c>
      <c r="E68" s="13" t="str">
        <f aca="false">IF($M68=0,"",IF(INDEX('Line Detail'!$E$6:$E$505,$M68)="","",INDEX('Line Detail'!$E$6:$E$505,$M68)))</f>
        <v/>
      </c>
      <c r="F68" s="6" t="str">
        <f aca="false">IF($M68=0,"",IF(INDEX('Line Detail'!$F$6:$F$505,$M68)="","",INDEX('Line Detail'!$F$6:$F$505,$M68)))</f>
        <v/>
      </c>
      <c r="G68" s="62" t="str">
        <f aca="false">IF($M68=0,"",IF(INDEX('Line Detail'!$G$6:$G$505,$M68)="","",INDEX('Line Detail'!$G$6:$G$505,$M68)))</f>
        <v/>
      </c>
      <c r="H68" s="13" t="str">
        <f aca="false">IF($M68=0,"",IF(INDEX('Line Detail'!$H$6:$H$505,$M68)="","",INDEX('Line Detail'!$H$6:$H$505,$M68)))</f>
        <v/>
      </c>
      <c r="I68" s="34" t="str">
        <f aca="false">IF($M68=0,"",IF(INDEX('Line Detail'!$O$6:$O$505,$M68)="","",INDEX('Line Detail'!$O$6:$O$505,$M68)))</f>
        <v/>
      </c>
      <c r="J68" s="34" t="str">
        <f aca="false">IF($M68=0,"",IF(INDEX('Line Detail'!$R$6:$R$505,$M68)="","",INDEX('Line Detail'!$R$6:$R$505,$M68)))</f>
        <v/>
      </c>
      <c r="K68" s="6" t="str">
        <f aca="false">IF($M68=0,"",IF(INDEX('Line Detail'!$S$6:$S$505,$M68)="","",INDEX('Line Detail'!$S$6:$S$505,$M68)))</f>
        <v/>
      </c>
      <c r="L68" s="1"/>
      <c r="M68" s="63" t="n">
        <f aca="false">IFERROR(MATCH(63,'Line Detail'!$W$6:$W$505,0),0)</f>
        <v>0</v>
      </c>
    </row>
    <row r="69" customFormat="false" ht="15" hidden="false" customHeight="false" outlineLevel="0" collapsed="false">
      <c r="A69" s="13" t="str">
        <f aca="false">IF($M69=0,"",64)</f>
        <v/>
      </c>
      <c r="B69" s="13" t="str">
        <f aca="false">IF($M69=0,"",IF(INDEX('Line Detail'!$B$6:$B$505,$M69)="","",INDEX('Line Detail'!$B$6:$B$505,$M69)))</f>
        <v/>
      </c>
      <c r="C69" s="13" t="str">
        <f aca="false">IF($M69=0,"",IF(INDEX('Line Detail'!$C$6:$C$505,$M69)="","",INDEX('Line Detail'!$C$6:$C$505,$M69)))</f>
        <v/>
      </c>
      <c r="D69" s="13" t="str">
        <f aca="false">IF($M69=0,"",IF(INDEX('Line Detail'!$D$6:$D$505,$M69)="","",INDEX('Line Detail'!$D$6:$D$505,$M69)))</f>
        <v/>
      </c>
      <c r="E69" s="13" t="str">
        <f aca="false">IF($M69=0,"",IF(INDEX('Line Detail'!$E$6:$E$505,$M69)="","",INDEX('Line Detail'!$E$6:$E$505,$M69)))</f>
        <v/>
      </c>
      <c r="F69" s="6" t="str">
        <f aca="false">IF($M69=0,"",IF(INDEX('Line Detail'!$F$6:$F$505,$M69)="","",INDEX('Line Detail'!$F$6:$F$505,$M69)))</f>
        <v/>
      </c>
      <c r="G69" s="62" t="str">
        <f aca="false">IF($M69=0,"",IF(INDEX('Line Detail'!$G$6:$G$505,$M69)="","",INDEX('Line Detail'!$G$6:$G$505,$M69)))</f>
        <v/>
      </c>
      <c r="H69" s="13" t="str">
        <f aca="false">IF($M69=0,"",IF(INDEX('Line Detail'!$H$6:$H$505,$M69)="","",INDEX('Line Detail'!$H$6:$H$505,$M69)))</f>
        <v/>
      </c>
      <c r="I69" s="34" t="str">
        <f aca="false">IF($M69=0,"",IF(INDEX('Line Detail'!$O$6:$O$505,$M69)="","",INDEX('Line Detail'!$O$6:$O$505,$M69)))</f>
        <v/>
      </c>
      <c r="J69" s="34" t="str">
        <f aca="false">IF($M69=0,"",IF(INDEX('Line Detail'!$R$6:$R$505,$M69)="","",INDEX('Line Detail'!$R$6:$R$505,$M69)))</f>
        <v/>
      </c>
      <c r="K69" s="6" t="str">
        <f aca="false">IF($M69=0,"",IF(INDEX('Line Detail'!$S$6:$S$505,$M69)="","",INDEX('Line Detail'!$S$6:$S$505,$M69)))</f>
        <v/>
      </c>
      <c r="L69" s="1"/>
      <c r="M69" s="63" t="n">
        <f aca="false">IFERROR(MATCH(64,'Line Detail'!$W$6:$W$505,0),0)</f>
        <v>0</v>
      </c>
    </row>
    <row r="70" customFormat="false" ht="15" hidden="false" customHeight="false" outlineLevel="0" collapsed="false">
      <c r="A70" s="13" t="str">
        <f aca="false">IF($M70=0,"",65)</f>
        <v/>
      </c>
      <c r="B70" s="13" t="str">
        <f aca="false">IF($M70=0,"",IF(INDEX('Line Detail'!$B$6:$B$505,$M70)="","",INDEX('Line Detail'!$B$6:$B$505,$M70)))</f>
        <v/>
      </c>
      <c r="C70" s="13" t="str">
        <f aca="false">IF($M70=0,"",IF(INDEX('Line Detail'!$C$6:$C$505,$M70)="","",INDEX('Line Detail'!$C$6:$C$505,$M70)))</f>
        <v/>
      </c>
      <c r="D70" s="13" t="str">
        <f aca="false">IF($M70=0,"",IF(INDEX('Line Detail'!$D$6:$D$505,$M70)="","",INDEX('Line Detail'!$D$6:$D$505,$M70)))</f>
        <v/>
      </c>
      <c r="E70" s="13" t="str">
        <f aca="false">IF($M70=0,"",IF(INDEX('Line Detail'!$E$6:$E$505,$M70)="","",INDEX('Line Detail'!$E$6:$E$505,$M70)))</f>
        <v/>
      </c>
      <c r="F70" s="6" t="str">
        <f aca="false">IF($M70=0,"",IF(INDEX('Line Detail'!$F$6:$F$505,$M70)="","",INDEX('Line Detail'!$F$6:$F$505,$M70)))</f>
        <v/>
      </c>
      <c r="G70" s="62" t="str">
        <f aca="false">IF($M70=0,"",IF(INDEX('Line Detail'!$G$6:$G$505,$M70)="","",INDEX('Line Detail'!$G$6:$G$505,$M70)))</f>
        <v/>
      </c>
      <c r="H70" s="13" t="str">
        <f aca="false">IF($M70=0,"",IF(INDEX('Line Detail'!$H$6:$H$505,$M70)="","",INDEX('Line Detail'!$H$6:$H$505,$M70)))</f>
        <v/>
      </c>
      <c r="I70" s="34" t="str">
        <f aca="false">IF($M70=0,"",IF(INDEX('Line Detail'!$O$6:$O$505,$M70)="","",INDEX('Line Detail'!$O$6:$O$505,$M70)))</f>
        <v/>
      </c>
      <c r="J70" s="34" t="str">
        <f aca="false">IF($M70=0,"",IF(INDEX('Line Detail'!$R$6:$R$505,$M70)="","",INDEX('Line Detail'!$R$6:$R$505,$M70)))</f>
        <v/>
      </c>
      <c r="K70" s="6" t="str">
        <f aca="false">IF($M70=0,"",IF(INDEX('Line Detail'!$S$6:$S$505,$M70)="","",INDEX('Line Detail'!$S$6:$S$505,$M70)))</f>
        <v/>
      </c>
      <c r="L70" s="1"/>
      <c r="M70" s="63" t="n">
        <f aca="false">IFERROR(MATCH(65,'Line Detail'!$W$6:$W$505,0),0)</f>
        <v>0</v>
      </c>
    </row>
    <row r="71" customFormat="false" ht="15" hidden="false" customHeight="false" outlineLevel="0" collapsed="false">
      <c r="A71" s="13" t="str">
        <f aca="false">IF($M71=0,"",66)</f>
        <v/>
      </c>
      <c r="B71" s="13" t="str">
        <f aca="false">IF($M71=0,"",IF(INDEX('Line Detail'!$B$6:$B$505,$M71)="","",INDEX('Line Detail'!$B$6:$B$505,$M71)))</f>
        <v/>
      </c>
      <c r="C71" s="13" t="str">
        <f aca="false">IF($M71=0,"",IF(INDEX('Line Detail'!$C$6:$C$505,$M71)="","",INDEX('Line Detail'!$C$6:$C$505,$M71)))</f>
        <v/>
      </c>
      <c r="D71" s="13" t="str">
        <f aca="false">IF($M71=0,"",IF(INDEX('Line Detail'!$D$6:$D$505,$M71)="","",INDEX('Line Detail'!$D$6:$D$505,$M71)))</f>
        <v/>
      </c>
      <c r="E71" s="13" t="str">
        <f aca="false">IF($M71=0,"",IF(INDEX('Line Detail'!$E$6:$E$505,$M71)="","",INDEX('Line Detail'!$E$6:$E$505,$M71)))</f>
        <v/>
      </c>
      <c r="F71" s="6" t="str">
        <f aca="false">IF($M71=0,"",IF(INDEX('Line Detail'!$F$6:$F$505,$M71)="","",INDEX('Line Detail'!$F$6:$F$505,$M71)))</f>
        <v/>
      </c>
      <c r="G71" s="62" t="str">
        <f aca="false">IF($M71=0,"",IF(INDEX('Line Detail'!$G$6:$G$505,$M71)="","",INDEX('Line Detail'!$G$6:$G$505,$M71)))</f>
        <v/>
      </c>
      <c r="H71" s="13" t="str">
        <f aca="false">IF($M71=0,"",IF(INDEX('Line Detail'!$H$6:$H$505,$M71)="","",INDEX('Line Detail'!$H$6:$H$505,$M71)))</f>
        <v/>
      </c>
      <c r="I71" s="34" t="str">
        <f aca="false">IF($M71=0,"",IF(INDEX('Line Detail'!$O$6:$O$505,$M71)="","",INDEX('Line Detail'!$O$6:$O$505,$M71)))</f>
        <v/>
      </c>
      <c r="J71" s="34" t="str">
        <f aca="false">IF($M71=0,"",IF(INDEX('Line Detail'!$R$6:$R$505,$M71)="","",INDEX('Line Detail'!$R$6:$R$505,$M71)))</f>
        <v/>
      </c>
      <c r="K71" s="6" t="str">
        <f aca="false">IF($M71=0,"",IF(INDEX('Line Detail'!$S$6:$S$505,$M71)="","",INDEX('Line Detail'!$S$6:$S$505,$M71)))</f>
        <v/>
      </c>
      <c r="L71" s="1"/>
      <c r="M71" s="63" t="n">
        <f aca="false">IFERROR(MATCH(66,'Line Detail'!$W$6:$W$505,0),0)</f>
        <v>0</v>
      </c>
    </row>
    <row r="72" customFormat="false" ht="15" hidden="false" customHeight="false" outlineLevel="0" collapsed="false">
      <c r="A72" s="13" t="str">
        <f aca="false">IF($M72=0,"",67)</f>
        <v/>
      </c>
      <c r="B72" s="13" t="str">
        <f aca="false">IF($M72=0,"",IF(INDEX('Line Detail'!$B$6:$B$505,$M72)="","",INDEX('Line Detail'!$B$6:$B$505,$M72)))</f>
        <v/>
      </c>
      <c r="C72" s="13" t="str">
        <f aca="false">IF($M72=0,"",IF(INDEX('Line Detail'!$C$6:$C$505,$M72)="","",INDEX('Line Detail'!$C$6:$C$505,$M72)))</f>
        <v/>
      </c>
      <c r="D72" s="13" t="str">
        <f aca="false">IF($M72=0,"",IF(INDEX('Line Detail'!$D$6:$D$505,$M72)="","",INDEX('Line Detail'!$D$6:$D$505,$M72)))</f>
        <v/>
      </c>
      <c r="E72" s="13" t="str">
        <f aca="false">IF($M72=0,"",IF(INDEX('Line Detail'!$E$6:$E$505,$M72)="","",INDEX('Line Detail'!$E$6:$E$505,$M72)))</f>
        <v/>
      </c>
      <c r="F72" s="6" t="str">
        <f aca="false">IF($M72=0,"",IF(INDEX('Line Detail'!$F$6:$F$505,$M72)="","",INDEX('Line Detail'!$F$6:$F$505,$M72)))</f>
        <v/>
      </c>
      <c r="G72" s="62" t="str">
        <f aca="false">IF($M72=0,"",IF(INDEX('Line Detail'!$G$6:$G$505,$M72)="","",INDEX('Line Detail'!$G$6:$G$505,$M72)))</f>
        <v/>
      </c>
      <c r="H72" s="13" t="str">
        <f aca="false">IF($M72=0,"",IF(INDEX('Line Detail'!$H$6:$H$505,$M72)="","",INDEX('Line Detail'!$H$6:$H$505,$M72)))</f>
        <v/>
      </c>
      <c r="I72" s="34" t="str">
        <f aca="false">IF($M72=0,"",IF(INDEX('Line Detail'!$O$6:$O$505,$M72)="","",INDEX('Line Detail'!$O$6:$O$505,$M72)))</f>
        <v/>
      </c>
      <c r="J72" s="34" t="str">
        <f aca="false">IF($M72=0,"",IF(INDEX('Line Detail'!$R$6:$R$505,$M72)="","",INDEX('Line Detail'!$R$6:$R$505,$M72)))</f>
        <v/>
      </c>
      <c r="K72" s="6" t="str">
        <f aca="false">IF($M72=0,"",IF(INDEX('Line Detail'!$S$6:$S$505,$M72)="","",INDEX('Line Detail'!$S$6:$S$505,$M72)))</f>
        <v/>
      </c>
      <c r="L72" s="1"/>
      <c r="M72" s="63" t="n">
        <f aca="false">IFERROR(MATCH(67,'Line Detail'!$W$6:$W$505,0),0)</f>
        <v>0</v>
      </c>
    </row>
    <row r="73" customFormat="false" ht="15" hidden="false" customHeight="false" outlineLevel="0" collapsed="false">
      <c r="A73" s="13" t="str">
        <f aca="false">IF($M73=0,"",68)</f>
        <v/>
      </c>
      <c r="B73" s="13" t="str">
        <f aca="false">IF($M73=0,"",IF(INDEX('Line Detail'!$B$6:$B$505,$M73)="","",INDEX('Line Detail'!$B$6:$B$505,$M73)))</f>
        <v/>
      </c>
      <c r="C73" s="13" t="str">
        <f aca="false">IF($M73=0,"",IF(INDEX('Line Detail'!$C$6:$C$505,$M73)="","",INDEX('Line Detail'!$C$6:$C$505,$M73)))</f>
        <v/>
      </c>
      <c r="D73" s="13" t="str">
        <f aca="false">IF($M73=0,"",IF(INDEX('Line Detail'!$D$6:$D$505,$M73)="","",INDEX('Line Detail'!$D$6:$D$505,$M73)))</f>
        <v/>
      </c>
      <c r="E73" s="13" t="str">
        <f aca="false">IF($M73=0,"",IF(INDEX('Line Detail'!$E$6:$E$505,$M73)="","",INDEX('Line Detail'!$E$6:$E$505,$M73)))</f>
        <v/>
      </c>
      <c r="F73" s="6" t="str">
        <f aca="false">IF($M73=0,"",IF(INDEX('Line Detail'!$F$6:$F$505,$M73)="","",INDEX('Line Detail'!$F$6:$F$505,$M73)))</f>
        <v/>
      </c>
      <c r="G73" s="62" t="str">
        <f aca="false">IF($M73=0,"",IF(INDEX('Line Detail'!$G$6:$G$505,$M73)="","",INDEX('Line Detail'!$G$6:$G$505,$M73)))</f>
        <v/>
      </c>
      <c r="H73" s="13" t="str">
        <f aca="false">IF($M73=0,"",IF(INDEX('Line Detail'!$H$6:$H$505,$M73)="","",INDEX('Line Detail'!$H$6:$H$505,$M73)))</f>
        <v/>
      </c>
      <c r="I73" s="34" t="str">
        <f aca="false">IF($M73=0,"",IF(INDEX('Line Detail'!$O$6:$O$505,$M73)="","",INDEX('Line Detail'!$O$6:$O$505,$M73)))</f>
        <v/>
      </c>
      <c r="J73" s="34" t="str">
        <f aca="false">IF($M73=0,"",IF(INDEX('Line Detail'!$R$6:$R$505,$M73)="","",INDEX('Line Detail'!$R$6:$R$505,$M73)))</f>
        <v/>
      </c>
      <c r="K73" s="6" t="str">
        <f aca="false">IF($M73=0,"",IF(INDEX('Line Detail'!$S$6:$S$505,$M73)="","",INDEX('Line Detail'!$S$6:$S$505,$M73)))</f>
        <v/>
      </c>
      <c r="L73" s="1"/>
      <c r="M73" s="63" t="n">
        <f aca="false">IFERROR(MATCH(68,'Line Detail'!$W$6:$W$505,0),0)</f>
        <v>0</v>
      </c>
    </row>
    <row r="74" customFormat="false" ht="15" hidden="false" customHeight="false" outlineLevel="0" collapsed="false">
      <c r="A74" s="13" t="str">
        <f aca="false">IF($M74=0,"",69)</f>
        <v/>
      </c>
      <c r="B74" s="13" t="str">
        <f aca="false">IF($M74=0,"",IF(INDEX('Line Detail'!$B$6:$B$505,$M74)="","",INDEX('Line Detail'!$B$6:$B$505,$M74)))</f>
        <v/>
      </c>
      <c r="C74" s="13" t="str">
        <f aca="false">IF($M74=0,"",IF(INDEX('Line Detail'!$C$6:$C$505,$M74)="","",INDEX('Line Detail'!$C$6:$C$505,$M74)))</f>
        <v/>
      </c>
      <c r="D74" s="13" t="str">
        <f aca="false">IF($M74=0,"",IF(INDEX('Line Detail'!$D$6:$D$505,$M74)="","",INDEX('Line Detail'!$D$6:$D$505,$M74)))</f>
        <v/>
      </c>
      <c r="E74" s="13" t="str">
        <f aca="false">IF($M74=0,"",IF(INDEX('Line Detail'!$E$6:$E$505,$M74)="","",INDEX('Line Detail'!$E$6:$E$505,$M74)))</f>
        <v/>
      </c>
      <c r="F74" s="6" t="str">
        <f aca="false">IF($M74=0,"",IF(INDEX('Line Detail'!$F$6:$F$505,$M74)="","",INDEX('Line Detail'!$F$6:$F$505,$M74)))</f>
        <v/>
      </c>
      <c r="G74" s="62" t="str">
        <f aca="false">IF($M74=0,"",IF(INDEX('Line Detail'!$G$6:$G$505,$M74)="","",INDEX('Line Detail'!$G$6:$G$505,$M74)))</f>
        <v/>
      </c>
      <c r="H74" s="13" t="str">
        <f aca="false">IF($M74=0,"",IF(INDEX('Line Detail'!$H$6:$H$505,$M74)="","",INDEX('Line Detail'!$H$6:$H$505,$M74)))</f>
        <v/>
      </c>
      <c r="I74" s="34" t="str">
        <f aca="false">IF($M74=0,"",IF(INDEX('Line Detail'!$O$6:$O$505,$M74)="","",INDEX('Line Detail'!$O$6:$O$505,$M74)))</f>
        <v/>
      </c>
      <c r="J74" s="34" t="str">
        <f aca="false">IF($M74=0,"",IF(INDEX('Line Detail'!$R$6:$R$505,$M74)="","",INDEX('Line Detail'!$R$6:$R$505,$M74)))</f>
        <v/>
      </c>
      <c r="K74" s="6" t="str">
        <f aca="false">IF($M74=0,"",IF(INDEX('Line Detail'!$S$6:$S$505,$M74)="","",INDEX('Line Detail'!$S$6:$S$505,$M74)))</f>
        <v/>
      </c>
      <c r="L74" s="1"/>
      <c r="M74" s="63" t="n">
        <f aca="false">IFERROR(MATCH(69,'Line Detail'!$W$6:$W$505,0),0)</f>
        <v>0</v>
      </c>
    </row>
    <row r="75" customFormat="false" ht="15" hidden="false" customHeight="false" outlineLevel="0" collapsed="false">
      <c r="A75" s="13" t="str">
        <f aca="false">IF($M75=0,"",70)</f>
        <v/>
      </c>
      <c r="B75" s="13" t="str">
        <f aca="false">IF($M75=0,"",IF(INDEX('Line Detail'!$B$6:$B$505,$M75)="","",INDEX('Line Detail'!$B$6:$B$505,$M75)))</f>
        <v/>
      </c>
      <c r="C75" s="13" t="str">
        <f aca="false">IF($M75=0,"",IF(INDEX('Line Detail'!$C$6:$C$505,$M75)="","",INDEX('Line Detail'!$C$6:$C$505,$M75)))</f>
        <v/>
      </c>
      <c r="D75" s="13" t="str">
        <f aca="false">IF($M75=0,"",IF(INDEX('Line Detail'!$D$6:$D$505,$M75)="","",INDEX('Line Detail'!$D$6:$D$505,$M75)))</f>
        <v/>
      </c>
      <c r="E75" s="13" t="str">
        <f aca="false">IF($M75=0,"",IF(INDEX('Line Detail'!$E$6:$E$505,$M75)="","",INDEX('Line Detail'!$E$6:$E$505,$M75)))</f>
        <v/>
      </c>
      <c r="F75" s="6" t="str">
        <f aca="false">IF($M75=0,"",IF(INDEX('Line Detail'!$F$6:$F$505,$M75)="","",INDEX('Line Detail'!$F$6:$F$505,$M75)))</f>
        <v/>
      </c>
      <c r="G75" s="62" t="str">
        <f aca="false">IF($M75=0,"",IF(INDEX('Line Detail'!$G$6:$G$505,$M75)="","",INDEX('Line Detail'!$G$6:$G$505,$M75)))</f>
        <v/>
      </c>
      <c r="H75" s="13" t="str">
        <f aca="false">IF($M75=0,"",IF(INDEX('Line Detail'!$H$6:$H$505,$M75)="","",INDEX('Line Detail'!$H$6:$H$505,$M75)))</f>
        <v/>
      </c>
      <c r="I75" s="34" t="str">
        <f aca="false">IF($M75=0,"",IF(INDEX('Line Detail'!$O$6:$O$505,$M75)="","",INDEX('Line Detail'!$O$6:$O$505,$M75)))</f>
        <v/>
      </c>
      <c r="J75" s="34" t="str">
        <f aca="false">IF($M75=0,"",IF(INDEX('Line Detail'!$R$6:$R$505,$M75)="","",INDEX('Line Detail'!$R$6:$R$505,$M75)))</f>
        <v/>
      </c>
      <c r="K75" s="6" t="str">
        <f aca="false">IF($M75=0,"",IF(INDEX('Line Detail'!$S$6:$S$505,$M75)="","",INDEX('Line Detail'!$S$6:$S$505,$M75)))</f>
        <v/>
      </c>
      <c r="L75" s="1"/>
      <c r="M75" s="63" t="n">
        <f aca="false">IFERROR(MATCH(70,'Line Detail'!$W$6:$W$505,0),0)</f>
        <v>0</v>
      </c>
    </row>
    <row r="76" customFormat="false" ht="15" hidden="false" customHeight="false" outlineLevel="0" collapsed="false">
      <c r="A76" s="13" t="str">
        <f aca="false">IF($M76=0,"",71)</f>
        <v/>
      </c>
      <c r="B76" s="13" t="str">
        <f aca="false">IF($M76=0,"",IF(INDEX('Line Detail'!$B$6:$B$505,$M76)="","",INDEX('Line Detail'!$B$6:$B$505,$M76)))</f>
        <v/>
      </c>
      <c r="C76" s="13" t="str">
        <f aca="false">IF($M76=0,"",IF(INDEX('Line Detail'!$C$6:$C$505,$M76)="","",INDEX('Line Detail'!$C$6:$C$505,$M76)))</f>
        <v/>
      </c>
      <c r="D76" s="13" t="str">
        <f aca="false">IF($M76=0,"",IF(INDEX('Line Detail'!$D$6:$D$505,$M76)="","",INDEX('Line Detail'!$D$6:$D$505,$M76)))</f>
        <v/>
      </c>
      <c r="E76" s="13" t="str">
        <f aca="false">IF($M76=0,"",IF(INDEX('Line Detail'!$E$6:$E$505,$M76)="","",INDEX('Line Detail'!$E$6:$E$505,$M76)))</f>
        <v/>
      </c>
      <c r="F76" s="6" t="str">
        <f aca="false">IF($M76=0,"",IF(INDEX('Line Detail'!$F$6:$F$505,$M76)="","",INDEX('Line Detail'!$F$6:$F$505,$M76)))</f>
        <v/>
      </c>
      <c r="G76" s="62" t="str">
        <f aca="false">IF($M76=0,"",IF(INDEX('Line Detail'!$G$6:$G$505,$M76)="","",INDEX('Line Detail'!$G$6:$G$505,$M76)))</f>
        <v/>
      </c>
      <c r="H76" s="13" t="str">
        <f aca="false">IF($M76=0,"",IF(INDEX('Line Detail'!$H$6:$H$505,$M76)="","",INDEX('Line Detail'!$H$6:$H$505,$M76)))</f>
        <v/>
      </c>
      <c r="I76" s="34" t="str">
        <f aca="false">IF($M76=0,"",IF(INDEX('Line Detail'!$O$6:$O$505,$M76)="","",INDEX('Line Detail'!$O$6:$O$505,$M76)))</f>
        <v/>
      </c>
      <c r="J76" s="34" t="str">
        <f aca="false">IF($M76=0,"",IF(INDEX('Line Detail'!$R$6:$R$505,$M76)="","",INDEX('Line Detail'!$R$6:$R$505,$M76)))</f>
        <v/>
      </c>
      <c r="K76" s="6" t="str">
        <f aca="false">IF($M76=0,"",IF(INDEX('Line Detail'!$S$6:$S$505,$M76)="","",INDEX('Line Detail'!$S$6:$S$505,$M76)))</f>
        <v/>
      </c>
      <c r="L76" s="1"/>
      <c r="M76" s="63" t="n">
        <f aca="false">IFERROR(MATCH(71,'Line Detail'!$W$6:$W$505,0),0)</f>
        <v>0</v>
      </c>
    </row>
    <row r="77" customFormat="false" ht="15" hidden="false" customHeight="false" outlineLevel="0" collapsed="false">
      <c r="A77" s="13" t="str">
        <f aca="false">IF($M77=0,"",72)</f>
        <v/>
      </c>
      <c r="B77" s="13" t="str">
        <f aca="false">IF($M77=0,"",IF(INDEX('Line Detail'!$B$6:$B$505,$M77)="","",INDEX('Line Detail'!$B$6:$B$505,$M77)))</f>
        <v/>
      </c>
      <c r="C77" s="13" t="str">
        <f aca="false">IF($M77=0,"",IF(INDEX('Line Detail'!$C$6:$C$505,$M77)="","",INDEX('Line Detail'!$C$6:$C$505,$M77)))</f>
        <v/>
      </c>
      <c r="D77" s="13" t="str">
        <f aca="false">IF($M77=0,"",IF(INDEX('Line Detail'!$D$6:$D$505,$M77)="","",INDEX('Line Detail'!$D$6:$D$505,$M77)))</f>
        <v/>
      </c>
      <c r="E77" s="13" t="str">
        <f aca="false">IF($M77=0,"",IF(INDEX('Line Detail'!$E$6:$E$505,$M77)="","",INDEX('Line Detail'!$E$6:$E$505,$M77)))</f>
        <v/>
      </c>
      <c r="F77" s="6" t="str">
        <f aca="false">IF($M77=0,"",IF(INDEX('Line Detail'!$F$6:$F$505,$M77)="","",INDEX('Line Detail'!$F$6:$F$505,$M77)))</f>
        <v/>
      </c>
      <c r="G77" s="62" t="str">
        <f aca="false">IF($M77=0,"",IF(INDEX('Line Detail'!$G$6:$G$505,$M77)="","",INDEX('Line Detail'!$G$6:$G$505,$M77)))</f>
        <v/>
      </c>
      <c r="H77" s="13" t="str">
        <f aca="false">IF($M77=0,"",IF(INDEX('Line Detail'!$H$6:$H$505,$M77)="","",INDEX('Line Detail'!$H$6:$H$505,$M77)))</f>
        <v/>
      </c>
      <c r="I77" s="34" t="str">
        <f aca="false">IF($M77=0,"",IF(INDEX('Line Detail'!$O$6:$O$505,$M77)="","",INDEX('Line Detail'!$O$6:$O$505,$M77)))</f>
        <v/>
      </c>
      <c r="J77" s="34" t="str">
        <f aca="false">IF($M77=0,"",IF(INDEX('Line Detail'!$R$6:$R$505,$M77)="","",INDEX('Line Detail'!$R$6:$R$505,$M77)))</f>
        <v/>
      </c>
      <c r="K77" s="6" t="str">
        <f aca="false">IF($M77=0,"",IF(INDEX('Line Detail'!$S$6:$S$505,$M77)="","",INDEX('Line Detail'!$S$6:$S$505,$M77)))</f>
        <v/>
      </c>
      <c r="L77" s="1"/>
      <c r="M77" s="63" t="n">
        <f aca="false">IFERROR(MATCH(72,'Line Detail'!$W$6:$W$505,0),0)</f>
        <v>0</v>
      </c>
    </row>
    <row r="78" customFormat="false" ht="15" hidden="false" customHeight="false" outlineLevel="0" collapsed="false">
      <c r="A78" s="13" t="str">
        <f aca="false">IF($M78=0,"",73)</f>
        <v/>
      </c>
      <c r="B78" s="13" t="str">
        <f aca="false">IF($M78=0,"",IF(INDEX('Line Detail'!$B$6:$B$505,$M78)="","",INDEX('Line Detail'!$B$6:$B$505,$M78)))</f>
        <v/>
      </c>
      <c r="C78" s="13" t="str">
        <f aca="false">IF($M78=0,"",IF(INDEX('Line Detail'!$C$6:$C$505,$M78)="","",INDEX('Line Detail'!$C$6:$C$505,$M78)))</f>
        <v/>
      </c>
      <c r="D78" s="13" t="str">
        <f aca="false">IF($M78=0,"",IF(INDEX('Line Detail'!$D$6:$D$505,$M78)="","",INDEX('Line Detail'!$D$6:$D$505,$M78)))</f>
        <v/>
      </c>
      <c r="E78" s="13" t="str">
        <f aca="false">IF($M78=0,"",IF(INDEX('Line Detail'!$E$6:$E$505,$M78)="","",INDEX('Line Detail'!$E$6:$E$505,$M78)))</f>
        <v/>
      </c>
      <c r="F78" s="6" t="str">
        <f aca="false">IF($M78=0,"",IF(INDEX('Line Detail'!$F$6:$F$505,$M78)="","",INDEX('Line Detail'!$F$6:$F$505,$M78)))</f>
        <v/>
      </c>
      <c r="G78" s="62" t="str">
        <f aca="false">IF($M78=0,"",IF(INDEX('Line Detail'!$G$6:$G$505,$M78)="","",INDEX('Line Detail'!$G$6:$G$505,$M78)))</f>
        <v/>
      </c>
      <c r="H78" s="13" t="str">
        <f aca="false">IF($M78=0,"",IF(INDEX('Line Detail'!$H$6:$H$505,$M78)="","",INDEX('Line Detail'!$H$6:$H$505,$M78)))</f>
        <v/>
      </c>
      <c r="I78" s="34" t="str">
        <f aca="false">IF($M78=0,"",IF(INDEX('Line Detail'!$O$6:$O$505,$M78)="","",INDEX('Line Detail'!$O$6:$O$505,$M78)))</f>
        <v/>
      </c>
      <c r="J78" s="34" t="str">
        <f aca="false">IF($M78=0,"",IF(INDEX('Line Detail'!$R$6:$R$505,$M78)="","",INDEX('Line Detail'!$R$6:$R$505,$M78)))</f>
        <v/>
      </c>
      <c r="K78" s="6" t="str">
        <f aca="false">IF($M78=0,"",IF(INDEX('Line Detail'!$S$6:$S$505,$M78)="","",INDEX('Line Detail'!$S$6:$S$505,$M78)))</f>
        <v/>
      </c>
      <c r="L78" s="1"/>
      <c r="M78" s="63" t="n">
        <f aca="false">IFERROR(MATCH(73,'Line Detail'!$W$6:$W$505,0),0)</f>
        <v>0</v>
      </c>
    </row>
    <row r="79" customFormat="false" ht="15" hidden="false" customHeight="false" outlineLevel="0" collapsed="false">
      <c r="A79" s="13" t="str">
        <f aca="false">IF($M79=0,"",74)</f>
        <v/>
      </c>
      <c r="B79" s="13" t="str">
        <f aca="false">IF($M79=0,"",IF(INDEX('Line Detail'!$B$6:$B$505,$M79)="","",INDEX('Line Detail'!$B$6:$B$505,$M79)))</f>
        <v/>
      </c>
      <c r="C79" s="13" t="str">
        <f aca="false">IF($M79=0,"",IF(INDEX('Line Detail'!$C$6:$C$505,$M79)="","",INDEX('Line Detail'!$C$6:$C$505,$M79)))</f>
        <v/>
      </c>
      <c r="D79" s="13" t="str">
        <f aca="false">IF($M79=0,"",IF(INDEX('Line Detail'!$D$6:$D$505,$M79)="","",INDEX('Line Detail'!$D$6:$D$505,$M79)))</f>
        <v/>
      </c>
      <c r="E79" s="13" t="str">
        <f aca="false">IF($M79=0,"",IF(INDEX('Line Detail'!$E$6:$E$505,$M79)="","",INDEX('Line Detail'!$E$6:$E$505,$M79)))</f>
        <v/>
      </c>
      <c r="F79" s="6" t="str">
        <f aca="false">IF($M79=0,"",IF(INDEX('Line Detail'!$F$6:$F$505,$M79)="","",INDEX('Line Detail'!$F$6:$F$505,$M79)))</f>
        <v/>
      </c>
      <c r="G79" s="62" t="str">
        <f aca="false">IF($M79=0,"",IF(INDEX('Line Detail'!$G$6:$G$505,$M79)="","",INDEX('Line Detail'!$G$6:$G$505,$M79)))</f>
        <v/>
      </c>
      <c r="H79" s="13" t="str">
        <f aca="false">IF($M79=0,"",IF(INDEX('Line Detail'!$H$6:$H$505,$M79)="","",INDEX('Line Detail'!$H$6:$H$505,$M79)))</f>
        <v/>
      </c>
      <c r="I79" s="34" t="str">
        <f aca="false">IF($M79=0,"",IF(INDEX('Line Detail'!$O$6:$O$505,$M79)="","",INDEX('Line Detail'!$O$6:$O$505,$M79)))</f>
        <v/>
      </c>
      <c r="J79" s="34" t="str">
        <f aca="false">IF($M79=0,"",IF(INDEX('Line Detail'!$R$6:$R$505,$M79)="","",INDEX('Line Detail'!$R$6:$R$505,$M79)))</f>
        <v/>
      </c>
      <c r="K79" s="6" t="str">
        <f aca="false">IF($M79=0,"",IF(INDEX('Line Detail'!$S$6:$S$505,$M79)="","",INDEX('Line Detail'!$S$6:$S$505,$M79)))</f>
        <v/>
      </c>
      <c r="L79" s="1"/>
      <c r="M79" s="63" t="n">
        <f aca="false">IFERROR(MATCH(74,'Line Detail'!$W$6:$W$505,0),0)</f>
        <v>0</v>
      </c>
    </row>
    <row r="80" customFormat="false" ht="15" hidden="false" customHeight="false" outlineLevel="0" collapsed="false">
      <c r="A80" s="13" t="str">
        <f aca="false">IF($M80=0,"",75)</f>
        <v/>
      </c>
      <c r="B80" s="13" t="str">
        <f aca="false">IF($M80=0,"",IF(INDEX('Line Detail'!$B$6:$B$505,$M80)="","",INDEX('Line Detail'!$B$6:$B$505,$M80)))</f>
        <v/>
      </c>
      <c r="C80" s="13" t="str">
        <f aca="false">IF($M80=0,"",IF(INDEX('Line Detail'!$C$6:$C$505,$M80)="","",INDEX('Line Detail'!$C$6:$C$505,$M80)))</f>
        <v/>
      </c>
      <c r="D80" s="13" t="str">
        <f aca="false">IF($M80=0,"",IF(INDEX('Line Detail'!$D$6:$D$505,$M80)="","",INDEX('Line Detail'!$D$6:$D$505,$M80)))</f>
        <v/>
      </c>
      <c r="E80" s="13" t="str">
        <f aca="false">IF($M80=0,"",IF(INDEX('Line Detail'!$E$6:$E$505,$M80)="","",INDEX('Line Detail'!$E$6:$E$505,$M80)))</f>
        <v/>
      </c>
      <c r="F80" s="6" t="str">
        <f aca="false">IF($M80=0,"",IF(INDEX('Line Detail'!$F$6:$F$505,$M80)="","",INDEX('Line Detail'!$F$6:$F$505,$M80)))</f>
        <v/>
      </c>
      <c r="G80" s="62" t="str">
        <f aca="false">IF($M80=0,"",IF(INDEX('Line Detail'!$G$6:$G$505,$M80)="","",INDEX('Line Detail'!$G$6:$G$505,$M80)))</f>
        <v/>
      </c>
      <c r="H80" s="13" t="str">
        <f aca="false">IF($M80=0,"",IF(INDEX('Line Detail'!$H$6:$H$505,$M80)="","",INDEX('Line Detail'!$H$6:$H$505,$M80)))</f>
        <v/>
      </c>
      <c r="I80" s="34" t="str">
        <f aca="false">IF($M80=0,"",IF(INDEX('Line Detail'!$O$6:$O$505,$M80)="","",INDEX('Line Detail'!$O$6:$O$505,$M80)))</f>
        <v/>
      </c>
      <c r="J80" s="34" t="str">
        <f aca="false">IF($M80=0,"",IF(INDEX('Line Detail'!$R$6:$R$505,$M80)="","",INDEX('Line Detail'!$R$6:$R$505,$M80)))</f>
        <v/>
      </c>
      <c r="K80" s="6" t="str">
        <f aca="false">IF($M80=0,"",IF(INDEX('Line Detail'!$S$6:$S$505,$M80)="","",INDEX('Line Detail'!$S$6:$S$505,$M80)))</f>
        <v/>
      </c>
      <c r="L80" s="1"/>
      <c r="M80" s="63" t="n">
        <f aca="false">IFERROR(MATCH(75,'Line Detail'!$W$6:$W$505,0),0)</f>
        <v>0</v>
      </c>
    </row>
    <row r="81" customFormat="false" ht="15" hidden="false" customHeight="false" outlineLevel="0" collapsed="false">
      <c r="A81" s="13" t="str">
        <f aca="false">IF($M81=0,"",76)</f>
        <v/>
      </c>
      <c r="B81" s="13" t="str">
        <f aca="false">IF($M81=0,"",IF(INDEX('Line Detail'!$B$6:$B$505,$M81)="","",INDEX('Line Detail'!$B$6:$B$505,$M81)))</f>
        <v/>
      </c>
      <c r="C81" s="13" t="str">
        <f aca="false">IF($M81=0,"",IF(INDEX('Line Detail'!$C$6:$C$505,$M81)="","",INDEX('Line Detail'!$C$6:$C$505,$M81)))</f>
        <v/>
      </c>
      <c r="D81" s="13" t="str">
        <f aca="false">IF($M81=0,"",IF(INDEX('Line Detail'!$D$6:$D$505,$M81)="","",INDEX('Line Detail'!$D$6:$D$505,$M81)))</f>
        <v/>
      </c>
      <c r="E81" s="13" t="str">
        <f aca="false">IF($M81=0,"",IF(INDEX('Line Detail'!$E$6:$E$505,$M81)="","",INDEX('Line Detail'!$E$6:$E$505,$M81)))</f>
        <v/>
      </c>
      <c r="F81" s="6" t="str">
        <f aca="false">IF($M81=0,"",IF(INDEX('Line Detail'!$F$6:$F$505,$M81)="","",INDEX('Line Detail'!$F$6:$F$505,$M81)))</f>
        <v/>
      </c>
      <c r="G81" s="62" t="str">
        <f aca="false">IF($M81=0,"",IF(INDEX('Line Detail'!$G$6:$G$505,$M81)="","",INDEX('Line Detail'!$G$6:$G$505,$M81)))</f>
        <v/>
      </c>
      <c r="H81" s="13" t="str">
        <f aca="false">IF($M81=0,"",IF(INDEX('Line Detail'!$H$6:$H$505,$M81)="","",INDEX('Line Detail'!$H$6:$H$505,$M81)))</f>
        <v/>
      </c>
      <c r="I81" s="34" t="str">
        <f aca="false">IF($M81=0,"",IF(INDEX('Line Detail'!$O$6:$O$505,$M81)="","",INDEX('Line Detail'!$O$6:$O$505,$M81)))</f>
        <v/>
      </c>
      <c r="J81" s="34" t="str">
        <f aca="false">IF($M81=0,"",IF(INDEX('Line Detail'!$R$6:$R$505,$M81)="","",INDEX('Line Detail'!$R$6:$R$505,$M81)))</f>
        <v/>
      </c>
      <c r="K81" s="6" t="str">
        <f aca="false">IF($M81=0,"",IF(INDEX('Line Detail'!$S$6:$S$505,$M81)="","",INDEX('Line Detail'!$S$6:$S$505,$M81)))</f>
        <v/>
      </c>
      <c r="L81" s="1"/>
      <c r="M81" s="63" t="n">
        <f aca="false">IFERROR(MATCH(76,'Line Detail'!$W$6:$W$505,0),0)</f>
        <v>0</v>
      </c>
    </row>
    <row r="82" customFormat="false" ht="15" hidden="false" customHeight="false" outlineLevel="0" collapsed="false">
      <c r="A82" s="13" t="str">
        <f aca="false">IF($M82=0,"",77)</f>
        <v/>
      </c>
      <c r="B82" s="13" t="str">
        <f aca="false">IF($M82=0,"",IF(INDEX('Line Detail'!$B$6:$B$505,$M82)="","",INDEX('Line Detail'!$B$6:$B$505,$M82)))</f>
        <v/>
      </c>
      <c r="C82" s="13" t="str">
        <f aca="false">IF($M82=0,"",IF(INDEX('Line Detail'!$C$6:$C$505,$M82)="","",INDEX('Line Detail'!$C$6:$C$505,$M82)))</f>
        <v/>
      </c>
      <c r="D82" s="13" t="str">
        <f aca="false">IF($M82=0,"",IF(INDEX('Line Detail'!$D$6:$D$505,$M82)="","",INDEX('Line Detail'!$D$6:$D$505,$M82)))</f>
        <v/>
      </c>
      <c r="E82" s="13" t="str">
        <f aca="false">IF($M82=0,"",IF(INDEX('Line Detail'!$E$6:$E$505,$M82)="","",INDEX('Line Detail'!$E$6:$E$505,$M82)))</f>
        <v/>
      </c>
      <c r="F82" s="6" t="str">
        <f aca="false">IF($M82=0,"",IF(INDEX('Line Detail'!$F$6:$F$505,$M82)="","",INDEX('Line Detail'!$F$6:$F$505,$M82)))</f>
        <v/>
      </c>
      <c r="G82" s="62" t="str">
        <f aca="false">IF($M82=0,"",IF(INDEX('Line Detail'!$G$6:$G$505,$M82)="","",INDEX('Line Detail'!$G$6:$G$505,$M82)))</f>
        <v/>
      </c>
      <c r="H82" s="13" t="str">
        <f aca="false">IF($M82=0,"",IF(INDEX('Line Detail'!$H$6:$H$505,$M82)="","",INDEX('Line Detail'!$H$6:$H$505,$M82)))</f>
        <v/>
      </c>
      <c r="I82" s="34" t="str">
        <f aca="false">IF($M82=0,"",IF(INDEX('Line Detail'!$O$6:$O$505,$M82)="","",INDEX('Line Detail'!$O$6:$O$505,$M82)))</f>
        <v/>
      </c>
      <c r="J82" s="34" t="str">
        <f aca="false">IF($M82=0,"",IF(INDEX('Line Detail'!$R$6:$R$505,$M82)="","",INDEX('Line Detail'!$R$6:$R$505,$M82)))</f>
        <v/>
      </c>
      <c r="K82" s="6" t="str">
        <f aca="false">IF($M82=0,"",IF(INDEX('Line Detail'!$S$6:$S$505,$M82)="","",INDEX('Line Detail'!$S$6:$S$505,$M82)))</f>
        <v/>
      </c>
      <c r="L82" s="1"/>
      <c r="M82" s="63" t="n">
        <f aca="false">IFERROR(MATCH(77,'Line Detail'!$W$6:$W$505,0),0)</f>
        <v>0</v>
      </c>
    </row>
    <row r="83" customFormat="false" ht="15" hidden="false" customHeight="false" outlineLevel="0" collapsed="false">
      <c r="A83" s="13" t="str">
        <f aca="false">IF($M83=0,"",78)</f>
        <v/>
      </c>
      <c r="B83" s="13" t="str">
        <f aca="false">IF($M83=0,"",IF(INDEX('Line Detail'!$B$6:$B$505,$M83)="","",INDEX('Line Detail'!$B$6:$B$505,$M83)))</f>
        <v/>
      </c>
      <c r="C83" s="13" t="str">
        <f aca="false">IF($M83=0,"",IF(INDEX('Line Detail'!$C$6:$C$505,$M83)="","",INDEX('Line Detail'!$C$6:$C$505,$M83)))</f>
        <v/>
      </c>
      <c r="D83" s="13" t="str">
        <f aca="false">IF($M83=0,"",IF(INDEX('Line Detail'!$D$6:$D$505,$M83)="","",INDEX('Line Detail'!$D$6:$D$505,$M83)))</f>
        <v/>
      </c>
      <c r="E83" s="13" t="str">
        <f aca="false">IF($M83=0,"",IF(INDEX('Line Detail'!$E$6:$E$505,$M83)="","",INDEX('Line Detail'!$E$6:$E$505,$M83)))</f>
        <v/>
      </c>
      <c r="F83" s="6" t="str">
        <f aca="false">IF($M83=0,"",IF(INDEX('Line Detail'!$F$6:$F$505,$M83)="","",INDEX('Line Detail'!$F$6:$F$505,$M83)))</f>
        <v/>
      </c>
      <c r="G83" s="62" t="str">
        <f aca="false">IF($M83=0,"",IF(INDEX('Line Detail'!$G$6:$G$505,$M83)="","",INDEX('Line Detail'!$G$6:$G$505,$M83)))</f>
        <v/>
      </c>
      <c r="H83" s="13" t="str">
        <f aca="false">IF($M83=0,"",IF(INDEX('Line Detail'!$H$6:$H$505,$M83)="","",INDEX('Line Detail'!$H$6:$H$505,$M83)))</f>
        <v/>
      </c>
      <c r="I83" s="34" t="str">
        <f aca="false">IF($M83=0,"",IF(INDEX('Line Detail'!$O$6:$O$505,$M83)="","",INDEX('Line Detail'!$O$6:$O$505,$M83)))</f>
        <v/>
      </c>
      <c r="J83" s="34" t="str">
        <f aca="false">IF($M83=0,"",IF(INDEX('Line Detail'!$R$6:$R$505,$M83)="","",INDEX('Line Detail'!$R$6:$R$505,$M83)))</f>
        <v/>
      </c>
      <c r="K83" s="6" t="str">
        <f aca="false">IF($M83=0,"",IF(INDEX('Line Detail'!$S$6:$S$505,$M83)="","",INDEX('Line Detail'!$S$6:$S$505,$M83)))</f>
        <v/>
      </c>
      <c r="L83" s="1"/>
      <c r="M83" s="63" t="n">
        <f aca="false">IFERROR(MATCH(78,'Line Detail'!$W$6:$W$505,0),0)</f>
        <v>0</v>
      </c>
    </row>
    <row r="84" customFormat="false" ht="15" hidden="false" customHeight="false" outlineLevel="0" collapsed="false">
      <c r="A84" s="13" t="str">
        <f aca="false">IF($M84=0,"",79)</f>
        <v/>
      </c>
      <c r="B84" s="13" t="str">
        <f aca="false">IF($M84=0,"",IF(INDEX('Line Detail'!$B$6:$B$505,$M84)="","",INDEX('Line Detail'!$B$6:$B$505,$M84)))</f>
        <v/>
      </c>
      <c r="C84" s="13" t="str">
        <f aca="false">IF($M84=0,"",IF(INDEX('Line Detail'!$C$6:$C$505,$M84)="","",INDEX('Line Detail'!$C$6:$C$505,$M84)))</f>
        <v/>
      </c>
      <c r="D84" s="13" t="str">
        <f aca="false">IF($M84=0,"",IF(INDEX('Line Detail'!$D$6:$D$505,$M84)="","",INDEX('Line Detail'!$D$6:$D$505,$M84)))</f>
        <v/>
      </c>
      <c r="E84" s="13" t="str">
        <f aca="false">IF($M84=0,"",IF(INDEX('Line Detail'!$E$6:$E$505,$M84)="","",INDEX('Line Detail'!$E$6:$E$505,$M84)))</f>
        <v/>
      </c>
      <c r="F84" s="6" t="str">
        <f aca="false">IF($M84=0,"",IF(INDEX('Line Detail'!$F$6:$F$505,$M84)="","",INDEX('Line Detail'!$F$6:$F$505,$M84)))</f>
        <v/>
      </c>
      <c r="G84" s="62" t="str">
        <f aca="false">IF($M84=0,"",IF(INDEX('Line Detail'!$G$6:$G$505,$M84)="","",INDEX('Line Detail'!$G$6:$G$505,$M84)))</f>
        <v/>
      </c>
      <c r="H84" s="13" t="str">
        <f aca="false">IF($M84=0,"",IF(INDEX('Line Detail'!$H$6:$H$505,$M84)="","",INDEX('Line Detail'!$H$6:$H$505,$M84)))</f>
        <v/>
      </c>
      <c r="I84" s="34" t="str">
        <f aca="false">IF($M84=0,"",IF(INDEX('Line Detail'!$O$6:$O$505,$M84)="","",INDEX('Line Detail'!$O$6:$O$505,$M84)))</f>
        <v/>
      </c>
      <c r="J84" s="34" t="str">
        <f aca="false">IF($M84=0,"",IF(INDEX('Line Detail'!$R$6:$R$505,$M84)="","",INDEX('Line Detail'!$R$6:$R$505,$M84)))</f>
        <v/>
      </c>
      <c r="K84" s="6" t="str">
        <f aca="false">IF($M84=0,"",IF(INDEX('Line Detail'!$S$6:$S$505,$M84)="","",INDEX('Line Detail'!$S$6:$S$505,$M84)))</f>
        <v/>
      </c>
      <c r="L84" s="1"/>
      <c r="M84" s="63" t="n">
        <f aca="false">IFERROR(MATCH(79,'Line Detail'!$W$6:$W$505,0),0)</f>
        <v>0</v>
      </c>
    </row>
    <row r="85" customFormat="false" ht="15" hidden="false" customHeight="false" outlineLevel="0" collapsed="false">
      <c r="A85" s="13" t="str">
        <f aca="false">IF($M85=0,"",80)</f>
        <v/>
      </c>
      <c r="B85" s="13" t="str">
        <f aca="false">IF($M85=0,"",IF(INDEX('Line Detail'!$B$6:$B$505,$M85)="","",INDEX('Line Detail'!$B$6:$B$505,$M85)))</f>
        <v/>
      </c>
      <c r="C85" s="13" t="str">
        <f aca="false">IF($M85=0,"",IF(INDEX('Line Detail'!$C$6:$C$505,$M85)="","",INDEX('Line Detail'!$C$6:$C$505,$M85)))</f>
        <v/>
      </c>
      <c r="D85" s="13" t="str">
        <f aca="false">IF($M85=0,"",IF(INDEX('Line Detail'!$D$6:$D$505,$M85)="","",INDEX('Line Detail'!$D$6:$D$505,$M85)))</f>
        <v/>
      </c>
      <c r="E85" s="13" t="str">
        <f aca="false">IF($M85=0,"",IF(INDEX('Line Detail'!$E$6:$E$505,$M85)="","",INDEX('Line Detail'!$E$6:$E$505,$M85)))</f>
        <v/>
      </c>
      <c r="F85" s="6" t="str">
        <f aca="false">IF($M85=0,"",IF(INDEX('Line Detail'!$F$6:$F$505,$M85)="","",INDEX('Line Detail'!$F$6:$F$505,$M85)))</f>
        <v/>
      </c>
      <c r="G85" s="62" t="str">
        <f aca="false">IF($M85=0,"",IF(INDEX('Line Detail'!$G$6:$G$505,$M85)="","",INDEX('Line Detail'!$G$6:$G$505,$M85)))</f>
        <v/>
      </c>
      <c r="H85" s="13" t="str">
        <f aca="false">IF($M85=0,"",IF(INDEX('Line Detail'!$H$6:$H$505,$M85)="","",INDEX('Line Detail'!$H$6:$H$505,$M85)))</f>
        <v/>
      </c>
      <c r="I85" s="34" t="str">
        <f aca="false">IF($M85=0,"",IF(INDEX('Line Detail'!$O$6:$O$505,$M85)="","",INDEX('Line Detail'!$O$6:$O$505,$M85)))</f>
        <v/>
      </c>
      <c r="J85" s="34" t="str">
        <f aca="false">IF($M85=0,"",IF(INDEX('Line Detail'!$R$6:$R$505,$M85)="","",INDEX('Line Detail'!$R$6:$R$505,$M85)))</f>
        <v/>
      </c>
      <c r="K85" s="6" t="str">
        <f aca="false">IF($M85=0,"",IF(INDEX('Line Detail'!$S$6:$S$505,$M85)="","",INDEX('Line Detail'!$S$6:$S$505,$M85)))</f>
        <v/>
      </c>
      <c r="L85" s="1"/>
      <c r="M85" s="63" t="n">
        <f aca="false">IFERROR(MATCH(80,'Line Detail'!$W$6:$W$505,0),0)</f>
        <v>0</v>
      </c>
    </row>
    <row r="86" customFormat="false" ht="15" hidden="false" customHeight="false" outlineLevel="0" collapsed="false">
      <c r="A86" s="13" t="str">
        <f aca="false">IF($M86=0,"",81)</f>
        <v/>
      </c>
      <c r="B86" s="13" t="str">
        <f aca="false">IF($M86=0,"",IF(INDEX('Line Detail'!$B$6:$B$505,$M86)="","",INDEX('Line Detail'!$B$6:$B$505,$M86)))</f>
        <v/>
      </c>
      <c r="C86" s="13" t="str">
        <f aca="false">IF($M86=0,"",IF(INDEX('Line Detail'!$C$6:$C$505,$M86)="","",INDEX('Line Detail'!$C$6:$C$505,$M86)))</f>
        <v/>
      </c>
      <c r="D86" s="13" t="str">
        <f aca="false">IF($M86=0,"",IF(INDEX('Line Detail'!$D$6:$D$505,$M86)="","",INDEX('Line Detail'!$D$6:$D$505,$M86)))</f>
        <v/>
      </c>
      <c r="E86" s="13" t="str">
        <f aca="false">IF($M86=0,"",IF(INDEX('Line Detail'!$E$6:$E$505,$M86)="","",INDEX('Line Detail'!$E$6:$E$505,$M86)))</f>
        <v/>
      </c>
      <c r="F86" s="6" t="str">
        <f aca="false">IF($M86=0,"",IF(INDEX('Line Detail'!$F$6:$F$505,$M86)="","",INDEX('Line Detail'!$F$6:$F$505,$M86)))</f>
        <v/>
      </c>
      <c r="G86" s="62" t="str">
        <f aca="false">IF($M86=0,"",IF(INDEX('Line Detail'!$G$6:$G$505,$M86)="","",INDEX('Line Detail'!$G$6:$G$505,$M86)))</f>
        <v/>
      </c>
      <c r="H86" s="13" t="str">
        <f aca="false">IF($M86=0,"",IF(INDEX('Line Detail'!$H$6:$H$505,$M86)="","",INDEX('Line Detail'!$H$6:$H$505,$M86)))</f>
        <v/>
      </c>
      <c r="I86" s="34" t="str">
        <f aca="false">IF($M86=0,"",IF(INDEX('Line Detail'!$O$6:$O$505,$M86)="","",INDEX('Line Detail'!$O$6:$O$505,$M86)))</f>
        <v/>
      </c>
      <c r="J86" s="34" t="str">
        <f aca="false">IF($M86=0,"",IF(INDEX('Line Detail'!$R$6:$R$505,$M86)="","",INDEX('Line Detail'!$R$6:$R$505,$M86)))</f>
        <v/>
      </c>
      <c r="K86" s="6" t="str">
        <f aca="false">IF($M86=0,"",IF(INDEX('Line Detail'!$S$6:$S$505,$M86)="","",INDEX('Line Detail'!$S$6:$S$505,$M86)))</f>
        <v/>
      </c>
      <c r="L86" s="1"/>
      <c r="M86" s="63" t="n">
        <f aca="false">IFERROR(MATCH(81,'Line Detail'!$W$6:$W$505,0),0)</f>
        <v>0</v>
      </c>
    </row>
    <row r="87" customFormat="false" ht="15" hidden="false" customHeight="false" outlineLevel="0" collapsed="false">
      <c r="A87" s="13" t="str">
        <f aca="false">IF($M87=0,"",82)</f>
        <v/>
      </c>
      <c r="B87" s="13" t="str">
        <f aca="false">IF($M87=0,"",IF(INDEX('Line Detail'!$B$6:$B$505,$M87)="","",INDEX('Line Detail'!$B$6:$B$505,$M87)))</f>
        <v/>
      </c>
      <c r="C87" s="13" t="str">
        <f aca="false">IF($M87=0,"",IF(INDEX('Line Detail'!$C$6:$C$505,$M87)="","",INDEX('Line Detail'!$C$6:$C$505,$M87)))</f>
        <v/>
      </c>
      <c r="D87" s="13" t="str">
        <f aca="false">IF($M87=0,"",IF(INDEX('Line Detail'!$D$6:$D$505,$M87)="","",INDEX('Line Detail'!$D$6:$D$505,$M87)))</f>
        <v/>
      </c>
      <c r="E87" s="13" t="str">
        <f aca="false">IF($M87=0,"",IF(INDEX('Line Detail'!$E$6:$E$505,$M87)="","",INDEX('Line Detail'!$E$6:$E$505,$M87)))</f>
        <v/>
      </c>
      <c r="F87" s="6" t="str">
        <f aca="false">IF($M87=0,"",IF(INDEX('Line Detail'!$F$6:$F$505,$M87)="","",INDEX('Line Detail'!$F$6:$F$505,$M87)))</f>
        <v/>
      </c>
      <c r="G87" s="62" t="str">
        <f aca="false">IF($M87=0,"",IF(INDEX('Line Detail'!$G$6:$G$505,$M87)="","",INDEX('Line Detail'!$G$6:$G$505,$M87)))</f>
        <v/>
      </c>
      <c r="H87" s="13" t="str">
        <f aca="false">IF($M87=0,"",IF(INDEX('Line Detail'!$H$6:$H$505,$M87)="","",INDEX('Line Detail'!$H$6:$H$505,$M87)))</f>
        <v/>
      </c>
      <c r="I87" s="34" t="str">
        <f aca="false">IF($M87=0,"",IF(INDEX('Line Detail'!$O$6:$O$505,$M87)="","",INDEX('Line Detail'!$O$6:$O$505,$M87)))</f>
        <v/>
      </c>
      <c r="J87" s="34" t="str">
        <f aca="false">IF($M87=0,"",IF(INDEX('Line Detail'!$R$6:$R$505,$M87)="","",INDEX('Line Detail'!$R$6:$R$505,$M87)))</f>
        <v/>
      </c>
      <c r="K87" s="6" t="str">
        <f aca="false">IF($M87=0,"",IF(INDEX('Line Detail'!$S$6:$S$505,$M87)="","",INDEX('Line Detail'!$S$6:$S$505,$M87)))</f>
        <v/>
      </c>
      <c r="L87" s="1"/>
      <c r="M87" s="63" t="n">
        <f aca="false">IFERROR(MATCH(82,'Line Detail'!$W$6:$W$505,0),0)</f>
        <v>0</v>
      </c>
    </row>
    <row r="88" customFormat="false" ht="15" hidden="false" customHeight="false" outlineLevel="0" collapsed="false">
      <c r="A88" s="13" t="str">
        <f aca="false">IF($M88=0,"",83)</f>
        <v/>
      </c>
      <c r="B88" s="13" t="str">
        <f aca="false">IF($M88=0,"",IF(INDEX('Line Detail'!$B$6:$B$505,$M88)="","",INDEX('Line Detail'!$B$6:$B$505,$M88)))</f>
        <v/>
      </c>
      <c r="C88" s="13" t="str">
        <f aca="false">IF($M88=0,"",IF(INDEX('Line Detail'!$C$6:$C$505,$M88)="","",INDEX('Line Detail'!$C$6:$C$505,$M88)))</f>
        <v/>
      </c>
      <c r="D88" s="13" t="str">
        <f aca="false">IF($M88=0,"",IF(INDEX('Line Detail'!$D$6:$D$505,$M88)="","",INDEX('Line Detail'!$D$6:$D$505,$M88)))</f>
        <v/>
      </c>
      <c r="E88" s="13" t="str">
        <f aca="false">IF($M88=0,"",IF(INDEX('Line Detail'!$E$6:$E$505,$M88)="","",INDEX('Line Detail'!$E$6:$E$505,$M88)))</f>
        <v/>
      </c>
      <c r="F88" s="6" t="str">
        <f aca="false">IF($M88=0,"",IF(INDEX('Line Detail'!$F$6:$F$505,$M88)="","",INDEX('Line Detail'!$F$6:$F$505,$M88)))</f>
        <v/>
      </c>
      <c r="G88" s="62" t="str">
        <f aca="false">IF($M88=0,"",IF(INDEX('Line Detail'!$G$6:$G$505,$M88)="","",INDEX('Line Detail'!$G$6:$G$505,$M88)))</f>
        <v/>
      </c>
      <c r="H88" s="13" t="str">
        <f aca="false">IF($M88=0,"",IF(INDEX('Line Detail'!$H$6:$H$505,$M88)="","",INDEX('Line Detail'!$H$6:$H$505,$M88)))</f>
        <v/>
      </c>
      <c r="I88" s="34" t="str">
        <f aca="false">IF($M88=0,"",IF(INDEX('Line Detail'!$O$6:$O$505,$M88)="","",INDEX('Line Detail'!$O$6:$O$505,$M88)))</f>
        <v/>
      </c>
      <c r="J88" s="34" t="str">
        <f aca="false">IF($M88=0,"",IF(INDEX('Line Detail'!$R$6:$R$505,$M88)="","",INDEX('Line Detail'!$R$6:$R$505,$M88)))</f>
        <v/>
      </c>
      <c r="K88" s="6" t="str">
        <f aca="false">IF($M88=0,"",IF(INDEX('Line Detail'!$S$6:$S$505,$M88)="","",INDEX('Line Detail'!$S$6:$S$505,$M88)))</f>
        <v/>
      </c>
      <c r="L88" s="1"/>
      <c r="M88" s="63" t="n">
        <f aca="false">IFERROR(MATCH(83,'Line Detail'!$W$6:$W$505,0),0)</f>
        <v>0</v>
      </c>
    </row>
    <row r="89" customFormat="false" ht="15" hidden="false" customHeight="false" outlineLevel="0" collapsed="false">
      <c r="A89" s="13" t="str">
        <f aca="false">IF($M89=0,"",84)</f>
        <v/>
      </c>
      <c r="B89" s="13" t="str">
        <f aca="false">IF($M89=0,"",IF(INDEX('Line Detail'!$B$6:$B$505,$M89)="","",INDEX('Line Detail'!$B$6:$B$505,$M89)))</f>
        <v/>
      </c>
      <c r="C89" s="13" t="str">
        <f aca="false">IF($M89=0,"",IF(INDEX('Line Detail'!$C$6:$C$505,$M89)="","",INDEX('Line Detail'!$C$6:$C$505,$M89)))</f>
        <v/>
      </c>
      <c r="D89" s="13" t="str">
        <f aca="false">IF($M89=0,"",IF(INDEX('Line Detail'!$D$6:$D$505,$M89)="","",INDEX('Line Detail'!$D$6:$D$505,$M89)))</f>
        <v/>
      </c>
      <c r="E89" s="13" t="str">
        <f aca="false">IF($M89=0,"",IF(INDEX('Line Detail'!$E$6:$E$505,$M89)="","",INDEX('Line Detail'!$E$6:$E$505,$M89)))</f>
        <v/>
      </c>
      <c r="F89" s="6" t="str">
        <f aca="false">IF($M89=0,"",IF(INDEX('Line Detail'!$F$6:$F$505,$M89)="","",INDEX('Line Detail'!$F$6:$F$505,$M89)))</f>
        <v/>
      </c>
      <c r="G89" s="62" t="str">
        <f aca="false">IF($M89=0,"",IF(INDEX('Line Detail'!$G$6:$G$505,$M89)="","",INDEX('Line Detail'!$G$6:$G$505,$M89)))</f>
        <v/>
      </c>
      <c r="H89" s="13" t="str">
        <f aca="false">IF($M89=0,"",IF(INDEX('Line Detail'!$H$6:$H$505,$M89)="","",INDEX('Line Detail'!$H$6:$H$505,$M89)))</f>
        <v/>
      </c>
      <c r="I89" s="34" t="str">
        <f aca="false">IF($M89=0,"",IF(INDEX('Line Detail'!$O$6:$O$505,$M89)="","",INDEX('Line Detail'!$O$6:$O$505,$M89)))</f>
        <v/>
      </c>
      <c r="J89" s="34" t="str">
        <f aca="false">IF($M89=0,"",IF(INDEX('Line Detail'!$R$6:$R$505,$M89)="","",INDEX('Line Detail'!$R$6:$R$505,$M89)))</f>
        <v/>
      </c>
      <c r="K89" s="6" t="str">
        <f aca="false">IF($M89=0,"",IF(INDEX('Line Detail'!$S$6:$S$505,$M89)="","",INDEX('Line Detail'!$S$6:$S$505,$M89)))</f>
        <v/>
      </c>
      <c r="L89" s="1"/>
      <c r="M89" s="63" t="n">
        <f aca="false">IFERROR(MATCH(84,'Line Detail'!$W$6:$W$505,0),0)</f>
        <v>0</v>
      </c>
    </row>
    <row r="90" customFormat="false" ht="15" hidden="false" customHeight="false" outlineLevel="0" collapsed="false">
      <c r="A90" s="13" t="str">
        <f aca="false">IF($M90=0,"",85)</f>
        <v/>
      </c>
      <c r="B90" s="13" t="str">
        <f aca="false">IF($M90=0,"",IF(INDEX('Line Detail'!$B$6:$B$505,$M90)="","",INDEX('Line Detail'!$B$6:$B$505,$M90)))</f>
        <v/>
      </c>
      <c r="C90" s="13" t="str">
        <f aca="false">IF($M90=0,"",IF(INDEX('Line Detail'!$C$6:$C$505,$M90)="","",INDEX('Line Detail'!$C$6:$C$505,$M90)))</f>
        <v/>
      </c>
      <c r="D90" s="13" t="str">
        <f aca="false">IF($M90=0,"",IF(INDEX('Line Detail'!$D$6:$D$505,$M90)="","",INDEX('Line Detail'!$D$6:$D$505,$M90)))</f>
        <v/>
      </c>
      <c r="E90" s="13" t="str">
        <f aca="false">IF($M90=0,"",IF(INDEX('Line Detail'!$E$6:$E$505,$M90)="","",INDEX('Line Detail'!$E$6:$E$505,$M90)))</f>
        <v/>
      </c>
      <c r="F90" s="6" t="str">
        <f aca="false">IF($M90=0,"",IF(INDEX('Line Detail'!$F$6:$F$505,$M90)="","",INDEX('Line Detail'!$F$6:$F$505,$M90)))</f>
        <v/>
      </c>
      <c r="G90" s="62" t="str">
        <f aca="false">IF($M90=0,"",IF(INDEX('Line Detail'!$G$6:$G$505,$M90)="","",INDEX('Line Detail'!$G$6:$G$505,$M90)))</f>
        <v/>
      </c>
      <c r="H90" s="13" t="str">
        <f aca="false">IF($M90=0,"",IF(INDEX('Line Detail'!$H$6:$H$505,$M90)="","",INDEX('Line Detail'!$H$6:$H$505,$M90)))</f>
        <v/>
      </c>
      <c r="I90" s="34" t="str">
        <f aca="false">IF($M90=0,"",IF(INDEX('Line Detail'!$O$6:$O$505,$M90)="","",INDEX('Line Detail'!$O$6:$O$505,$M90)))</f>
        <v/>
      </c>
      <c r="J90" s="34" t="str">
        <f aca="false">IF($M90=0,"",IF(INDEX('Line Detail'!$R$6:$R$505,$M90)="","",INDEX('Line Detail'!$R$6:$R$505,$M90)))</f>
        <v/>
      </c>
      <c r="K90" s="6" t="str">
        <f aca="false">IF($M90=0,"",IF(INDEX('Line Detail'!$S$6:$S$505,$M90)="","",INDEX('Line Detail'!$S$6:$S$505,$M90)))</f>
        <v/>
      </c>
      <c r="L90" s="1"/>
      <c r="M90" s="63" t="n">
        <f aca="false">IFERROR(MATCH(85,'Line Detail'!$W$6:$W$505,0),0)</f>
        <v>0</v>
      </c>
    </row>
    <row r="91" customFormat="false" ht="15" hidden="false" customHeight="false" outlineLevel="0" collapsed="false">
      <c r="A91" s="13" t="str">
        <f aca="false">IF($M91=0,"",86)</f>
        <v/>
      </c>
      <c r="B91" s="13" t="str">
        <f aca="false">IF($M91=0,"",IF(INDEX('Line Detail'!$B$6:$B$505,$M91)="","",INDEX('Line Detail'!$B$6:$B$505,$M91)))</f>
        <v/>
      </c>
      <c r="C91" s="13" t="str">
        <f aca="false">IF($M91=0,"",IF(INDEX('Line Detail'!$C$6:$C$505,$M91)="","",INDEX('Line Detail'!$C$6:$C$505,$M91)))</f>
        <v/>
      </c>
      <c r="D91" s="13" t="str">
        <f aca="false">IF($M91=0,"",IF(INDEX('Line Detail'!$D$6:$D$505,$M91)="","",INDEX('Line Detail'!$D$6:$D$505,$M91)))</f>
        <v/>
      </c>
      <c r="E91" s="13" t="str">
        <f aca="false">IF($M91=0,"",IF(INDEX('Line Detail'!$E$6:$E$505,$M91)="","",INDEX('Line Detail'!$E$6:$E$505,$M91)))</f>
        <v/>
      </c>
      <c r="F91" s="6" t="str">
        <f aca="false">IF($M91=0,"",IF(INDEX('Line Detail'!$F$6:$F$505,$M91)="","",INDEX('Line Detail'!$F$6:$F$505,$M91)))</f>
        <v/>
      </c>
      <c r="G91" s="62" t="str">
        <f aca="false">IF($M91=0,"",IF(INDEX('Line Detail'!$G$6:$G$505,$M91)="","",INDEX('Line Detail'!$G$6:$G$505,$M91)))</f>
        <v/>
      </c>
      <c r="H91" s="13" t="str">
        <f aca="false">IF($M91=0,"",IF(INDEX('Line Detail'!$H$6:$H$505,$M91)="","",INDEX('Line Detail'!$H$6:$H$505,$M91)))</f>
        <v/>
      </c>
      <c r="I91" s="34" t="str">
        <f aca="false">IF($M91=0,"",IF(INDEX('Line Detail'!$O$6:$O$505,$M91)="","",INDEX('Line Detail'!$O$6:$O$505,$M91)))</f>
        <v/>
      </c>
      <c r="J91" s="34" t="str">
        <f aca="false">IF($M91=0,"",IF(INDEX('Line Detail'!$R$6:$R$505,$M91)="","",INDEX('Line Detail'!$R$6:$R$505,$M91)))</f>
        <v/>
      </c>
      <c r="K91" s="6" t="str">
        <f aca="false">IF($M91=0,"",IF(INDEX('Line Detail'!$S$6:$S$505,$M91)="","",INDEX('Line Detail'!$S$6:$S$505,$M91)))</f>
        <v/>
      </c>
      <c r="L91" s="1"/>
      <c r="M91" s="63" t="n">
        <f aca="false">IFERROR(MATCH(86,'Line Detail'!$W$6:$W$505,0),0)</f>
        <v>0</v>
      </c>
    </row>
    <row r="92" customFormat="false" ht="15" hidden="false" customHeight="false" outlineLevel="0" collapsed="false">
      <c r="A92" s="13" t="str">
        <f aca="false">IF($M92=0,"",87)</f>
        <v/>
      </c>
      <c r="B92" s="13" t="str">
        <f aca="false">IF($M92=0,"",IF(INDEX('Line Detail'!$B$6:$B$505,$M92)="","",INDEX('Line Detail'!$B$6:$B$505,$M92)))</f>
        <v/>
      </c>
      <c r="C92" s="13" t="str">
        <f aca="false">IF($M92=0,"",IF(INDEX('Line Detail'!$C$6:$C$505,$M92)="","",INDEX('Line Detail'!$C$6:$C$505,$M92)))</f>
        <v/>
      </c>
      <c r="D92" s="13" t="str">
        <f aca="false">IF($M92=0,"",IF(INDEX('Line Detail'!$D$6:$D$505,$M92)="","",INDEX('Line Detail'!$D$6:$D$505,$M92)))</f>
        <v/>
      </c>
      <c r="E92" s="13" t="str">
        <f aca="false">IF($M92=0,"",IF(INDEX('Line Detail'!$E$6:$E$505,$M92)="","",INDEX('Line Detail'!$E$6:$E$505,$M92)))</f>
        <v/>
      </c>
      <c r="F92" s="6" t="str">
        <f aca="false">IF($M92=0,"",IF(INDEX('Line Detail'!$F$6:$F$505,$M92)="","",INDEX('Line Detail'!$F$6:$F$505,$M92)))</f>
        <v/>
      </c>
      <c r="G92" s="62" t="str">
        <f aca="false">IF($M92=0,"",IF(INDEX('Line Detail'!$G$6:$G$505,$M92)="","",INDEX('Line Detail'!$G$6:$G$505,$M92)))</f>
        <v/>
      </c>
      <c r="H92" s="13" t="str">
        <f aca="false">IF($M92=0,"",IF(INDEX('Line Detail'!$H$6:$H$505,$M92)="","",INDEX('Line Detail'!$H$6:$H$505,$M92)))</f>
        <v/>
      </c>
      <c r="I92" s="34" t="str">
        <f aca="false">IF($M92=0,"",IF(INDEX('Line Detail'!$O$6:$O$505,$M92)="","",INDEX('Line Detail'!$O$6:$O$505,$M92)))</f>
        <v/>
      </c>
      <c r="J92" s="34" t="str">
        <f aca="false">IF($M92=0,"",IF(INDEX('Line Detail'!$R$6:$R$505,$M92)="","",INDEX('Line Detail'!$R$6:$R$505,$M92)))</f>
        <v/>
      </c>
      <c r="K92" s="6" t="str">
        <f aca="false">IF($M92=0,"",IF(INDEX('Line Detail'!$S$6:$S$505,$M92)="","",INDEX('Line Detail'!$S$6:$S$505,$M92)))</f>
        <v/>
      </c>
      <c r="L92" s="1"/>
      <c r="M92" s="63" t="n">
        <f aca="false">IFERROR(MATCH(87,'Line Detail'!$W$6:$W$505,0),0)</f>
        <v>0</v>
      </c>
    </row>
    <row r="93" customFormat="false" ht="15" hidden="false" customHeight="false" outlineLevel="0" collapsed="false">
      <c r="A93" s="13" t="str">
        <f aca="false">IF($M93=0,"",88)</f>
        <v/>
      </c>
      <c r="B93" s="13" t="str">
        <f aca="false">IF($M93=0,"",IF(INDEX('Line Detail'!$B$6:$B$505,$M93)="","",INDEX('Line Detail'!$B$6:$B$505,$M93)))</f>
        <v/>
      </c>
      <c r="C93" s="13" t="str">
        <f aca="false">IF($M93=0,"",IF(INDEX('Line Detail'!$C$6:$C$505,$M93)="","",INDEX('Line Detail'!$C$6:$C$505,$M93)))</f>
        <v/>
      </c>
      <c r="D93" s="13" t="str">
        <f aca="false">IF($M93=0,"",IF(INDEX('Line Detail'!$D$6:$D$505,$M93)="","",INDEX('Line Detail'!$D$6:$D$505,$M93)))</f>
        <v/>
      </c>
      <c r="E93" s="13" t="str">
        <f aca="false">IF($M93=0,"",IF(INDEX('Line Detail'!$E$6:$E$505,$M93)="","",INDEX('Line Detail'!$E$6:$E$505,$M93)))</f>
        <v/>
      </c>
      <c r="F93" s="6" t="str">
        <f aca="false">IF($M93=0,"",IF(INDEX('Line Detail'!$F$6:$F$505,$M93)="","",INDEX('Line Detail'!$F$6:$F$505,$M93)))</f>
        <v/>
      </c>
      <c r="G93" s="62" t="str">
        <f aca="false">IF($M93=0,"",IF(INDEX('Line Detail'!$G$6:$G$505,$M93)="","",INDEX('Line Detail'!$G$6:$G$505,$M93)))</f>
        <v/>
      </c>
      <c r="H93" s="13" t="str">
        <f aca="false">IF($M93=0,"",IF(INDEX('Line Detail'!$H$6:$H$505,$M93)="","",INDEX('Line Detail'!$H$6:$H$505,$M93)))</f>
        <v/>
      </c>
      <c r="I93" s="34" t="str">
        <f aca="false">IF($M93=0,"",IF(INDEX('Line Detail'!$O$6:$O$505,$M93)="","",INDEX('Line Detail'!$O$6:$O$505,$M93)))</f>
        <v/>
      </c>
      <c r="J93" s="34" t="str">
        <f aca="false">IF($M93=0,"",IF(INDEX('Line Detail'!$R$6:$R$505,$M93)="","",INDEX('Line Detail'!$R$6:$R$505,$M93)))</f>
        <v/>
      </c>
      <c r="K93" s="6" t="str">
        <f aca="false">IF($M93=0,"",IF(INDEX('Line Detail'!$S$6:$S$505,$M93)="","",INDEX('Line Detail'!$S$6:$S$505,$M93)))</f>
        <v/>
      </c>
      <c r="L93" s="1"/>
      <c r="M93" s="63" t="n">
        <f aca="false">IFERROR(MATCH(88,'Line Detail'!$W$6:$W$505,0),0)</f>
        <v>0</v>
      </c>
    </row>
    <row r="94" customFormat="false" ht="15" hidden="false" customHeight="false" outlineLevel="0" collapsed="false">
      <c r="A94" s="13" t="str">
        <f aca="false">IF($M94=0,"",89)</f>
        <v/>
      </c>
      <c r="B94" s="13" t="str">
        <f aca="false">IF($M94=0,"",IF(INDEX('Line Detail'!$B$6:$B$505,$M94)="","",INDEX('Line Detail'!$B$6:$B$505,$M94)))</f>
        <v/>
      </c>
      <c r="C94" s="13" t="str">
        <f aca="false">IF($M94=0,"",IF(INDEX('Line Detail'!$C$6:$C$505,$M94)="","",INDEX('Line Detail'!$C$6:$C$505,$M94)))</f>
        <v/>
      </c>
      <c r="D94" s="13" t="str">
        <f aca="false">IF($M94=0,"",IF(INDEX('Line Detail'!$D$6:$D$505,$M94)="","",INDEX('Line Detail'!$D$6:$D$505,$M94)))</f>
        <v/>
      </c>
      <c r="E94" s="13" t="str">
        <f aca="false">IF($M94=0,"",IF(INDEX('Line Detail'!$E$6:$E$505,$M94)="","",INDEX('Line Detail'!$E$6:$E$505,$M94)))</f>
        <v/>
      </c>
      <c r="F94" s="6" t="str">
        <f aca="false">IF($M94=0,"",IF(INDEX('Line Detail'!$F$6:$F$505,$M94)="","",INDEX('Line Detail'!$F$6:$F$505,$M94)))</f>
        <v/>
      </c>
      <c r="G94" s="62" t="str">
        <f aca="false">IF($M94=0,"",IF(INDEX('Line Detail'!$G$6:$G$505,$M94)="","",INDEX('Line Detail'!$G$6:$G$505,$M94)))</f>
        <v/>
      </c>
      <c r="H94" s="13" t="str">
        <f aca="false">IF($M94=0,"",IF(INDEX('Line Detail'!$H$6:$H$505,$M94)="","",INDEX('Line Detail'!$H$6:$H$505,$M94)))</f>
        <v/>
      </c>
      <c r="I94" s="34" t="str">
        <f aca="false">IF($M94=0,"",IF(INDEX('Line Detail'!$O$6:$O$505,$M94)="","",INDEX('Line Detail'!$O$6:$O$505,$M94)))</f>
        <v/>
      </c>
      <c r="J94" s="34" t="str">
        <f aca="false">IF($M94=0,"",IF(INDEX('Line Detail'!$R$6:$R$505,$M94)="","",INDEX('Line Detail'!$R$6:$R$505,$M94)))</f>
        <v/>
      </c>
      <c r="K94" s="6" t="str">
        <f aca="false">IF($M94=0,"",IF(INDEX('Line Detail'!$S$6:$S$505,$M94)="","",INDEX('Line Detail'!$S$6:$S$505,$M94)))</f>
        <v/>
      </c>
      <c r="L94" s="1"/>
      <c r="M94" s="63" t="n">
        <f aca="false">IFERROR(MATCH(89,'Line Detail'!$W$6:$W$505,0),0)</f>
        <v>0</v>
      </c>
    </row>
    <row r="95" customFormat="false" ht="15" hidden="false" customHeight="false" outlineLevel="0" collapsed="false">
      <c r="A95" s="13" t="str">
        <f aca="false">IF($M95=0,"",90)</f>
        <v/>
      </c>
      <c r="B95" s="13" t="str">
        <f aca="false">IF($M95=0,"",IF(INDEX('Line Detail'!$B$6:$B$505,$M95)="","",INDEX('Line Detail'!$B$6:$B$505,$M95)))</f>
        <v/>
      </c>
      <c r="C95" s="13" t="str">
        <f aca="false">IF($M95=0,"",IF(INDEX('Line Detail'!$C$6:$C$505,$M95)="","",INDEX('Line Detail'!$C$6:$C$505,$M95)))</f>
        <v/>
      </c>
      <c r="D95" s="13" t="str">
        <f aca="false">IF($M95=0,"",IF(INDEX('Line Detail'!$D$6:$D$505,$M95)="","",INDEX('Line Detail'!$D$6:$D$505,$M95)))</f>
        <v/>
      </c>
      <c r="E95" s="13" t="str">
        <f aca="false">IF($M95=0,"",IF(INDEX('Line Detail'!$E$6:$E$505,$M95)="","",INDEX('Line Detail'!$E$6:$E$505,$M95)))</f>
        <v/>
      </c>
      <c r="F95" s="6" t="str">
        <f aca="false">IF($M95=0,"",IF(INDEX('Line Detail'!$F$6:$F$505,$M95)="","",INDEX('Line Detail'!$F$6:$F$505,$M95)))</f>
        <v/>
      </c>
      <c r="G95" s="62" t="str">
        <f aca="false">IF($M95=0,"",IF(INDEX('Line Detail'!$G$6:$G$505,$M95)="","",INDEX('Line Detail'!$G$6:$G$505,$M95)))</f>
        <v/>
      </c>
      <c r="H95" s="13" t="str">
        <f aca="false">IF($M95=0,"",IF(INDEX('Line Detail'!$H$6:$H$505,$M95)="","",INDEX('Line Detail'!$H$6:$H$505,$M95)))</f>
        <v/>
      </c>
      <c r="I95" s="34" t="str">
        <f aca="false">IF($M95=0,"",IF(INDEX('Line Detail'!$O$6:$O$505,$M95)="","",INDEX('Line Detail'!$O$6:$O$505,$M95)))</f>
        <v/>
      </c>
      <c r="J95" s="34" t="str">
        <f aca="false">IF($M95=0,"",IF(INDEX('Line Detail'!$R$6:$R$505,$M95)="","",INDEX('Line Detail'!$R$6:$R$505,$M95)))</f>
        <v/>
      </c>
      <c r="K95" s="6" t="str">
        <f aca="false">IF($M95=0,"",IF(INDEX('Line Detail'!$S$6:$S$505,$M95)="","",INDEX('Line Detail'!$S$6:$S$505,$M95)))</f>
        <v/>
      </c>
      <c r="L95" s="1"/>
      <c r="M95" s="63" t="n">
        <f aca="false">IFERROR(MATCH(90,'Line Detail'!$W$6:$W$505,0),0)</f>
        <v>0</v>
      </c>
    </row>
    <row r="96" customFormat="false" ht="15" hidden="false" customHeight="false" outlineLevel="0" collapsed="false">
      <c r="A96" s="13" t="str">
        <f aca="false">IF($M96=0,"",91)</f>
        <v/>
      </c>
      <c r="B96" s="13" t="str">
        <f aca="false">IF($M96=0,"",IF(INDEX('Line Detail'!$B$6:$B$505,$M96)="","",INDEX('Line Detail'!$B$6:$B$505,$M96)))</f>
        <v/>
      </c>
      <c r="C96" s="13" t="str">
        <f aca="false">IF($M96=0,"",IF(INDEX('Line Detail'!$C$6:$C$505,$M96)="","",INDEX('Line Detail'!$C$6:$C$505,$M96)))</f>
        <v/>
      </c>
      <c r="D96" s="13" t="str">
        <f aca="false">IF($M96=0,"",IF(INDEX('Line Detail'!$D$6:$D$505,$M96)="","",INDEX('Line Detail'!$D$6:$D$505,$M96)))</f>
        <v/>
      </c>
      <c r="E96" s="13" t="str">
        <f aca="false">IF($M96=0,"",IF(INDEX('Line Detail'!$E$6:$E$505,$M96)="","",INDEX('Line Detail'!$E$6:$E$505,$M96)))</f>
        <v/>
      </c>
      <c r="F96" s="6" t="str">
        <f aca="false">IF($M96=0,"",IF(INDEX('Line Detail'!$F$6:$F$505,$M96)="","",INDEX('Line Detail'!$F$6:$F$505,$M96)))</f>
        <v/>
      </c>
      <c r="G96" s="62" t="str">
        <f aca="false">IF($M96=0,"",IF(INDEX('Line Detail'!$G$6:$G$505,$M96)="","",INDEX('Line Detail'!$G$6:$G$505,$M96)))</f>
        <v/>
      </c>
      <c r="H96" s="13" t="str">
        <f aca="false">IF($M96=0,"",IF(INDEX('Line Detail'!$H$6:$H$505,$M96)="","",INDEX('Line Detail'!$H$6:$H$505,$M96)))</f>
        <v/>
      </c>
      <c r="I96" s="34" t="str">
        <f aca="false">IF($M96=0,"",IF(INDEX('Line Detail'!$O$6:$O$505,$M96)="","",INDEX('Line Detail'!$O$6:$O$505,$M96)))</f>
        <v/>
      </c>
      <c r="J96" s="34" t="str">
        <f aca="false">IF($M96=0,"",IF(INDEX('Line Detail'!$R$6:$R$505,$M96)="","",INDEX('Line Detail'!$R$6:$R$505,$M96)))</f>
        <v/>
      </c>
      <c r="K96" s="6" t="str">
        <f aca="false">IF($M96=0,"",IF(INDEX('Line Detail'!$S$6:$S$505,$M96)="","",INDEX('Line Detail'!$S$6:$S$505,$M96)))</f>
        <v/>
      </c>
      <c r="L96" s="1"/>
      <c r="M96" s="63" t="n">
        <f aca="false">IFERROR(MATCH(91,'Line Detail'!$W$6:$W$505,0),0)</f>
        <v>0</v>
      </c>
    </row>
    <row r="97" customFormat="false" ht="15" hidden="false" customHeight="false" outlineLevel="0" collapsed="false">
      <c r="A97" s="13" t="str">
        <f aca="false">IF($M97=0,"",92)</f>
        <v/>
      </c>
      <c r="B97" s="13" t="str">
        <f aca="false">IF($M97=0,"",IF(INDEX('Line Detail'!$B$6:$B$505,$M97)="","",INDEX('Line Detail'!$B$6:$B$505,$M97)))</f>
        <v/>
      </c>
      <c r="C97" s="13" t="str">
        <f aca="false">IF($M97=0,"",IF(INDEX('Line Detail'!$C$6:$C$505,$M97)="","",INDEX('Line Detail'!$C$6:$C$505,$M97)))</f>
        <v/>
      </c>
      <c r="D97" s="13" t="str">
        <f aca="false">IF($M97=0,"",IF(INDEX('Line Detail'!$D$6:$D$505,$M97)="","",INDEX('Line Detail'!$D$6:$D$505,$M97)))</f>
        <v/>
      </c>
      <c r="E97" s="13" t="str">
        <f aca="false">IF($M97=0,"",IF(INDEX('Line Detail'!$E$6:$E$505,$M97)="","",INDEX('Line Detail'!$E$6:$E$505,$M97)))</f>
        <v/>
      </c>
      <c r="F97" s="6" t="str">
        <f aca="false">IF($M97=0,"",IF(INDEX('Line Detail'!$F$6:$F$505,$M97)="","",INDEX('Line Detail'!$F$6:$F$505,$M97)))</f>
        <v/>
      </c>
      <c r="G97" s="62" t="str">
        <f aca="false">IF($M97=0,"",IF(INDEX('Line Detail'!$G$6:$G$505,$M97)="","",INDEX('Line Detail'!$G$6:$G$505,$M97)))</f>
        <v/>
      </c>
      <c r="H97" s="13" t="str">
        <f aca="false">IF($M97=0,"",IF(INDEX('Line Detail'!$H$6:$H$505,$M97)="","",INDEX('Line Detail'!$H$6:$H$505,$M97)))</f>
        <v/>
      </c>
      <c r="I97" s="34" t="str">
        <f aca="false">IF($M97=0,"",IF(INDEX('Line Detail'!$O$6:$O$505,$M97)="","",INDEX('Line Detail'!$O$6:$O$505,$M97)))</f>
        <v/>
      </c>
      <c r="J97" s="34" t="str">
        <f aca="false">IF($M97=0,"",IF(INDEX('Line Detail'!$R$6:$R$505,$M97)="","",INDEX('Line Detail'!$R$6:$R$505,$M97)))</f>
        <v/>
      </c>
      <c r="K97" s="6" t="str">
        <f aca="false">IF($M97=0,"",IF(INDEX('Line Detail'!$S$6:$S$505,$M97)="","",INDEX('Line Detail'!$S$6:$S$505,$M97)))</f>
        <v/>
      </c>
      <c r="L97" s="1"/>
      <c r="M97" s="63" t="n">
        <f aca="false">IFERROR(MATCH(92,'Line Detail'!$W$6:$W$505,0),0)</f>
        <v>0</v>
      </c>
    </row>
    <row r="98" customFormat="false" ht="15" hidden="false" customHeight="false" outlineLevel="0" collapsed="false">
      <c r="A98" s="13" t="str">
        <f aca="false">IF($M98=0,"",93)</f>
        <v/>
      </c>
      <c r="B98" s="13" t="str">
        <f aca="false">IF($M98=0,"",IF(INDEX('Line Detail'!$B$6:$B$505,$M98)="","",INDEX('Line Detail'!$B$6:$B$505,$M98)))</f>
        <v/>
      </c>
      <c r="C98" s="13" t="str">
        <f aca="false">IF($M98=0,"",IF(INDEX('Line Detail'!$C$6:$C$505,$M98)="","",INDEX('Line Detail'!$C$6:$C$505,$M98)))</f>
        <v/>
      </c>
      <c r="D98" s="13" t="str">
        <f aca="false">IF($M98=0,"",IF(INDEX('Line Detail'!$D$6:$D$505,$M98)="","",INDEX('Line Detail'!$D$6:$D$505,$M98)))</f>
        <v/>
      </c>
      <c r="E98" s="13" t="str">
        <f aca="false">IF($M98=0,"",IF(INDEX('Line Detail'!$E$6:$E$505,$M98)="","",INDEX('Line Detail'!$E$6:$E$505,$M98)))</f>
        <v/>
      </c>
      <c r="F98" s="6" t="str">
        <f aca="false">IF($M98=0,"",IF(INDEX('Line Detail'!$F$6:$F$505,$M98)="","",INDEX('Line Detail'!$F$6:$F$505,$M98)))</f>
        <v/>
      </c>
      <c r="G98" s="62" t="str">
        <f aca="false">IF($M98=0,"",IF(INDEX('Line Detail'!$G$6:$G$505,$M98)="","",INDEX('Line Detail'!$G$6:$G$505,$M98)))</f>
        <v/>
      </c>
      <c r="H98" s="13" t="str">
        <f aca="false">IF($M98=0,"",IF(INDEX('Line Detail'!$H$6:$H$505,$M98)="","",INDEX('Line Detail'!$H$6:$H$505,$M98)))</f>
        <v/>
      </c>
      <c r="I98" s="34" t="str">
        <f aca="false">IF($M98=0,"",IF(INDEX('Line Detail'!$O$6:$O$505,$M98)="","",INDEX('Line Detail'!$O$6:$O$505,$M98)))</f>
        <v/>
      </c>
      <c r="J98" s="34" t="str">
        <f aca="false">IF($M98=0,"",IF(INDEX('Line Detail'!$R$6:$R$505,$M98)="","",INDEX('Line Detail'!$R$6:$R$505,$M98)))</f>
        <v/>
      </c>
      <c r="K98" s="6" t="str">
        <f aca="false">IF($M98=0,"",IF(INDEX('Line Detail'!$S$6:$S$505,$M98)="","",INDEX('Line Detail'!$S$6:$S$505,$M98)))</f>
        <v/>
      </c>
      <c r="L98" s="1"/>
      <c r="M98" s="63" t="n">
        <f aca="false">IFERROR(MATCH(93,'Line Detail'!$W$6:$W$505,0),0)</f>
        <v>0</v>
      </c>
    </row>
    <row r="99" customFormat="false" ht="15" hidden="false" customHeight="false" outlineLevel="0" collapsed="false">
      <c r="A99" s="13" t="str">
        <f aca="false">IF($M99=0,"",94)</f>
        <v/>
      </c>
      <c r="B99" s="13" t="str">
        <f aca="false">IF($M99=0,"",IF(INDEX('Line Detail'!$B$6:$B$505,$M99)="","",INDEX('Line Detail'!$B$6:$B$505,$M99)))</f>
        <v/>
      </c>
      <c r="C99" s="13" t="str">
        <f aca="false">IF($M99=0,"",IF(INDEX('Line Detail'!$C$6:$C$505,$M99)="","",INDEX('Line Detail'!$C$6:$C$505,$M99)))</f>
        <v/>
      </c>
      <c r="D99" s="13" t="str">
        <f aca="false">IF($M99=0,"",IF(INDEX('Line Detail'!$D$6:$D$505,$M99)="","",INDEX('Line Detail'!$D$6:$D$505,$M99)))</f>
        <v/>
      </c>
      <c r="E99" s="13" t="str">
        <f aca="false">IF($M99=0,"",IF(INDEX('Line Detail'!$E$6:$E$505,$M99)="","",INDEX('Line Detail'!$E$6:$E$505,$M99)))</f>
        <v/>
      </c>
      <c r="F99" s="6" t="str">
        <f aca="false">IF($M99=0,"",IF(INDEX('Line Detail'!$F$6:$F$505,$M99)="","",INDEX('Line Detail'!$F$6:$F$505,$M99)))</f>
        <v/>
      </c>
      <c r="G99" s="62" t="str">
        <f aca="false">IF($M99=0,"",IF(INDEX('Line Detail'!$G$6:$G$505,$M99)="","",INDEX('Line Detail'!$G$6:$G$505,$M99)))</f>
        <v/>
      </c>
      <c r="H99" s="13" t="str">
        <f aca="false">IF($M99=0,"",IF(INDEX('Line Detail'!$H$6:$H$505,$M99)="","",INDEX('Line Detail'!$H$6:$H$505,$M99)))</f>
        <v/>
      </c>
      <c r="I99" s="34" t="str">
        <f aca="false">IF($M99=0,"",IF(INDEX('Line Detail'!$O$6:$O$505,$M99)="","",INDEX('Line Detail'!$O$6:$O$505,$M99)))</f>
        <v/>
      </c>
      <c r="J99" s="34" t="str">
        <f aca="false">IF($M99=0,"",IF(INDEX('Line Detail'!$R$6:$R$505,$M99)="","",INDEX('Line Detail'!$R$6:$R$505,$M99)))</f>
        <v/>
      </c>
      <c r="K99" s="6" t="str">
        <f aca="false">IF($M99=0,"",IF(INDEX('Line Detail'!$S$6:$S$505,$M99)="","",INDEX('Line Detail'!$S$6:$S$505,$M99)))</f>
        <v/>
      </c>
      <c r="L99" s="1"/>
      <c r="M99" s="63" t="n">
        <f aca="false">IFERROR(MATCH(94,'Line Detail'!$W$6:$W$505,0),0)</f>
        <v>0</v>
      </c>
    </row>
    <row r="100" customFormat="false" ht="15" hidden="false" customHeight="false" outlineLevel="0" collapsed="false">
      <c r="A100" s="13" t="str">
        <f aca="false">IF($M100=0,"",95)</f>
        <v/>
      </c>
      <c r="B100" s="13" t="str">
        <f aca="false">IF($M100=0,"",IF(INDEX('Line Detail'!$B$6:$B$505,$M100)="","",INDEX('Line Detail'!$B$6:$B$505,$M100)))</f>
        <v/>
      </c>
      <c r="C100" s="13" t="str">
        <f aca="false">IF($M100=0,"",IF(INDEX('Line Detail'!$C$6:$C$505,$M100)="","",INDEX('Line Detail'!$C$6:$C$505,$M100)))</f>
        <v/>
      </c>
      <c r="D100" s="13" t="str">
        <f aca="false">IF($M100=0,"",IF(INDEX('Line Detail'!$D$6:$D$505,$M100)="","",INDEX('Line Detail'!$D$6:$D$505,$M100)))</f>
        <v/>
      </c>
      <c r="E100" s="13" t="str">
        <f aca="false">IF($M100=0,"",IF(INDEX('Line Detail'!$E$6:$E$505,$M100)="","",INDEX('Line Detail'!$E$6:$E$505,$M100)))</f>
        <v/>
      </c>
      <c r="F100" s="6" t="str">
        <f aca="false">IF($M100=0,"",IF(INDEX('Line Detail'!$F$6:$F$505,$M100)="","",INDEX('Line Detail'!$F$6:$F$505,$M100)))</f>
        <v/>
      </c>
      <c r="G100" s="62" t="str">
        <f aca="false">IF($M100=0,"",IF(INDEX('Line Detail'!$G$6:$G$505,$M100)="","",INDEX('Line Detail'!$G$6:$G$505,$M100)))</f>
        <v/>
      </c>
      <c r="H100" s="13" t="str">
        <f aca="false">IF($M100=0,"",IF(INDEX('Line Detail'!$H$6:$H$505,$M100)="","",INDEX('Line Detail'!$H$6:$H$505,$M100)))</f>
        <v/>
      </c>
      <c r="I100" s="34" t="str">
        <f aca="false">IF($M100=0,"",IF(INDEX('Line Detail'!$O$6:$O$505,$M100)="","",INDEX('Line Detail'!$O$6:$O$505,$M100)))</f>
        <v/>
      </c>
      <c r="J100" s="34" t="str">
        <f aca="false">IF($M100=0,"",IF(INDEX('Line Detail'!$R$6:$R$505,$M100)="","",INDEX('Line Detail'!$R$6:$R$505,$M100)))</f>
        <v/>
      </c>
      <c r="K100" s="6" t="str">
        <f aca="false">IF($M100=0,"",IF(INDEX('Line Detail'!$S$6:$S$505,$M100)="","",INDEX('Line Detail'!$S$6:$S$505,$M100)))</f>
        <v/>
      </c>
      <c r="L100" s="1"/>
      <c r="M100" s="63" t="n">
        <f aca="false">IFERROR(MATCH(95,'Line Detail'!$W$6:$W$505,0),0)</f>
        <v>0</v>
      </c>
    </row>
    <row r="101" customFormat="false" ht="15" hidden="false" customHeight="false" outlineLevel="0" collapsed="false">
      <c r="A101" s="13" t="str">
        <f aca="false">IF($M101=0,"",96)</f>
        <v/>
      </c>
      <c r="B101" s="13" t="str">
        <f aca="false">IF($M101=0,"",IF(INDEX('Line Detail'!$B$6:$B$505,$M101)="","",INDEX('Line Detail'!$B$6:$B$505,$M101)))</f>
        <v/>
      </c>
      <c r="C101" s="13" t="str">
        <f aca="false">IF($M101=0,"",IF(INDEX('Line Detail'!$C$6:$C$505,$M101)="","",INDEX('Line Detail'!$C$6:$C$505,$M101)))</f>
        <v/>
      </c>
      <c r="D101" s="13" t="str">
        <f aca="false">IF($M101=0,"",IF(INDEX('Line Detail'!$D$6:$D$505,$M101)="","",INDEX('Line Detail'!$D$6:$D$505,$M101)))</f>
        <v/>
      </c>
      <c r="E101" s="13" t="str">
        <f aca="false">IF($M101=0,"",IF(INDEX('Line Detail'!$E$6:$E$505,$M101)="","",INDEX('Line Detail'!$E$6:$E$505,$M101)))</f>
        <v/>
      </c>
      <c r="F101" s="6" t="str">
        <f aca="false">IF($M101=0,"",IF(INDEX('Line Detail'!$F$6:$F$505,$M101)="","",INDEX('Line Detail'!$F$6:$F$505,$M101)))</f>
        <v/>
      </c>
      <c r="G101" s="62" t="str">
        <f aca="false">IF($M101=0,"",IF(INDEX('Line Detail'!$G$6:$G$505,$M101)="","",INDEX('Line Detail'!$G$6:$G$505,$M101)))</f>
        <v/>
      </c>
      <c r="H101" s="13" t="str">
        <f aca="false">IF($M101=0,"",IF(INDEX('Line Detail'!$H$6:$H$505,$M101)="","",INDEX('Line Detail'!$H$6:$H$505,$M101)))</f>
        <v/>
      </c>
      <c r="I101" s="34" t="str">
        <f aca="false">IF($M101=0,"",IF(INDEX('Line Detail'!$O$6:$O$505,$M101)="","",INDEX('Line Detail'!$O$6:$O$505,$M101)))</f>
        <v/>
      </c>
      <c r="J101" s="34" t="str">
        <f aca="false">IF($M101=0,"",IF(INDEX('Line Detail'!$R$6:$R$505,$M101)="","",INDEX('Line Detail'!$R$6:$R$505,$M101)))</f>
        <v/>
      </c>
      <c r="K101" s="6" t="str">
        <f aca="false">IF($M101=0,"",IF(INDEX('Line Detail'!$S$6:$S$505,$M101)="","",INDEX('Line Detail'!$S$6:$S$505,$M101)))</f>
        <v/>
      </c>
      <c r="L101" s="1"/>
      <c r="M101" s="63" t="n">
        <f aca="false">IFERROR(MATCH(96,'Line Detail'!$W$6:$W$505,0),0)</f>
        <v>0</v>
      </c>
    </row>
    <row r="102" customFormat="false" ht="15" hidden="false" customHeight="false" outlineLevel="0" collapsed="false">
      <c r="A102" s="13" t="str">
        <f aca="false">IF($M102=0,"",97)</f>
        <v/>
      </c>
      <c r="B102" s="13" t="str">
        <f aca="false">IF($M102=0,"",IF(INDEX('Line Detail'!$B$6:$B$505,$M102)="","",INDEX('Line Detail'!$B$6:$B$505,$M102)))</f>
        <v/>
      </c>
      <c r="C102" s="13" t="str">
        <f aca="false">IF($M102=0,"",IF(INDEX('Line Detail'!$C$6:$C$505,$M102)="","",INDEX('Line Detail'!$C$6:$C$505,$M102)))</f>
        <v/>
      </c>
      <c r="D102" s="13" t="str">
        <f aca="false">IF($M102=0,"",IF(INDEX('Line Detail'!$D$6:$D$505,$M102)="","",INDEX('Line Detail'!$D$6:$D$505,$M102)))</f>
        <v/>
      </c>
      <c r="E102" s="13" t="str">
        <f aca="false">IF($M102=0,"",IF(INDEX('Line Detail'!$E$6:$E$505,$M102)="","",INDEX('Line Detail'!$E$6:$E$505,$M102)))</f>
        <v/>
      </c>
      <c r="F102" s="6" t="str">
        <f aca="false">IF($M102=0,"",IF(INDEX('Line Detail'!$F$6:$F$505,$M102)="","",INDEX('Line Detail'!$F$6:$F$505,$M102)))</f>
        <v/>
      </c>
      <c r="G102" s="62" t="str">
        <f aca="false">IF($M102=0,"",IF(INDEX('Line Detail'!$G$6:$G$505,$M102)="","",INDEX('Line Detail'!$G$6:$G$505,$M102)))</f>
        <v/>
      </c>
      <c r="H102" s="13" t="str">
        <f aca="false">IF($M102=0,"",IF(INDEX('Line Detail'!$H$6:$H$505,$M102)="","",INDEX('Line Detail'!$H$6:$H$505,$M102)))</f>
        <v/>
      </c>
      <c r="I102" s="34" t="str">
        <f aca="false">IF($M102=0,"",IF(INDEX('Line Detail'!$O$6:$O$505,$M102)="","",INDEX('Line Detail'!$O$6:$O$505,$M102)))</f>
        <v/>
      </c>
      <c r="J102" s="34" t="str">
        <f aca="false">IF($M102=0,"",IF(INDEX('Line Detail'!$R$6:$R$505,$M102)="","",INDEX('Line Detail'!$R$6:$R$505,$M102)))</f>
        <v/>
      </c>
      <c r="K102" s="6" t="str">
        <f aca="false">IF($M102=0,"",IF(INDEX('Line Detail'!$S$6:$S$505,$M102)="","",INDEX('Line Detail'!$S$6:$S$505,$M102)))</f>
        <v/>
      </c>
      <c r="L102" s="1"/>
      <c r="M102" s="63" t="n">
        <f aca="false">IFERROR(MATCH(97,'Line Detail'!$W$6:$W$505,0),0)</f>
        <v>0</v>
      </c>
    </row>
    <row r="103" customFormat="false" ht="15" hidden="false" customHeight="false" outlineLevel="0" collapsed="false">
      <c r="A103" s="13" t="str">
        <f aca="false">IF($M103=0,"",98)</f>
        <v/>
      </c>
      <c r="B103" s="13" t="str">
        <f aca="false">IF($M103=0,"",IF(INDEX('Line Detail'!$B$6:$B$505,$M103)="","",INDEX('Line Detail'!$B$6:$B$505,$M103)))</f>
        <v/>
      </c>
      <c r="C103" s="13" t="str">
        <f aca="false">IF($M103=0,"",IF(INDEX('Line Detail'!$C$6:$C$505,$M103)="","",INDEX('Line Detail'!$C$6:$C$505,$M103)))</f>
        <v/>
      </c>
      <c r="D103" s="13" t="str">
        <f aca="false">IF($M103=0,"",IF(INDEX('Line Detail'!$D$6:$D$505,$M103)="","",INDEX('Line Detail'!$D$6:$D$505,$M103)))</f>
        <v/>
      </c>
      <c r="E103" s="13" t="str">
        <f aca="false">IF($M103=0,"",IF(INDEX('Line Detail'!$E$6:$E$505,$M103)="","",INDEX('Line Detail'!$E$6:$E$505,$M103)))</f>
        <v/>
      </c>
      <c r="F103" s="6" t="str">
        <f aca="false">IF($M103=0,"",IF(INDEX('Line Detail'!$F$6:$F$505,$M103)="","",INDEX('Line Detail'!$F$6:$F$505,$M103)))</f>
        <v/>
      </c>
      <c r="G103" s="62" t="str">
        <f aca="false">IF($M103=0,"",IF(INDEX('Line Detail'!$G$6:$G$505,$M103)="","",INDEX('Line Detail'!$G$6:$G$505,$M103)))</f>
        <v/>
      </c>
      <c r="H103" s="13" t="str">
        <f aca="false">IF($M103=0,"",IF(INDEX('Line Detail'!$H$6:$H$505,$M103)="","",INDEX('Line Detail'!$H$6:$H$505,$M103)))</f>
        <v/>
      </c>
      <c r="I103" s="34" t="str">
        <f aca="false">IF($M103=0,"",IF(INDEX('Line Detail'!$O$6:$O$505,$M103)="","",INDEX('Line Detail'!$O$6:$O$505,$M103)))</f>
        <v/>
      </c>
      <c r="J103" s="34" t="str">
        <f aca="false">IF($M103=0,"",IF(INDEX('Line Detail'!$R$6:$R$505,$M103)="","",INDEX('Line Detail'!$R$6:$R$505,$M103)))</f>
        <v/>
      </c>
      <c r="K103" s="6" t="str">
        <f aca="false">IF($M103=0,"",IF(INDEX('Line Detail'!$S$6:$S$505,$M103)="","",INDEX('Line Detail'!$S$6:$S$505,$M103)))</f>
        <v/>
      </c>
      <c r="L103" s="1"/>
      <c r="M103" s="63" t="n">
        <f aca="false">IFERROR(MATCH(98,'Line Detail'!$W$6:$W$505,0),0)</f>
        <v>0</v>
      </c>
    </row>
    <row r="104" customFormat="false" ht="15" hidden="false" customHeight="false" outlineLevel="0" collapsed="false">
      <c r="A104" s="13" t="str">
        <f aca="false">IF($M104=0,"",99)</f>
        <v/>
      </c>
      <c r="B104" s="13" t="str">
        <f aca="false">IF($M104=0,"",IF(INDEX('Line Detail'!$B$6:$B$505,$M104)="","",INDEX('Line Detail'!$B$6:$B$505,$M104)))</f>
        <v/>
      </c>
      <c r="C104" s="13" t="str">
        <f aca="false">IF($M104=0,"",IF(INDEX('Line Detail'!$C$6:$C$505,$M104)="","",INDEX('Line Detail'!$C$6:$C$505,$M104)))</f>
        <v/>
      </c>
      <c r="D104" s="13" t="str">
        <f aca="false">IF($M104=0,"",IF(INDEX('Line Detail'!$D$6:$D$505,$M104)="","",INDEX('Line Detail'!$D$6:$D$505,$M104)))</f>
        <v/>
      </c>
      <c r="E104" s="13" t="str">
        <f aca="false">IF($M104=0,"",IF(INDEX('Line Detail'!$E$6:$E$505,$M104)="","",INDEX('Line Detail'!$E$6:$E$505,$M104)))</f>
        <v/>
      </c>
      <c r="F104" s="6" t="str">
        <f aca="false">IF($M104=0,"",IF(INDEX('Line Detail'!$F$6:$F$505,$M104)="","",INDEX('Line Detail'!$F$6:$F$505,$M104)))</f>
        <v/>
      </c>
      <c r="G104" s="62" t="str">
        <f aca="false">IF($M104=0,"",IF(INDEX('Line Detail'!$G$6:$G$505,$M104)="","",INDEX('Line Detail'!$G$6:$G$505,$M104)))</f>
        <v/>
      </c>
      <c r="H104" s="13" t="str">
        <f aca="false">IF($M104=0,"",IF(INDEX('Line Detail'!$H$6:$H$505,$M104)="","",INDEX('Line Detail'!$H$6:$H$505,$M104)))</f>
        <v/>
      </c>
      <c r="I104" s="34" t="str">
        <f aca="false">IF($M104=0,"",IF(INDEX('Line Detail'!$O$6:$O$505,$M104)="","",INDEX('Line Detail'!$O$6:$O$505,$M104)))</f>
        <v/>
      </c>
      <c r="J104" s="34" t="str">
        <f aca="false">IF($M104=0,"",IF(INDEX('Line Detail'!$R$6:$R$505,$M104)="","",INDEX('Line Detail'!$R$6:$R$505,$M104)))</f>
        <v/>
      </c>
      <c r="K104" s="6" t="str">
        <f aca="false">IF($M104=0,"",IF(INDEX('Line Detail'!$S$6:$S$505,$M104)="","",INDEX('Line Detail'!$S$6:$S$505,$M104)))</f>
        <v/>
      </c>
      <c r="L104" s="1"/>
      <c r="M104" s="63" t="n">
        <f aca="false">IFERROR(MATCH(99,'Line Detail'!$W$6:$W$505,0),0)</f>
        <v>0</v>
      </c>
    </row>
    <row r="105" customFormat="false" ht="15" hidden="false" customHeight="false" outlineLevel="0" collapsed="false">
      <c r="A105" s="13" t="str">
        <f aca="false">IF($M105=0,"",100)</f>
        <v/>
      </c>
      <c r="B105" s="13" t="str">
        <f aca="false">IF($M105=0,"",IF(INDEX('Line Detail'!$B$6:$B$505,$M105)="","",INDEX('Line Detail'!$B$6:$B$505,$M105)))</f>
        <v/>
      </c>
      <c r="C105" s="13" t="str">
        <f aca="false">IF($M105=0,"",IF(INDEX('Line Detail'!$C$6:$C$505,$M105)="","",INDEX('Line Detail'!$C$6:$C$505,$M105)))</f>
        <v/>
      </c>
      <c r="D105" s="13" t="str">
        <f aca="false">IF($M105=0,"",IF(INDEX('Line Detail'!$D$6:$D$505,$M105)="","",INDEX('Line Detail'!$D$6:$D$505,$M105)))</f>
        <v/>
      </c>
      <c r="E105" s="13" t="str">
        <f aca="false">IF($M105=0,"",IF(INDEX('Line Detail'!$E$6:$E$505,$M105)="","",INDEX('Line Detail'!$E$6:$E$505,$M105)))</f>
        <v/>
      </c>
      <c r="F105" s="6" t="str">
        <f aca="false">IF($M105=0,"",IF(INDEX('Line Detail'!$F$6:$F$505,$M105)="","",INDEX('Line Detail'!$F$6:$F$505,$M105)))</f>
        <v/>
      </c>
      <c r="G105" s="62" t="str">
        <f aca="false">IF($M105=0,"",IF(INDEX('Line Detail'!$G$6:$G$505,$M105)="","",INDEX('Line Detail'!$G$6:$G$505,$M105)))</f>
        <v/>
      </c>
      <c r="H105" s="13" t="str">
        <f aca="false">IF($M105=0,"",IF(INDEX('Line Detail'!$H$6:$H$505,$M105)="","",INDEX('Line Detail'!$H$6:$H$505,$M105)))</f>
        <v/>
      </c>
      <c r="I105" s="34" t="str">
        <f aca="false">IF($M105=0,"",IF(INDEX('Line Detail'!$O$6:$O$505,$M105)="","",INDEX('Line Detail'!$O$6:$O$505,$M105)))</f>
        <v/>
      </c>
      <c r="J105" s="34" t="str">
        <f aca="false">IF($M105=0,"",IF(INDEX('Line Detail'!$R$6:$R$505,$M105)="","",INDEX('Line Detail'!$R$6:$R$505,$M105)))</f>
        <v/>
      </c>
      <c r="K105" s="6" t="str">
        <f aca="false">IF($M105=0,"",IF(INDEX('Line Detail'!$S$6:$S$505,$M105)="","",INDEX('Line Detail'!$S$6:$S$505,$M105)))</f>
        <v/>
      </c>
      <c r="L105" s="1"/>
      <c r="M105" s="63" t="n">
        <f aca="false">IFERROR(MATCH(100,'Line Detail'!$W$6:$W$505,0),0)</f>
        <v>0</v>
      </c>
    </row>
    <row r="106" customFormat="false" ht="15" hidden="false" customHeight="false" outlineLevel="0" collapsed="false">
      <c r="A106" s="13" t="str">
        <f aca="false">IF($M106=0,"",101)</f>
        <v/>
      </c>
      <c r="B106" s="13" t="str">
        <f aca="false">IF($M106=0,"",IF(INDEX('Line Detail'!$B$6:$B$505,$M106)="","",INDEX('Line Detail'!$B$6:$B$505,$M106)))</f>
        <v/>
      </c>
      <c r="C106" s="13" t="str">
        <f aca="false">IF($M106=0,"",IF(INDEX('Line Detail'!$C$6:$C$505,$M106)="","",INDEX('Line Detail'!$C$6:$C$505,$M106)))</f>
        <v/>
      </c>
      <c r="D106" s="13" t="str">
        <f aca="false">IF($M106=0,"",IF(INDEX('Line Detail'!$D$6:$D$505,$M106)="","",INDEX('Line Detail'!$D$6:$D$505,$M106)))</f>
        <v/>
      </c>
      <c r="E106" s="13" t="str">
        <f aca="false">IF($M106=0,"",IF(INDEX('Line Detail'!$E$6:$E$505,$M106)="","",INDEX('Line Detail'!$E$6:$E$505,$M106)))</f>
        <v/>
      </c>
      <c r="F106" s="6" t="str">
        <f aca="false">IF($M106=0,"",IF(INDEX('Line Detail'!$F$6:$F$505,$M106)="","",INDEX('Line Detail'!$F$6:$F$505,$M106)))</f>
        <v/>
      </c>
      <c r="G106" s="62" t="str">
        <f aca="false">IF($M106=0,"",IF(INDEX('Line Detail'!$G$6:$G$505,$M106)="","",INDEX('Line Detail'!$G$6:$G$505,$M106)))</f>
        <v/>
      </c>
      <c r="H106" s="13" t="str">
        <f aca="false">IF($M106=0,"",IF(INDEX('Line Detail'!$H$6:$H$505,$M106)="","",INDEX('Line Detail'!$H$6:$H$505,$M106)))</f>
        <v/>
      </c>
      <c r="I106" s="34" t="str">
        <f aca="false">IF($M106=0,"",IF(INDEX('Line Detail'!$O$6:$O$505,$M106)="","",INDEX('Line Detail'!$O$6:$O$505,$M106)))</f>
        <v/>
      </c>
      <c r="J106" s="34" t="str">
        <f aca="false">IF($M106=0,"",IF(INDEX('Line Detail'!$R$6:$R$505,$M106)="","",INDEX('Line Detail'!$R$6:$R$505,$M106)))</f>
        <v/>
      </c>
      <c r="K106" s="6" t="str">
        <f aca="false">IF($M106=0,"",IF(INDEX('Line Detail'!$S$6:$S$505,$M106)="","",INDEX('Line Detail'!$S$6:$S$505,$M106)))</f>
        <v/>
      </c>
      <c r="L106" s="1"/>
      <c r="M106" s="63" t="n">
        <f aca="false">IFERROR(MATCH(101,'Line Detail'!$W$6:$W$505,0),0)</f>
        <v>0</v>
      </c>
    </row>
    <row r="107" customFormat="false" ht="15" hidden="false" customHeight="false" outlineLevel="0" collapsed="false">
      <c r="A107" s="13" t="str">
        <f aca="false">IF($M107=0,"",102)</f>
        <v/>
      </c>
      <c r="B107" s="13" t="str">
        <f aca="false">IF($M107=0,"",IF(INDEX('Line Detail'!$B$6:$B$505,$M107)="","",INDEX('Line Detail'!$B$6:$B$505,$M107)))</f>
        <v/>
      </c>
      <c r="C107" s="13" t="str">
        <f aca="false">IF($M107=0,"",IF(INDEX('Line Detail'!$C$6:$C$505,$M107)="","",INDEX('Line Detail'!$C$6:$C$505,$M107)))</f>
        <v/>
      </c>
      <c r="D107" s="13" t="str">
        <f aca="false">IF($M107=0,"",IF(INDEX('Line Detail'!$D$6:$D$505,$M107)="","",INDEX('Line Detail'!$D$6:$D$505,$M107)))</f>
        <v/>
      </c>
      <c r="E107" s="13" t="str">
        <f aca="false">IF($M107=0,"",IF(INDEX('Line Detail'!$E$6:$E$505,$M107)="","",INDEX('Line Detail'!$E$6:$E$505,$M107)))</f>
        <v/>
      </c>
      <c r="F107" s="6" t="str">
        <f aca="false">IF($M107=0,"",IF(INDEX('Line Detail'!$F$6:$F$505,$M107)="","",INDEX('Line Detail'!$F$6:$F$505,$M107)))</f>
        <v/>
      </c>
      <c r="G107" s="62" t="str">
        <f aca="false">IF($M107=0,"",IF(INDEX('Line Detail'!$G$6:$G$505,$M107)="","",INDEX('Line Detail'!$G$6:$G$505,$M107)))</f>
        <v/>
      </c>
      <c r="H107" s="13" t="str">
        <f aca="false">IF($M107=0,"",IF(INDEX('Line Detail'!$H$6:$H$505,$M107)="","",INDEX('Line Detail'!$H$6:$H$505,$M107)))</f>
        <v/>
      </c>
      <c r="I107" s="34" t="str">
        <f aca="false">IF($M107=0,"",IF(INDEX('Line Detail'!$O$6:$O$505,$M107)="","",INDEX('Line Detail'!$O$6:$O$505,$M107)))</f>
        <v/>
      </c>
      <c r="J107" s="34" t="str">
        <f aca="false">IF($M107=0,"",IF(INDEX('Line Detail'!$R$6:$R$505,$M107)="","",INDEX('Line Detail'!$R$6:$R$505,$M107)))</f>
        <v/>
      </c>
      <c r="K107" s="6" t="str">
        <f aca="false">IF($M107=0,"",IF(INDEX('Line Detail'!$S$6:$S$505,$M107)="","",INDEX('Line Detail'!$S$6:$S$505,$M107)))</f>
        <v/>
      </c>
      <c r="L107" s="1"/>
      <c r="M107" s="63" t="n">
        <f aca="false">IFERROR(MATCH(102,'Line Detail'!$W$6:$W$505,0),0)</f>
        <v>0</v>
      </c>
    </row>
    <row r="108" customFormat="false" ht="15" hidden="false" customHeight="false" outlineLevel="0" collapsed="false">
      <c r="A108" s="13" t="str">
        <f aca="false">IF($M108=0,"",103)</f>
        <v/>
      </c>
      <c r="B108" s="13" t="str">
        <f aca="false">IF($M108=0,"",IF(INDEX('Line Detail'!$B$6:$B$505,$M108)="","",INDEX('Line Detail'!$B$6:$B$505,$M108)))</f>
        <v/>
      </c>
      <c r="C108" s="13" t="str">
        <f aca="false">IF($M108=0,"",IF(INDEX('Line Detail'!$C$6:$C$505,$M108)="","",INDEX('Line Detail'!$C$6:$C$505,$M108)))</f>
        <v/>
      </c>
      <c r="D108" s="13" t="str">
        <f aca="false">IF($M108=0,"",IF(INDEX('Line Detail'!$D$6:$D$505,$M108)="","",INDEX('Line Detail'!$D$6:$D$505,$M108)))</f>
        <v/>
      </c>
      <c r="E108" s="13" t="str">
        <f aca="false">IF($M108=0,"",IF(INDEX('Line Detail'!$E$6:$E$505,$M108)="","",INDEX('Line Detail'!$E$6:$E$505,$M108)))</f>
        <v/>
      </c>
      <c r="F108" s="6" t="str">
        <f aca="false">IF($M108=0,"",IF(INDEX('Line Detail'!$F$6:$F$505,$M108)="","",INDEX('Line Detail'!$F$6:$F$505,$M108)))</f>
        <v/>
      </c>
      <c r="G108" s="62" t="str">
        <f aca="false">IF($M108=0,"",IF(INDEX('Line Detail'!$G$6:$G$505,$M108)="","",INDEX('Line Detail'!$G$6:$G$505,$M108)))</f>
        <v/>
      </c>
      <c r="H108" s="13" t="str">
        <f aca="false">IF($M108=0,"",IF(INDEX('Line Detail'!$H$6:$H$505,$M108)="","",INDEX('Line Detail'!$H$6:$H$505,$M108)))</f>
        <v/>
      </c>
      <c r="I108" s="34" t="str">
        <f aca="false">IF($M108=0,"",IF(INDEX('Line Detail'!$O$6:$O$505,$M108)="","",INDEX('Line Detail'!$O$6:$O$505,$M108)))</f>
        <v/>
      </c>
      <c r="J108" s="34" t="str">
        <f aca="false">IF($M108=0,"",IF(INDEX('Line Detail'!$R$6:$R$505,$M108)="","",INDEX('Line Detail'!$R$6:$R$505,$M108)))</f>
        <v/>
      </c>
      <c r="K108" s="6" t="str">
        <f aca="false">IF($M108=0,"",IF(INDEX('Line Detail'!$S$6:$S$505,$M108)="","",INDEX('Line Detail'!$S$6:$S$505,$M108)))</f>
        <v/>
      </c>
      <c r="L108" s="1"/>
      <c r="M108" s="63" t="n">
        <f aca="false">IFERROR(MATCH(103,'Line Detail'!$W$6:$W$505,0),0)</f>
        <v>0</v>
      </c>
    </row>
    <row r="109" customFormat="false" ht="15" hidden="false" customHeight="false" outlineLevel="0" collapsed="false">
      <c r="A109" s="13" t="str">
        <f aca="false">IF($M109=0,"",104)</f>
        <v/>
      </c>
      <c r="B109" s="13" t="str">
        <f aca="false">IF($M109=0,"",IF(INDEX('Line Detail'!$B$6:$B$505,$M109)="","",INDEX('Line Detail'!$B$6:$B$505,$M109)))</f>
        <v/>
      </c>
      <c r="C109" s="13" t="str">
        <f aca="false">IF($M109=0,"",IF(INDEX('Line Detail'!$C$6:$C$505,$M109)="","",INDEX('Line Detail'!$C$6:$C$505,$M109)))</f>
        <v/>
      </c>
      <c r="D109" s="13" t="str">
        <f aca="false">IF($M109=0,"",IF(INDEX('Line Detail'!$D$6:$D$505,$M109)="","",INDEX('Line Detail'!$D$6:$D$505,$M109)))</f>
        <v/>
      </c>
      <c r="E109" s="13" t="str">
        <f aca="false">IF($M109=0,"",IF(INDEX('Line Detail'!$E$6:$E$505,$M109)="","",INDEX('Line Detail'!$E$6:$E$505,$M109)))</f>
        <v/>
      </c>
      <c r="F109" s="6" t="str">
        <f aca="false">IF($M109=0,"",IF(INDEX('Line Detail'!$F$6:$F$505,$M109)="","",INDEX('Line Detail'!$F$6:$F$505,$M109)))</f>
        <v/>
      </c>
      <c r="G109" s="62" t="str">
        <f aca="false">IF($M109=0,"",IF(INDEX('Line Detail'!$G$6:$G$505,$M109)="","",INDEX('Line Detail'!$G$6:$G$505,$M109)))</f>
        <v/>
      </c>
      <c r="H109" s="13" t="str">
        <f aca="false">IF($M109=0,"",IF(INDEX('Line Detail'!$H$6:$H$505,$M109)="","",INDEX('Line Detail'!$H$6:$H$505,$M109)))</f>
        <v/>
      </c>
      <c r="I109" s="34" t="str">
        <f aca="false">IF($M109=0,"",IF(INDEX('Line Detail'!$O$6:$O$505,$M109)="","",INDEX('Line Detail'!$O$6:$O$505,$M109)))</f>
        <v/>
      </c>
      <c r="J109" s="34" t="str">
        <f aca="false">IF($M109=0,"",IF(INDEX('Line Detail'!$R$6:$R$505,$M109)="","",INDEX('Line Detail'!$R$6:$R$505,$M109)))</f>
        <v/>
      </c>
      <c r="K109" s="6" t="str">
        <f aca="false">IF($M109=0,"",IF(INDEX('Line Detail'!$S$6:$S$505,$M109)="","",INDEX('Line Detail'!$S$6:$S$505,$M109)))</f>
        <v/>
      </c>
      <c r="L109" s="1"/>
      <c r="M109" s="63" t="n">
        <f aca="false">IFERROR(MATCH(104,'Line Detail'!$W$6:$W$505,0),0)</f>
        <v>0</v>
      </c>
    </row>
    <row r="110" customFormat="false" ht="15" hidden="false" customHeight="false" outlineLevel="0" collapsed="false">
      <c r="A110" s="13" t="str">
        <f aca="false">IF($M110=0,"",105)</f>
        <v/>
      </c>
      <c r="B110" s="13" t="str">
        <f aca="false">IF($M110=0,"",IF(INDEX('Line Detail'!$B$6:$B$505,$M110)="","",INDEX('Line Detail'!$B$6:$B$505,$M110)))</f>
        <v/>
      </c>
      <c r="C110" s="13" t="str">
        <f aca="false">IF($M110=0,"",IF(INDEX('Line Detail'!$C$6:$C$505,$M110)="","",INDEX('Line Detail'!$C$6:$C$505,$M110)))</f>
        <v/>
      </c>
      <c r="D110" s="13" t="str">
        <f aca="false">IF($M110=0,"",IF(INDEX('Line Detail'!$D$6:$D$505,$M110)="","",INDEX('Line Detail'!$D$6:$D$505,$M110)))</f>
        <v/>
      </c>
      <c r="E110" s="13" t="str">
        <f aca="false">IF($M110=0,"",IF(INDEX('Line Detail'!$E$6:$E$505,$M110)="","",INDEX('Line Detail'!$E$6:$E$505,$M110)))</f>
        <v/>
      </c>
      <c r="F110" s="6" t="str">
        <f aca="false">IF($M110=0,"",IF(INDEX('Line Detail'!$F$6:$F$505,$M110)="","",INDEX('Line Detail'!$F$6:$F$505,$M110)))</f>
        <v/>
      </c>
      <c r="G110" s="62" t="str">
        <f aca="false">IF($M110=0,"",IF(INDEX('Line Detail'!$G$6:$G$505,$M110)="","",INDEX('Line Detail'!$G$6:$G$505,$M110)))</f>
        <v/>
      </c>
      <c r="H110" s="13" t="str">
        <f aca="false">IF($M110=0,"",IF(INDEX('Line Detail'!$H$6:$H$505,$M110)="","",INDEX('Line Detail'!$H$6:$H$505,$M110)))</f>
        <v/>
      </c>
      <c r="I110" s="34" t="str">
        <f aca="false">IF($M110=0,"",IF(INDEX('Line Detail'!$O$6:$O$505,$M110)="","",INDEX('Line Detail'!$O$6:$O$505,$M110)))</f>
        <v/>
      </c>
      <c r="J110" s="34" t="str">
        <f aca="false">IF($M110=0,"",IF(INDEX('Line Detail'!$R$6:$R$505,$M110)="","",INDEX('Line Detail'!$R$6:$R$505,$M110)))</f>
        <v/>
      </c>
      <c r="K110" s="6" t="str">
        <f aca="false">IF($M110=0,"",IF(INDEX('Line Detail'!$S$6:$S$505,$M110)="","",INDEX('Line Detail'!$S$6:$S$505,$M110)))</f>
        <v/>
      </c>
      <c r="L110" s="1"/>
      <c r="M110" s="63" t="n">
        <f aca="false">IFERROR(MATCH(105,'Line Detail'!$W$6:$W$505,0),0)</f>
        <v>0</v>
      </c>
    </row>
    <row r="111" customFormat="false" ht="15" hidden="false" customHeight="false" outlineLevel="0" collapsed="false">
      <c r="A111" s="13" t="str">
        <f aca="false">IF($M111=0,"",106)</f>
        <v/>
      </c>
      <c r="B111" s="13" t="str">
        <f aca="false">IF($M111=0,"",IF(INDEX('Line Detail'!$B$6:$B$505,$M111)="","",INDEX('Line Detail'!$B$6:$B$505,$M111)))</f>
        <v/>
      </c>
      <c r="C111" s="13" t="str">
        <f aca="false">IF($M111=0,"",IF(INDEX('Line Detail'!$C$6:$C$505,$M111)="","",INDEX('Line Detail'!$C$6:$C$505,$M111)))</f>
        <v/>
      </c>
      <c r="D111" s="13" t="str">
        <f aca="false">IF($M111=0,"",IF(INDEX('Line Detail'!$D$6:$D$505,$M111)="","",INDEX('Line Detail'!$D$6:$D$505,$M111)))</f>
        <v/>
      </c>
      <c r="E111" s="13" t="str">
        <f aca="false">IF($M111=0,"",IF(INDEX('Line Detail'!$E$6:$E$505,$M111)="","",INDEX('Line Detail'!$E$6:$E$505,$M111)))</f>
        <v/>
      </c>
      <c r="F111" s="6" t="str">
        <f aca="false">IF($M111=0,"",IF(INDEX('Line Detail'!$F$6:$F$505,$M111)="","",INDEX('Line Detail'!$F$6:$F$505,$M111)))</f>
        <v/>
      </c>
      <c r="G111" s="62" t="str">
        <f aca="false">IF($M111=0,"",IF(INDEX('Line Detail'!$G$6:$G$505,$M111)="","",INDEX('Line Detail'!$G$6:$G$505,$M111)))</f>
        <v/>
      </c>
      <c r="H111" s="13" t="str">
        <f aca="false">IF($M111=0,"",IF(INDEX('Line Detail'!$H$6:$H$505,$M111)="","",INDEX('Line Detail'!$H$6:$H$505,$M111)))</f>
        <v/>
      </c>
      <c r="I111" s="34" t="str">
        <f aca="false">IF($M111=0,"",IF(INDEX('Line Detail'!$O$6:$O$505,$M111)="","",INDEX('Line Detail'!$O$6:$O$505,$M111)))</f>
        <v/>
      </c>
      <c r="J111" s="34" t="str">
        <f aca="false">IF($M111=0,"",IF(INDEX('Line Detail'!$R$6:$R$505,$M111)="","",INDEX('Line Detail'!$R$6:$R$505,$M111)))</f>
        <v/>
      </c>
      <c r="K111" s="6" t="str">
        <f aca="false">IF($M111=0,"",IF(INDEX('Line Detail'!$S$6:$S$505,$M111)="","",INDEX('Line Detail'!$S$6:$S$505,$M111)))</f>
        <v/>
      </c>
      <c r="L111" s="1"/>
      <c r="M111" s="63" t="n">
        <f aca="false">IFERROR(MATCH(106,'Line Detail'!$W$6:$W$505,0),0)</f>
        <v>0</v>
      </c>
    </row>
    <row r="112" customFormat="false" ht="15" hidden="false" customHeight="false" outlineLevel="0" collapsed="false">
      <c r="A112" s="13" t="str">
        <f aca="false">IF($M112=0,"",107)</f>
        <v/>
      </c>
      <c r="B112" s="13" t="str">
        <f aca="false">IF($M112=0,"",IF(INDEX('Line Detail'!$B$6:$B$505,$M112)="","",INDEX('Line Detail'!$B$6:$B$505,$M112)))</f>
        <v/>
      </c>
      <c r="C112" s="13" t="str">
        <f aca="false">IF($M112=0,"",IF(INDEX('Line Detail'!$C$6:$C$505,$M112)="","",INDEX('Line Detail'!$C$6:$C$505,$M112)))</f>
        <v/>
      </c>
      <c r="D112" s="13" t="str">
        <f aca="false">IF($M112=0,"",IF(INDEX('Line Detail'!$D$6:$D$505,$M112)="","",INDEX('Line Detail'!$D$6:$D$505,$M112)))</f>
        <v/>
      </c>
      <c r="E112" s="13" t="str">
        <f aca="false">IF($M112=0,"",IF(INDEX('Line Detail'!$E$6:$E$505,$M112)="","",INDEX('Line Detail'!$E$6:$E$505,$M112)))</f>
        <v/>
      </c>
      <c r="F112" s="6" t="str">
        <f aca="false">IF($M112=0,"",IF(INDEX('Line Detail'!$F$6:$F$505,$M112)="","",INDEX('Line Detail'!$F$6:$F$505,$M112)))</f>
        <v/>
      </c>
      <c r="G112" s="62" t="str">
        <f aca="false">IF($M112=0,"",IF(INDEX('Line Detail'!$G$6:$G$505,$M112)="","",INDEX('Line Detail'!$G$6:$G$505,$M112)))</f>
        <v/>
      </c>
      <c r="H112" s="13" t="str">
        <f aca="false">IF($M112=0,"",IF(INDEX('Line Detail'!$H$6:$H$505,$M112)="","",INDEX('Line Detail'!$H$6:$H$505,$M112)))</f>
        <v/>
      </c>
      <c r="I112" s="34" t="str">
        <f aca="false">IF($M112=0,"",IF(INDEX('Line Detail'!$O$6:$O$505,$M112)="","",INDEX('Line Detail'!$O$6:$O$505,$M112)))</f>
        <v/>
      </c>
      <c r="J112" s="34" t="str">
        <f aca="false">IF($M112=0,"",IF(INDEX('Line Detail'!$R$6:$R$505,$M112)="","",INDEX('Line Detail'!$R$6:$R$505,$M112)))</f>
        <v/>
      </c>
      <c r="K112" s="6" t="str">
        <f aca="false">IF($M112=0,"",IF(INDEX('Line Detail'!$S$6:$S$505,$M112)="","",INDEX('Line Detail'!$S$6:$S$505,$M112)))</f>
        <v/>
      </c>
      <c r="L112" s="1"/>
      <c r="M112" s="63" t="n">
        <f aca="false">IFERROR(MATCH(107,'Line Detail'!$W$6:$W$505,0),0)</f>
        <v>0</v>
      </c>
    </row>
    <row r="113" customFormat="false" ht="15" hidden="false" customHeight="false" outlineLevel="0" collapsed="false">
      <c r="A113" s="13" t="str">
        <f aca="false">IF($M113=0,"",108)</f>
        <v/>
      </c>
      <c r="B113" s="13" t="str">
        <f aca="false">IF($M113=0,"",IF(INDEX('Line Detail'!$B$6:$B$505,$M113)="","",INDEX('Line Detail'!$B$6:$B$505,$M113)))</f>
        <v/>
      </c>
      <c r="C113" s="13" t="str">
        <f aca="false">IF($M113=0,"",IF(INDEX('Line Detail'!$C$6:$C$505,$M113)="","",INDEX('Line Detail'!$C$6:$C$505,$M113)))</f>
        <v/>
      </c>
      <c r="D113" s="13" t="str">
        <f aca="false">IF($M113=0,"",IF(INDEX('Line Detail'!$D$6:$D$505,$M113)="","",INDEX('Line Detail'!$D$6:$D$505,$M113)))</f>
        <v/>
      </c>
      <c r="E113" s="13" t="str">
        <f aca="false">IF($M113=0,"",IF(INDEX('Line Detail'!$E$6:$E$505,$M113)="","",INDEX('Line Detail'!$E$6:$E$505,$M113)))</f>
        <v/>
      </c>
      <c r="F113" s="6" t="str">
        <f aca="false">IF($M113=0,"",IF(INDEX('Line Detail'!$F$6:$F$505,$M113)="","",INDEX('Line Detail'!$F$6:$F$505,$M113)))</f>
        <v/>
      </c>
      <c r="G113" s="62" t="str">
        <f aca="false">IF($M113=0,"",IF(INDEX('Line Detail'!$G$6:$G$505,$M113)="","",INDEX('Line Detail'!$G$6:$G$505,$M113)))</f>
        <v/>
      </c>
      <c r="H113" s="13" t="str">
        <f aca="false">IF($M113=0,"",IF(INDEX('Line Detail'!$H$6:$H$505,$M113)="","",INDEX('Line Detail'!$H$6:$H$505,$M113)))</f>
        <v/>
      </c>
      <c r="I113" s="34" t="str">
        <f aca="false">IF($M113=0,"",IF(INDEX('Line Detail'!$O$6:$O$505,$M113)="","",INDEX('Line Detail'!$O$6:$O$505,$M113)))</f>
        <v/>
      </c>
      <c r="J113" s="34" t="str">
        <f aca="false">IF($M113=0,"",IF(INDEX('Line Detail'!$R$6:$R$505,$M113)="","",INDEX('Line Detail'!$R$6:$R$505,$M113)))</f>
        <v/>
      </c>
      <c r="K113" s="6" t="str">
        <f aca="false">IF($M113=0,"",IF(INDEX('Line Detail'!$S$6:$S$505,$M113)="","",INDEX('Line Detail'!$S$6:$S$505,$M113)))</f>
        <v/>
      </c>
      <c r="L113" s="1"/>
      <c r="M113" s="63" t="n">
        <f aca="false">IFERROR(MATCH(108,'Line Detail'!$W$6:$W$505,0),0)</f>
        <v>0</v>
      </c>
    </row>
    <row r="114" customFormat="false" ht="15" hidden="false" customHeight="false" outlineLevel="0" collapsed="false">
      <c r="A114" s="13" t="str">
        <f aca="false">IF($M114=0,"",109)</f>
        <v/>
      </c>
      <c r="B114" s="13" t="str">
        <f aca="false">IF($M114=0,"",IF(INDEX('Line Detail'!$B$6:$B$505,$M114)="","",INDEX('Line Detail'!$B$6:$B$505,$M114)))</f>
        <v/>
      </c>
      <c r="C114" s="13" t="str">
        <f aca="false">IF($M114=0,"",IF(INDEX('Line Detail'!$C$6:$C$505,$M114)="","",INDEX('Line Detail'!$C$6:$C$505,$M114)))</f>
        <v/>
      </c>
      <c r="D114" s="13" t="str">
        <f aca="false">IF($M114=0,"",IF(INDEX('Line Detail'!$D$6:$D$505,$M114)="","",INDEX('Line Detail'!$D$6:$D$505,$M114)))</f>
        <v/>
      </c>
      <c r="E114" s="13" t="str">
        <f aca="false">IF($M114=0,"",IF(INDEX('Line Detail'!$E$6:$E$505,$M114)="","",INDEX('Line Detail'!$E$6:$E$505,$M114)))</f>
        <v/>
      </c>
      <c r="F114" s="6" t="str">
        <f aca="false">IF($M114=0,"",IF(INDEX('Line Detail'!$F$6:$F$505,$M114)="","",INDEX('Line Detail'!$F$6:$F$505,$M114)))</f>
        <v/>
      </c>
      <c r="G114" s="62" t="str">
        <f aca="false">IF($M114=0,"",IF(INDEX('Line Detail'!$G$6:$G$505,$M114)="","",INDEX('Line Detail'!$G$6:$G$505,$M114)))</f>
        <v/>
      </c>
      <c r="H114" s="13" t="str">
        <f aca="false">IF($M114=0,"",IF(INDEX('Line Detail'!$H$6:$H$505,$M114)="","",INDEX('Line Detail'!$H$6:$H$505,$M114)))</f>
        <v/>
      </c>
      <c r="I114" s="34" t="str">
        <f aca="false">IF($M114=0,"",IF(INDEX('Line Detail'!$O$6:$O$505,$M114)="","",INDEX('Line Detail'!$O$6:$O$505,$M114)))</f>
        <v/>
      </c>
      <c r="J114" s="34" t="str">
        <f aca="false">IF($M114=0,"",IF(INDEX('Line Detail'!$R$6:$R$505,$M114)="","",INDEX('Line Detail'!$R$6:$R$505,$M114)))</f>
        <v/>
      </c>
      <c r="K114" s="6" t="str">
        <f aca="false">IF($M114=0,"",IF(INDEX('Line Detail'!$S$6:$S$505,$M114)="","",INDEX('Line Detail'!$S$6:$S$505,$M114)))</f>
        <v/>
      </c>
      <c r="L114" s="1"/>
      <c r="M114" s="63" t="n">
        <f aca="false">IFERROR(MATCH(109,'Line Detail'!$W$6:$W$505,0),0)</f>
        <v>0</v>
      </c>
    </row>
    <row r="115" customFormat="false" ht="15" hidden="false" customHeight="false" outlineLevel="0" collapsed="false">
      <c r="A115" s="13" t="str">
        <f aca="false">IF($M115=0,"",110)</f>
        <v/>
      </c>
      <c r="B115" s="13" t="str">
        <f aca="false">IF($M115=0,"",IF(INDEX('Line Detail'!$B$6:$B$505,$M115)="","",INDEX('Line Detail'!$B$6:$B$505,$M115)))</f>
        <v/>
      </c>
      <c r="C115" s="13" t="str">
        <f aca="false">IF($M115=0,"",IF(INDEX('Line Detail'!$C$6:$C$505,$M115)="","",INDEX('Line Detail'!$C$6:$C$505,$M115)))</f>
        <v/>
      </c>
      <c r="D115" s="13" t="str">
        <f aca="false">IF($M115=0,"",IF(INDEX('Line Detail'!$D$6:$D$505,$M115)="","",INDEX('Line Detail'!$D$6:$D$505,$M115)))</f>
        <v/>
      </c>
      <c r="E115" s="13" t="str">
        <f aca="false">IF($M115=0,"",IF(INDEX('Line Detail'!$E$6:$E$505,$M115)="","",INDEX('Line Detail'!$E$6:$E$505,$M115)))</f>
        <v/>
      </c>
      <c r="F115" s="6" t="str">
        <f aca="false">IF($M115=0,"",IF(INDEX('Line Detail'!$F$6:$F$505,$M115)="","",INDEX('Line Detail'!$F$6:$F$505,$M115)))</f>
        <v/>
      </c>
      <c r="G115" s="62" t="str">
        <f aca="false">IF($M115=0,"",IF(INDEX('Line Detail'!$G$6:$G$505,$M115)="","",INDEX('Line Detail'!$G$6:$G$505,$M115)))</f>
        <v/>
      </c>
      <c r="H115" s="13" t="str">
        <f aca="false">IF($M115=0,"",IF(INDEX('Line Detail'!$H$6:$H$505,$M115)="","",INDEX('Line Detail'!$H$6:$H$505,$M115)))</f>
        <v/>
      </c>
      <c r="I115" s="34" t="str">
        <f aca="false">IF($M115=0,"",IF(INDEX('Line Detail'!$O$6:$O$505,$M115)="","",INDEX('Line Detail'!$O$6:$O$505,$M115)))</f>
        <v/>
      </c>
      <c r="J115" s="34" t="str">
        <f aca="false">IF($M115=0,"",IF(INDEX('Line Detail'!$R$6:$R$505,$M115)="","",INDEX('Line Detail'!$R$6:$R$505,$M115)))</f>
        <v/>
      </c>
      <c r="K115" s="6" t="str">
        <f aca="false">IF($M115=0,"",IF(INDEX('Line Detail'!$S$6:$S$505,$M115)="","",INDEX('Line Detail'!$S$6:$S$505,$M115)))</f>
        <v/>
      </c>
      <c r="L115" s="1"/>
      <c r="M115" s="63" t="n">
        <f aca="false">IFERROR(MATCH(110,'Line Detail'!$W$6:$W$505,0),0)</f>
        <v>0</v>
      </c>
    </row>
    <row r="116" customFormat="false" ht="15" hidden="false" customHeight="false" outlineLevel="0" collapsed="false">
      <c r="A116" s="13" t="str">
        <f aca="false">IF($M116=0,"",111)</f>
        <v/>
      </c>
      <c r="B116" s="13" t="str">
        <f aca="false">IF($M116=0,"",IF(INDEX('Line Detail'!$B$6:$B$505,$M116)="","",INDEX('Line Detail'!$B$6:$B$505,$M116)))</f>
        <v/>
      </c>
      <c r="C116" s="13" t="str">
        <f aca="false">IF($M116=0,"",IF(INDEX('Line Detail'!$C$6:$C$505,$M116)="","",INDEX('Line Detail'!$C$6:$C$505,$M116)))</f>
        <v/>
      </c>
      <c r="D116" s="13" t="str">
        <f aca="false">IF($M116=0,"",IF(INDEX('Line Detail'!$D$6:$D$505,$M116)="","",INDEX('Line Detail'!$D$6:$D$505,$M116)))</f>
        <v/>
      </c>
      <c r="E116" s="13" t="str">
        <f aca="false">IF($M116=0,"",IF(INDEX('Line Detail'!$E$6:$E$505,$M116)="","",INDEX('Line Detail'!$E$6:$E$505,$M116)))</f>
        <v/>
      </c>
      <c r="F116" s="6" t="str">
        <f aca="false">IF($M116=0,"",IF(INDEX('Line Detail'!$F$6:$F$505,$M116)="","",INDEX('Line Detail'!$F$6:$F$505,$M116)))</f>
        <v/>
      </c>
      <c r="G116" s="62" t="str">
        <f aca="false">IF($M116=0,"",IF(INDEX('Line Detail'!$G$6:$G$505,$M116)="","",INDEX('Line Detail'!$G$6:$G$505,$M116)))</f>
        <v/>
      </c>
      <c r="H116" s="13" t="str">
        <f aca="false">IF($M116=0,"",IF(INDEX('Line Detail'!$H$6:$H$505,$M116)="","",INDEX('Line Detail'!$H$6:$H$505,$M116)))</f>
        <v/>
      </c>
      <c r="I116" s="34" t="str">
        <f aca="false">IF($M116=0,"",IF(INDEX('Line Detail'!$O$6:$O$505,$M116)="","",INDEX('Line Detail'!$O$6:$O$505,$M116)))</f>
        <v/>
      </c>
      <c r="J116" s="34" t="str">
        <f aca="false">IF($M116=0,"",IF(INDEX('Line Detail'!$R$6:$R$505,$M116)="","",INDEX('Line Detail'!$R$6:$R$505,$M116)))</f>
        <v/>
      </c>
      <c r="K116" s="6" t="str">
        <f aca="false">IF($M116=0,"",IF(INDEX('Line Detail'!$S$6:$S$505,$M116)="","",INDEX('Line Detail'!$S$6:$S$505,$M116)))</f>
        <v/>
      </c>
      <c r="L116" s="1"/>
      <c r="M116" s="63" t="n">
        <f aca="false">IFERROR(MATCH(111,'Line Detail'!$W$6:$W$505,0),0)</f>
        <v>0</v>
      </c>
    </row>
    <row r="117" customFormat="false" ht="15" hidden="false" customHeight="false" outlineLevel="0" collapsed="false">
      <c r="A117" s="13" t="str">
        <f aca="false">IF($M117=0,"",112)</f>
        <v/>
      </c>
      <c r="B117" s="13" t="str">
        <f aca="false">IF($M117=0,"",IF(INDEX('Line Detail'!$B$6:$B$505,$M117)="","",INDEX('Line Detail'!$B$6:$B$505,$M117)))</f>
        <v/>
      </c>
      <c r="C117" s="13" t="str">
        <f aca="false">IF($M117=0,"",IF(INDEX('Line Detail'!$C$6:$C$505,$M117)="","",INDEX('Line Detail'!$C$6:$C$505,$M117)))</f>
        <v/>
      </c>
      <c r="D117" s="13" t="str">
        <f aca="false">IF($M117=0,"",IF(INDEX('Line Detail'!$D$6:$D$505,$M117)="","",INDEX('Line Detail'!$D$6:$D$505,$M117)))</f>
        <v/>
      </c>
      <c r="E117" s="13" t="str">
        <f aca="false">IF($M117=0,"",IF(INDEX('Line Detail'!$E$6:$E$505,$M117)="","",INDEX('Line Detail'!$E$6:$E$505,$M117)))</f>
        <v/>
      </c>
      <c r="F117" s="6" t="str">
        <f aca="false">IF($M117=0,"",IF(INDEX('Line Detail'!$F$6:$F$505,$M117)="","",INDEX('Line Detail'!$F$6:$F$505,$M117)))</f>
        <v/>
      </c>
      <c r="G117" s="62" t="str">
        <f aca="false">IF($M117=0,"",IF(INDEX('Line Detail'!$G$6:$G$505,$M117)="","",INDEX('Line Detail'!$G$6:$G$505,$M117)))</f>
        <v/>
      </c>
      <c r="H117" s="13" t="str">
        <f aca="false">IF($M117=0,"",IF(INDEX('Line Detail'!$H$6:$H$505,$M117)="","",INDEX('Line Detail'!$H$6:$H$505,$M117)))</f>
        <v/>
      </c>
      <c r="I117" s="34" t="str">
        <f aca="false">IF($M117=0,"",IF(INDEX('Line Detail'!$O$6:$O$505,$M117)="","",INDEX('Line Detail'!$O$6:$O$505,$M117)))</f>
        <v/>
      </c>
      <c r="J117" s="34" t="str">
        <f aca="false">IF($M117=0,"",IF(INDEX('Line Detail'!$R$6:$R$505,$M117)="","",INDEX('Line Detail'!$R$6:$R$505,$M117)))</f>
        <v/>
      </c>
      <c r="K117" s="6" t="str">
        <f aca="false">IF($M117=0,"",IF(INDEX('Line Detail'!$S$6:$S$505,$M117)="","",INDEX('Line Detail'!$S$6:$S$505,$M117)))</f>
        <v/>
      </c>
      <c r="L117" s="1"/>
      <c r="M117" s="63" t="n">
        <f aca="false">IFERROR(MATCH(112,'Line Detail'!$W$6:$W$505,0),0)</f>
        <v>0</v>
      </c>
    </row>
    <row r="118" customFormat="false" ht="15" hidden="false" customHeight="false" outlineLevel="0" collapsed="false">
      <c r="A118" s="13" t="str">
        <f aca="false">IF($M118=0,"",113)</f>
        <v/>
      </c>
      <c r="B118" s="13" t="str">
        <f aca="false">IF($M118=0,"",IF(INDEX('Line Detail'!$B$6:$B$505,$M118)="","",INDEX('Line Detail'!$B$6:$B$505,$M118)))</f>
        <v/>
      </c>
      <c r="C118" s="13" t="str">
        <f aca="false">IF($M118=0,"",IF(INDEX('Line Detail'!$C$6:$C$505,$M118)="","",INDEX('Line Detail'!$C$6:$C$505,$M118)))</f>
        <v/>
      </c>
      <c r="D118" s="13" t="str">
        <f aca="false">IF($M118=0,"",IF(INDEX('Line Detail'!$D$6:$D$505,$M118)="","",INDEX('Line Detail'!$D$6:$D$505,$M118)))</f>
        <v/>
      </c>
      <c r="E118" s="13" t="str">
        <f aca="false">IF($M118=0,"",IF(INDEX('Line Detail'!$E$6:$E$505,$M118)="","",INDEX('Line Detail'!$E$6:$E$505,$M118)))</f>
        <v/>
      </c>
      <c r="F118" s="6" t="str">
        <f aca="false">IF($M118=0,"",IF(INDEX('Line Detail'!$F$6:$F$505,$M118)="","",INDEX('Line Detail'!$F$6:$F$505,$M118)))</f>
        <v/>
      </c>
      <c r="G118" s="62" t="str">
        <f aca="false">IF($M118=0,"",IF(INDEX('Line Detail'!$G$6:$G$505,$M118)="","",INDEX('Line Detail'!$G$6:$G$505,$M118)))</f>
        <v/>
      </c>
      <c r="H118" s="13" t="str">
        <f aca="false">IF($M118=0,"",IF(INDEX('Line Detail'!$H$6:$H$505,$M118)="","",INDEX('Line Detail'!$H$6:$H$505,$M118)))</f>
        <v/>
      </c>
      <c r="I118" s="34" t="str">
        <f aca="false">IF($M118=0,"",IF(INDEX('Line Detail'!$O$6:$O$505,$M118)="","",INDEX('Line Detail'!$O$6:$O$505,$M118)))</f>
        <v/>
      </c>
      <c r="J118" s="34" t="str">
        <f aca="false">IF($M118=0,"",IF(INDEX('Line Detail'!$R$6:$R$505,$M118)="","",INDEX('Line Detail'!$R$6:$R$505,$M118)))</f>
        <v/>
      </c>
      <c r="K118" s="6" t="str">
        <f aca="false">IF($M118=0,"",IF(INDEX('Line Detail'!$S$6:$S$505,$M118)="","",INDEX('Line Detail'!$S$6:$S$505,$M118)))</f>
        <v/>
      </c>
      <c r="L118" s="1"/>
      <c r="M118" s="63" t="n">
        <f aca="false">IFERROR(MATCH(113,'Line Detail'!$W$6:$W$505,0),0)</f>
        <v>0</v>
      </c>
    </row>
    <row r="119" customFormat="false" ht="15" hidden="false" customHeight="false" outlineLevel="0" collapsed="false">
      <c r="A119" s="13" t="str">
        <f aca="false">IF($M119=0,"",114)</f>
        <v/>
      </c>
      <c r="B119" s="13" t="str">
        <f aca="false">IF($M119=0,"",IF(INDEX('Line Detail'!$B$6:$B$505,$M119)="","",INDEX('Line Detail'!$B$6:$B$505,$M119)))</f>
        <v/>
      </c>
      <c r="C119" s="13" t="str">
        <f aca="false">IF($M119=0,"",IF(INDEX('Line Detail'!$C$6:$C$505,$M119)="","",INDEX('Line Detail'!$C$6:$C$505,$M119)))</f>
        <v/>
      </c>
      <c r="D119" s="13" t="str">
        <f aca="false">IF($M119=0,"",IF(INDEX('Line Detail'!$D$6:$D$505,$M119)="","",INDEX('Line Detail'!$D$6:$D$505,$M119)))</f>
        <v/>
      </c>
      <c r="E119" s="13" t="str">
        <f aca="false">IF($M119=0,"",IF(INDEX('Line Detail'!$E$6:$E$505,$M119)="","",INDEX('Line Detail'!$E$6:$E$505,$M119)))</f>
        <v/>
      </c>
      <c r="F119" s="6" t="str">
        <f aca="false">IF($M119=0,"",IF(INDEX('Line Detail'!$F$6:$F$505,$M119)="","",INDEX('Line Detail'!$F$6:$F$505,$M119)))</f>
        <v/>
      </c>
      <c r="G119" s="62" t="str">
        <f aca="false">IF($M119=0,"",IF(INDEX('Line Detail'!$G$6:$G$505,$M119)="","",INDEX('Line Detail'!$G$6:$G$505,$M119)))</f>
        <v/>
      </c>
      <c r="H119" s="13" t="str">
        <f aca="false">IF($M119=0,"",IF(INDEX('Line Detail'!$H$6:$H$505,$M119)="","",INDEX('Line Detail'!$H$6:$H$505,$M119)))</f>
        <v/>
      </c>
      <c r="I119" s="34" t="str">
        <f aca="false">IF($M119=0,"",IF(INDEX('Line Detail'!$O$6:$O$505,$M119)="","",INDEX('Line Detail'!$O$6:$O$505,$M119)))</f>
        <v/>
      </c>
      <c r="J119" s="34" t="str">
        <f aca="false">IF($M119=0,"",IF(INDEX('Line Detail'!$R$6:$R$505,$M119)="","",INDEX('Line Detail'!$R$6:$R$505,$M119)))</f>
        <v/>
      </c>
      <c r="K119" s="6" t="str">
        <f aca="false">IF($M119=0,"",IF(INDEX('Line Detail'!$S$6:$S$505,$M119)="","",INDEX('Line Detail'!$S$6:$S$505,$M119)))</f>
        <v/>
      </c>
      <c r="L119" s="1"/>
      <c r="M119" s="63" t="n">
        <f aca="false">IFERROR(MATCH(114,'Line Detail'!$W$6:$W$505,0),0)</f>
        <v>0</v>
      </c>
    </row>
    <row r="120" customFormat="false" ht="15" hidden="false" customHeight="false" outlineLevel="0" collapsed="false">
      <c r="A120" s="13" t="str">
        <f aca="false">IF($M120=0,"",115)</f>
        <v/>
      </c>
      <c r="B120" s="13" t="str">
        <f aca="false">IF($M120=0,"",IF(INDEX('Line Detail'!$B$6:$B$505,$M120)="","",INDEX('Line Detail'!$B$6:$B$505,$M120)))</f>
        <v/>
      </c>
      <c r="C120" s="13" t="str">
        <f aca="false">IF($M120=0,"",IF(INDEX('Line Detail'!$C$6:$C$505,$M120)="","",INDEX('Line Detail'!$C$6:$C$505,$M120)))</f>
        <v/>
      </c>
      <c r="D120" s="13" t="str">
        <f aca="false">IF($M120=0,"",IF(INDEX('Line Detail'!$D$6:$D$505,$M120)="","",INDEX('Line Detail'!$D$6:$D$505,$M120)))</f>
        <v/>
      </c>
      <c r="E120" s="13" t="str">
        <f aca="false">IF($M120=0,"",IF(INDEX('Line Detail'!$E$6:$E$505,$M120)="","",INDEX('Line Detail'!$E$6:$E$505,$M120)))</f>
        <v/>
      </c>
      <c r="F120" s="6" t="str">
        <f aca="false">IF($M120=0,"",IF(INDEX('Line Detail'!$F$6:$F$505,$M120)="","",INDEX('Line Detail'!$F$6:$F$505,$M120)))</f>
        <v/>
      </c>
      <c r="G120" s="62" t="str">
        <f aca="false">IF($M120=0,"",IF(INDEX('Line Detail'!$G$6:$G$505,$M120)="","",INDEX('Line Detail'!$G$6:$G$505,$M120)))</f>
        <v/>
      </c>
      <c r="H120" s="13" t="str">
        <f aca="false">IF($M120=0,"",IF(INDEX('Line Detail'!$H$6:$H$505,$M120)="","",INDEX('Line Detail'!$H$6:$H$505,$M120)))</f>
        <v/>
      </c>
      <c r="I120" s="34" t="str">
        <f aca="false">IF($M120=0,"",IF(INDEX('Line Detail'!$O$6:$O$505,$M120)="","",INDEX('Line Detail'!$O$6:$O$505,$M120)))</f>
        <v/>
      </c>
      <c r="J120" s="34" t="str">
        <f aca="false">IF($M120=0,"",IF(INDEX('Line Detail'!$R$6:$R$505,$M120)="","",INDEX('Line Detail'!$R$6:$R$505,$M120)))</f>
        <v/>
      </c>
      <c r="K120" s="6" t="str">
        <f aca="false">IF($M120=0,"",IF(INDEX('Line Detail'!$S$6:$S$505,$M120)="","",INDEX('Line Detail'!$S$6:$S$505,$M120)))</f>
        <v/>
      </c>
      <c r="L120" s="1"/>
      <c r="M120" s="63" t="n">
        <f aca="false">IFERROR(MATCH(115,'Line Detail'!$W$6:$W$505,0),0)</f>
        <v>0</v>
      </c>
    </row>
    <row r="121" customFormat="false" ht="15" hidden="false" customHeight="false" outlineLevel="0" collapsed="false">
      <c r="A121" s="13" t="str">
        <f aca="false">IF($M121=0,"",116)</f>
        <v/>
      </c>
      <c r="B121" s="13" t="str">
        <f aca="false">IF($M121=0,"",IF(INDEX('Line Detail'!$B$6:$B$505,$M121)="","",INDEX('Line Detail'!$B$6:$B$505,$M121)))</f>
        <v/>
      </c>
      <c r="C121" s="13" t="str">
        <f aca="false">IF($M121=0,"",IF(INDEX('Line Detail'!$C$6:$C$505,$M121)="","",INDEX('Line Detail'!$C$6:$C$505,$M121)))</f>
        <v/>
      </c>
      <c r="D121" s="13" t="str">
        <f aca="false">IF($M121=0,"",IF(INDEX('Line Detail'!$D$6:$D$505,$M121)="","",INDEX('Line Detail'!$D$6:$D$505,$M121)))</f>
        <v/>
      </c>
      <c r="E121" s="13" t="str">
        <f aca="false">IF($M121=0,"",IF(INDEX('Line Detail'!$E$6:$E$505,$M121)="","",INDEX('Line Detail'!$E$6:$E$505,$M121)))</f>
        <v/>
      </c>
      <c r="F121" s="6" t="str">
        <f aca="false">IF($M121=0,"",IF(INDEX('Line Detail'!$F$6:$F$505,$M121)="","",INDEX('Line Detail'!$F$6:$F$505,$M121)))</f>
        <v/>
      </c>
      <c r="G121" s="62" t="str">
        <f aca="false">IF($M121=0,"",IF(INDEX('Line Detail'!$G$6:$G$505,$M121)="","",INDEX('Line Detail'!$G$6:$G$505,$M121)))</f>
        <v/>
      </c>
      <c r="H121" s="13" t="str">
        <f aca="false">IF($M121=0,"",IF(INDEX('Line Detail'!$H$6:$H$505,$M121)="","",INDEX('Line Detail'!$H$6:$H$505,$M121)))</f>
        <v/>
      </c>
      <c r="I121" s="34" t="str">
        <f aca="false">IF($M121=0,"",IF(INDEX('Line Detail'!$O$6:$O$505,$M121)="","",INDEX('Line Detail'!$O$6:$O$505,$M121)))</f>
        <v/>
      </c>
      <c r="J121" s="34" t="str">
        <f aca="false">IF($M121=0,"",IF(INDEX('Line Detail'!$R$6:$R$505,$M121)="","",INDEX('Line Detail'!$R$6:$R$505,$M121)))</f>
        <v/>
      </c>
      <c r="K121" s="6" t="str">
        <f aca="false">IF($M121=0,"",IF(INDEX('Line Detail'!$S$6:$S$505,$M121)="","",INDEX('Line Detail'!$S$6:$S$505,$M121)))</f>
        <v/>
      </c>
      <c r="L121" s="1"/>
      <c r="M121" s="63" t="n">
        <f aca="false">IFERROR(MATCH(116,'Line Detail'!$W$6:$W$505,0),0)</f>
        <v>0</v>
      </c>
    </row>
    <row r="122" customFormat="false" ht="15" hidden="false" customHeight="false" outlineLevel="0" collapsed="false">
      <c r="A122" s="13" t="str">
        <f aca="false">IF($M122=0,"",117)</f>
        <v/>
      </c>
      <c r="B122" s="13" t="str">
        <f aca="false">IF($M122=0,"",IF(INDEX('Line Detail'!$B$6:$B$505,$M122)="","",INDEX('Line Detail'!$B$6:$B$505,$M122)))</f>
        <v/>
      </c>
      <c r="C122" s="13" t="str">
        <f aca="false">IF($M122=0,"",IF(INDEX('Line Detail'!$C$6:$C$505,$M122)="","",INDEX('Line Detail'!$C$6:$C$505,$M122)))</f>
        <v/>
      </c>
      <c r="D122" s="13" t="str">
        <f aca="false">IF($M122=0,"",IF(INDEX('Line Detail'!$D$6:$D$505,$M122)="","",INDEX('Line Detail'!$D$6:$D$505,$M122)))</f>
        <v/>
      </c>
      <c r="E122" s="13" t="str">
        <f aca="false">IF($M122=0,"",IF(INDEX('Line Detail'!$E$6:$E$505,$M122)="","",INDEX('Line Detail'!$E$6:$E$505,$M122)))</f>
        <v/>
      </c>
      <c r="F122" s="6" t="str">
        <f aca="false">IF($M122=0,"",IF(INDEX('Line Detail'!$F$6:$F$505,$M122)="","",INDEX('Line Detail'!$F$6:$F$505,$M122)))</f>
        <v/>
      </c>
      <c r="G122" s="62" t="str">
        <f aca="false">IF($M122=0,"",IF(INDEX('Line Detail'!$G$6:$G$505,$M122)="","",INDEX('Line Detail'!$G$6:$G$505,$M122)))</f>
        <v/>
      </c>
      <c r="H122" s="13" t="str">
        <f aca="false">IF($M122=0,"",IF(INDEX('Line Detail'!$H$6:$H$505,$M122)="","",INDEX('Line Detail'!$H$6:$H$505,$M122)))</f>
        <v/>
      </c>
      <c r="I122" s="34" t="str">
        <f aca="false">IF($M122=0,"",IF(INDEX('Line Detail'!$O$6:$O$505,$M122)="","",INDEX('Line Detail'!$O$6:$O$505,$M122)))</f>
        <v/>
      </c>
      <c r="J122" s="34" t="str">
        <f aca="false">IF($M122=0,"",IF(INDEX('Line Detail'!$R$6:$R$505,$M122)="","",INDEX('Line Detail'!$R$6:$R$505,$M122)))</f>
        <v/>
      </c>
      <c r="K122" s="6" t="str">
        <f aca="false">IF($M122=0,"",IF(INDEX('Line Detail'!$S$6:$S$505,$M122)="","",INDEX('Line Detail'!$S$6:$S$505,$M122)))</f>
        <v/>
      </c>
      <c r="L122" s="1"/>
      <c r="M122" s="63" t="n">
        <f aca="false">IFERROR(MATCH(117,'Line Detail'!$W$6:$W$505,0),0)</f>
        <v>0</v>
      </c>
    </row>
    <row r="123" customFormat="false" ht="15" hidden="false" customHeight="false" outlineLevel="0" collapsed="false">
      <c r="A123" s="13" t="str">
        <f aca="false">IF($M123=0,"",118)</f>
        <v/>
      </c>
      <c r="B123" s="13" t="str">
        <f aca="false">IF($M123=0,"",IF(INDEX('Line Detail'!$B$6:$B$505,$M123)="","",INDEX('Line Detail'!$B$6:$B$505,$M123)))</f>
        <v/>
      </c>
      <c r="C123" s="13" t="str">
        <f aca="false">IF($M123=0,"",IF(INDEX('Line Detail'!$C$6:$C$505,$M123)="","",INDEX('Line Detail'!$C$6:$C$505,$M123)))</f>
        <v/>
      </c>
      <c r="D123" s="13" t="str">
        <f aca="false">IF($M123=0,"",IF(INDEX('Line Detail'!$D$6:$D$505,$M123)="","",INDEX('Line Detail'!$D$6:$D$505,$M123)))</f>
        <v/>
      </c>
      <c r="E123" s="13" t="str">
        <f aca="false">IF($M123=0,"",IF(INDEX('Line Detail'!$E$6:$E$505,$M123)="","",INDEX('Line Detail'!$E$6:$E$505,$M123)))</f>
        <v/>
      </c>
      <c r="F123" s="6" t="str">
        <f aca="false">IF($M123=0,"",IF(INDEX('Line Detail'!$F$6:$F$505,$M123)="","",INDEX('Line Detail'!$F$6:$F$505,$M123)))</f>
        <v/>
      </c>
      <c r="G123" s="62" t="str">
        <f aca="false">IF($M123=0,"",IF(INDEX('Line Detail'!$G$6:$G$505,$M123)="","",INDEX('Line Detail'!$G$6:$G$505,$M123)))</f>
        <v/>
      </c>
      <c r="H123" s="13" t="str">
        <f aca="false">IF($M123=0,"",IF(INDEX('Line Detail'!$H$6:$H$505,$M123)="","",INDEX('Line Detail'!$H$6:$H$505,$M123)))</f>
        <v/>
      </c>
      <c r="I123" s="34" t="str">
        <f aca="false">IF($M123=0,"",IF(INDEX('Line Detail'!$O$6:$O$505,$M123)="","",INDEX('Line Detail'!$O$6:$O$505,$M123)))</f>
        <v/>
      </c>
      <c r="J123" s="34" t="str">
        <f aca="false">IF($M123=0,"",IF(INDEX('Line Detail'!$R$6:$R$505,$M123)="","",INDEX('Line Detail'!$R$6:$R$505,$M123)))</f>
        <v/>
      </c>
      <c r="K123" s="6" t="str">
        <f aca="false">IF($M123=0,"",IF(INDEX('Line Detail'!$S$6:$S$505,$M123)="","",INDEX('Line Detail'!$S$6:$S$505,$M123)))</f>
        <v/>
      </c>
      <c r="L123" s="1"/>
      <c r="M123" s="63" t="n">
        <f aca="false">IFERROR(MATCH(118,'Line Detail'!$W$6:$W$505,0),0)</f>
        <v>0</v>
      </c>
    </row>
    <row r="124" customFormat="false" ht="15" hidden="false" customHeight="false" outlineLevel="0" collapsed="false">
      <c r="A124" s="13" t="str">
        <f aca="false">IF($M124=0,"",119)</f>
        <v/>
      </c>
      <c r="B124" s="13" t="str">
        <f aca="false">IF($M124=0,"",IF(INDEX('Line Detail'!$B$6:$B$505,$M124)="","",INDEX('Line Detail'!$B$6:$B$505,$M124)))</f>
        <v/>
      </c>
      <c r="C124" s="13" t="str">
        <f aca="false">IF($M124=0,"",IF(INDEX('Line Detail'!$C$6:$C$505,$M124)="","",INDEX('Line Detail'!$C$6:$C$505,$M124)))</f>
        <v/>
      </c>
      <c r="D124" s="13" t="str">
        <f aca="false">IF($M124=0,"",IF(INDEX('Line Detail'!$D$6:$D$505,$M124)="","",INDEX('Line Detail'!$D$6:$D$505,$M124)))</f>
        <v/>
      </c>
      <c r="E124" s="13" t="str">
        <f aca="false">IF($M124=0,"",IF(INDEX('Line Detail'!$E$6:$E$505,$M124)="","",INDEX('Line Detail'!$E$6:$E$505,$M124)))</f>
        <v/>
      </c>
      <c r="F124" s="6" t="str">
        <f aca="false">IF($M124=0,"",IF(INDEX('Line Detail'!$F$6:$F$505,$M124)="","",INDEX('Line Detail'!$F$6:$F$505,$M124)))</f>
        <v/>
      </c>
      <c r="G124" s="62" t="str">
        <f aca="false">IF($M124=0,"",IF(INDEX('Line Detail'!$G$6:$G$505,$M124)="","",INDEX('Line Detail'!$G$6:$G$505,$M124)))</f>
        <v/>
      </c>
      <c r="H124" s="13" t="str">
        <f aca="false">IF($M124=0,"",IF(INDEX('Line Detail'!$H$6:$H$505,$M124)="","",INDEX('Line Detail'!$H$6:$H$505,$M124)))</f>
        <v/>
      </c>
      <c r="I124" s="34" t="str">
        <f aca="false">IF($M124=0,"",IF(INDEX('Line Detail'!$O$6:$O$505,$M124)="","",INDEX('Line Detail'!$O$6:$O$505,$M124)))</f>
        <v/>
      </c>
      <c r="J124" s="34" t="str">
        <f aca="false">IF($M124=0,"",IF(INDEX('Line Detail'!$R$6:$R$505,$M124)="","",INDEX('Line Detail'!$R$6:$R$505,$M124)))</f>
        <v/>
      </c>
      <c r="K124" s="6" t="str">
        <f aca="false">IF($M124=0,"",IF(INDEX('Line Detail'!$S$6:$S$505,$M124)="","",INDEX('Line Detail'!$S$6:$S$505,$M124)))</f>
        <v/>
      </c>
      <c r="L124" s="1"/>
      <c r="M124" s="63" t="n">
        <f aca="false">IFERROR(MATCH(119,'Line Detail'!$W$6:$W$505,0),0)</f>
        <v>0</v>
      </c>
    </row>
    <row r="125" customFormat="false" ht="15" hidden="false" customHeight="false" outlineLevel="0" collapsed="false">
      <c r="A125" s="13" t="str">
        <f aca="false">IF($M125=0,"",120)</f>
        <v/>
      </c>
      <c r="B125" s="13" t="str">
        <f aca="false">IF($M125=0,"",IF(INDEX('Line Detail'!$B$6:$B$505,$M125)="","",INDEX('Line Detail'!$B$6:$B$505,$M125)))</f>
        <v/>
      </c>
      <c r="C125" s="13" t="str">
        <f aca="false">IF($M125=0,"",IF(INDEX('Line Detail'!$C$6:$C$505,$M125)="","",INDEX('Line Detail'!$C$6:$C$505,$M125)))</f>
        <v/>
      </c>
      <c r="D125" s="13" t="str">
        <f aca="false">IF($M125=0,"",IF(INDEX('Line Detail'!$D$6:$D$505,$M125)="","",INDEX('Line Detail'!$D$6:$D$505,$M125)))</f>
        <v/>
      </c>
      <c r="E125" s="13" t="str">
        <f aca="false">IF($M125=0,"",IF(INDEX('Line Detail'!$E$6:$E$505,$M125)="","",INDEX('Line Detail'!$E$6:$E$505,$M125)))</f>
        <v/>
      </c>
      <c r="F125" s="6" t="str">
        <f aca="false">IF($M125=0,"",IF(INDEX('Line Detail'!$F$6:$F$505,$M125)="","",INDEX('Line Detail'!$F$6:$F$505,$M125)))</f>
        <v/>
      </c>
      <c r="G125" s="62" t="str">
        <f aca="false">IF($M125=0,"",IF(INDEX('Line Detail'!$G$6:$G$505,$M125)="","",INDEX('Line Detail'!$G$6:$G$505,$M125)))</f>
        <v/>
      </c>
      <c r="H125" s="13" t="str">
        <f aca="false">IF($M125=0,"",IF(INDEX('Line Detail'!$H$6:$H$505,$M125)="","",INDEX('Line Detail'!$H$6:$H$505,$M125)))</f>
        <v/>
      </c>
      <c r="I125" s="34" t="str">
        <f aca="false">IF($M125=0,"",IF(INDEX('Line Detail'!$O$6:$O$505,$M125)="","",INDEX('Line Detail'!$O$6:$O$505,$M125)))</f>
        <v/>
      </c>
      <c r="J125" s="34" t="str">
        <f aca="false">IF($M125=0,"",IF(INDEX('Line Detail'!$R$6:$R$505,$M125)="","",INDEX('Line Detail'!$R$6:$R$505,$M125)))</f>
        <v/>
      </c>
      <c r="K125" s="6" t="str">
        <f aca="false">IF($M125=0,"",IF(INDEX('Line Detail'!$S$6:$S$505,$M125)="","",INDEX('Line Detail'!$S$6:$S$505,$M125)))</f>
        <v/>
      </c>
      <c r="L125" s="1"/>
      <c r="M125" s="63" t="n">
        <f aca="false">IFERROR(MATCH(120,'Line Detail'!$W$6:$W$505,0),0)</f>
        <v>0</v>
      </c>
    </row>
    <row r="126" customFormat="false" ht="15" hidden="false" customHeight="false" outlineLevel="0" collapsed="false">
      <c r="A126" s="13" t="str">
        <f aca="false">IF($M126=0,"",121)</f>
        <v/>
      </c>
      <c r="B126" s="13" t="str">
        <f aca="false">IF($M126=0,"",IF(INDEX('Line Detail'!$B$6:$B$505,$M126)="","",INDEX('Line Detail'!$B$6:$B$505,$M126)))</f>
        <v/>
      </c>
      <c r="C126" s="13" t="str">
        <f aca="false">IF($M126=0,"",IF(INDEX('Line Detail'!$C$6:$C$505,$M126)="","",INDEX('Line Detail'!$C$6:$C$505,$M126)))</f>
        <v/>
      </c>
      <c r="D126" s="13" t="str">
        <f aca="false">IF($M126=0,"",IF(INDEX('Line Detail'!$D$6:$D$505,$M126)="","",INDEX('Line Detail'!$D$6:$D$505,$M126)))</f>
        <v/>
      </c>
      <c r="E126" s="13" t="str">
        <f aca="false">IF($M126=0,"",IF(INDEX('Line Detail'!$E$6:$E$505,$M126)="","",INDEX('Line Detail'!$E$6:$E$505,$M126)))</f>
        <v/>
      </c>
      <c r="F126" s="6" t="str">
        <f aca="false">IF($M126=0,"",IF(INDEX('Line Detail'!$F$6:$F$505,$M126)="","",INDEX('Line Detail'!$F$6:$F$505,$M126)))</f>
        <v/>
      </c>
      <c r="G126" s="62" t="str">
        <f aca="false">IF($M126=0,"",IF(INDEX('Line Detail'!$G$6:$G$505,$M126)="","",INDEX('Line Detail'!$G$6:$G$505,$M126)))</f>
        <v/>
      </c>
      <c r="H126" s="13" t="str">
        <f aca="false">IF($M126=0,"",IF(INDEX('Line Detail'!$H$6:$H$505,$M126)="","",INDEX('Line Detail'!$H$6:$H$505,$M126)))</f>
        <v/>
      </c>
      <c r="I126" s="34" t="str">
        <f aca="false">IF($M126=0,"",IF(INDEX('Line Detail'!$O$6:$O$505,$M126)="","",INDEX('Line Detail'!$O$6:$O$505,$M126)))</f>
        <v/>
      </c>
      <c r="J126" s="34" t="str">
        <f aca="false">IF($M126=0,"",IF(INDEX('Line Detail'!$R$6:$R$505,$M126)="","",INDEX('Line Detail'!$R$6:$R$505,$M126)))</f>
        <v/>
      </c>
      <c r="K126" s="6" t="str">
        <f aca="false">IF($M126=0,"",IF(INDEX('Line Detail'!$S$6:$S$505,$M126)="","",INDEX('Line Detail'!$S$6:$S$505,$M126)))</f>
        <v/>
      </c>
      <c r="L126" s="1"/>
      <c r="M126" s="63" t="n">
        <f aca="false">IFERROR(MATCH(121,'Line Detail'!$W$6:$W$505,0),0)</f>
        <v>0</v>
      </c>
    </row>
    <row r="127" customFormat="false" ht="15" hidden="false" customHeight="false" outlineLevel="0" collapsed="false">
      <c r="A127" s="13" t="str">
        <f aca="false">IF($M127=0,"",122)</f>
        <v/>
      </c>
      <c r="B127" s="13" t="str">
        <f aca="false">IF($M127=0,"",IF(INDEX('Line Detail'!$B$6:$B$505,$M127)="","",INDEX('Line Detail'!$B$6:$B$505,$M127)))</f>
        <v/>
      </c>
      <c r="C127" s="13" t="str">
        <f aca="false">IF($M127=0,"",IF(INDEX('Line Detail'!$C$6:$C$505,$M127)="","",INDEX('Line Detail'!$C$6:$C$505,$M127)))</f>
        <v/>
      </c>
      <c r="D127" s="13" t="str">
        <f aca="false">IF($M127=0,"",IF(INDEX('Line Detail'!$D$6:$D$505,$M127)="","",INDEX('Line Detail'!$D$6:$D$505,$M127)))</f>
        <v/>
      </c>
      <c r="E127" s="13" t="str">
        <f aca="false">IF($M127=0,"",IF(INDEX('Line Detail'!$E$6:$E$505,$M127)="","",INDEX('Line Detail'!$E$6:$E$505,$M127)))</f>
        <v/>
      </c>
      <c r="F127" s="6" t="str">
        <f aca="false">IF($M127=0,"",IF(INDEX('Line Detail'!$F$6:$F$505,$M127)="","",INDEX('Line Detail'!$F$6:$F$505,$M127)))</f>
        <v/>
      </c>
      <c r="G127" s="62" t="str">
        <f aca="false">IF($M127=0,"",IF(INDEX('Line Detail'!$G$6:$G$505,$M127)="","",INDEX('Line Detail'!$G$6:$G$505,$M127)))</f>
        <v/>
      </c>
      <c r="H127" s="13" t="str">
        <f aca="false">IF($M127=0,"",IF(INDEX('Line Detail'!$H$6:$H$505,$M127)="","",INDEX('Line Detail'!$H$6:$H$505,$M127)))</f>
        <v/>
      </c>
      <c r="I127" s="34" t="str">
        <f aca="false">IF($M127=0,"",IF(INDEX('Line Detail'!$O$6:$O$505,$M127)="","",INDEX('Line Detail'!$O$6:$O$505,$M127)))</f>
        <v/>
      </c>
      <c r="J127" s="34" t="str">
        <f aca="false">IF($M127=0,"",IF(INDEX('Line Detail'!$R$6:$R$505,$M127)="","",INDEX('Line Detail'!$R$6:$R$505,$M127)))</f>
        <v/>
      </c>
      <c r="K127" s="6" t="str">
        <f aca="false">IF($M127=0,"",IF(INDEX('Line Detail'!$S$6:$S$505,$M127)="","",INDEX('Line Detail'!$S$6:$S$505,$M127)))</f>
        <v/>
      </c>
      <c r="L127" s="1"/>
      <c r="M127" s="63" t="n">
        <f aca="false">IFERROR(MATCH(122,'Line Detail'!$W$6:$W$505,0),0)</f>
        <v>0</v>
      </c>
    </row>
    <row r="128" customFormat="false" ht="15" hidden="false" customHeight="false" outlineLevel="0" collapsed="false">
      <c r="A128" s="13" t="str">
        <f aca="false">IF($M128=0,"",123)</f>
        <v/>
      </c>
      <c r="B128" s="13" t="str">
        <f aca="false">IF($M128=0,"",IF(INDEX('Line Detail'!$B$6:$B$505,$M128)="","",INDEX('Line Detail'!$B$6:$B$505,$M128)))</f>
        <v/>
      </c>
      <c r="C128" s="13" t="str">
        <f aca="false">IF($M128=0,"",IF(INDEX('Line Detail'!$C$6:$C$505,$M128)="","",INDEX('Line Detail'!$C$6:$C$505,$M128)))</f>
        <v/>
      </c>
      <c r="D128" s="13" t="str">
        <f aca="false">IF($M128=0,"",IF(INDEX('Line Detail'!$D$6:$D$505,$M128)="","",INDEX('Line Detail'!$D$6:$D$505,$M128)))</f>
        <v/>
      </c>
      <c r="E128" s="13" t="str">
        <f aca="false">IF($M128=0,"",IF(INDEX('Line Detail'!$E$6:$E$505,$M128)="","",INDEX('Line Detail'!$E$6:$E$505,$M128)))</f>
        <v/>
      </c>
      <c r="F128" s="6" t="str">
        <f aca="false">IF($M128=0,"",IF(INDEX('Line Detail'!$F$6:$F$505,$M128)="","",INDEX('Line Detail'!$F$6:$F$505,$M128)))</f>
        <v/>
      </c>
      <c r="G128" s="62" t="str">
        <f aca="false">IF($M128=0,"",IF(INDEX('Line Detail'!$G$6:$G$505,$M128)="","",INDEX('Line Detail'!$G$6:$G$505,$M128)))</f>
        <v/>
      </c>
      <c r="H128" s="13" t="str">
        <f aca="false">IF($M128=0,"",IF(INDEX('Line Detail'!$H$6:$H$505,$M128)="","",INDEX('Line Detail'!$H$6:$H$505,$M128)))</f>
        <v/>
      </c>
      <c r="I128" s="34" t="str">
        <f aca="false">IF($M128=0,"",IF(INDEX('Line Detail'!$O$6:$O$505,$M128)="","",INDEX('Line Detail'!$O$6:$O$505,$M128)))</f>
        <v/>
      </c>
      <c r="J128" s="34" t="str">
        <f aca="false">IF($M128=0,"",IF(INDEX('Line Detail'!$R$6:$R$505,$M128)="","",INDEX('Line Detail'!$R$6:$R$505,$M128)))</f>
        <v/>
      </c>
      <c r="K128" s="6" t="str">
        <f aca="false">IF($M128=0,"",IF(INDEX('Line Detail'!$S$6:$S$505,$M128)="","",INDEX('Line Detail'!$S$6:$S$505,$M128)))</f>
        <v/>
      </c>
      <c r="L128" s="1"/>
      <c r="M128" s="63" t="n">
        <f aca="false">IFERROR(MATCH(123,'Line Detail'!$W$6:$W$505,0),0)</f>
        <v>0</v>
      </c>
    </row>
    <row r="129" customFormat="false" ht="15" hidden="false" customHeight="false" outlineLevel="0" collapsed="false">
      <c r="A129" s="13" t="str">
        <f aca="false">IF($M129=0,"",124)</f>
        <v/>
      </c>
      <c r="B129" s="13" t="str">
        <f aca="false">IF($M129=0,"",IF(INDEX('Line Detail'!$B$6:$B$505,$M129)="","",INDEX('Line Detail'!$B$6:$B$505,$M129)))</f>
        <v/>
      </c>
      <c r="C129" s="13" t="str">
        <f aca="false">IF($M129=0,"",IF(INDEX('Line Detail'!$C$6:$C$505,$M129)="","",INDEX('Line Detail'!$C$6:$C$505,$M129)))</f>
        <v/>
      </c>
      <c r="D129" s="13" t="str">
        <f aca="false">IF($M129=0,"",IF(INDEX('Line Detail'!$D$6:$D$505,$M129)="","",INDEX('Line Detail'!$D$6:$D$505,$M129)))</f>
        <v/>
      </c>
      <c r="E129" s="13" t="str">
        <f aca="false">IF($M129=0,"",IF(INDEX('Line Detail'!$E$6:$E$505,$M129)="","",INDEX('Line Detail'!$E$6:$E$505,$M129)))</f>
        <v/>
      </c>
      <c r="F129" s="6" t="str">
        <f aca="false">IF($M129=0,"",IF(INDEX('Line Detail'!$F$6:$F$505,$M129)="","",INDEX('Line Detail'!$F$6:$F$505,$M129)))</f>
        <v/>
      </c>
      <c r="G129" s="62" t="str">
        <f aca="false">IF($M129=0,"",IF(INDEX('Line Detail'!$G$6:$G$505,$M129)="","",INDEX('Line Detail'!$G$6:$G$505,$M129)))</f>
        <v/>
      </c>
      <c r="H129" s="13" t="str">
        <f aca="false">IF($M129=0,"",IF(INDEX('Line Detail'!$H$6:$H$505,$M129)="","",INDEX('Line Detail'!$H$6:$H$505,$M129)))</f>
        <v/>
      </c>
      <c r="I129" s="34" t="str">
        <f aca="false">IF($M129=0,"",IF(INDEX('Line Detail'!$O$6:$O$505,$M129)="","",INDEX('Line Detail'!$O$6:$O$505,$M129)))</f>
        <v/>
      </c>
      <c r="J129" s="34" t="str">
        <f aca="false">IF($M129=0,"",IF(INDEX('Line Detail'!$R$6:$R$505,$M129)="","",INDEX('Line Detail'!$R$6:$R$505,$M129)))</f>
        <v/>
      </c>
      <c r="K129" s="6" t="str">
        <f aca="false">IF($M129=0,"",IF(INDEX('Line Detail'!$S$6:$S$505,$M129)="","",INDEX('Line Detail'!$S$6:$S$505,$M129)))</f>
        <v/>
      </c>
      <c r="L129" s="1"/>
      <c r="M129" s="63" t="n">
        <f aca="false">IFERROR(MATCH(124,'Line Detail'!$W$6:$W$505,0),0)</f>
        <v>0</v>
      </c>
    </row>
    <row r="130" customFormat="false" ht="15" hidden="false" customHeight="false" outlineLevel="0" collapsed="false">
      <c r="A130" s="13" t="str">
        <f aca="false">IF($M130=0,"",125)</f>
        <v/>
      </c>
      <c r="B130" s="13" t="str">
        <f aca="false">IF($M130=0,"",IF(INDEX('Line Detail'!$B$6:$B$505,$M130)="","",INDEX('Line Detail'!$B$6:$B$505,$M130)))</f>
        <v/>
      </c>
      <c r="C130" s="13" t="str">
        <f aca="false">IF($M130=0,"",IF(INDEX('Line Detail'!$C$6:$C$505,$M130)="","",INDEX('Line Detail'!$C$6:$C$505,$M130)))</f>
        <v/>
      </c>
      <c r="D130" s="13" t="str">
        <f aca="false">IF($M130=0,"",IF(INDEX('Line Detail'!$D$6:$D$505,$M130)="","",INDEX('Line Detail'!$D$6:$D$505,$M130)))</f>
        <v/>
      </c>
      <c r="E130" s="13" t="str">
        <f aca="false">IF($M130=0,"",IF(INDEX('Line Detail'!$E$6:$E$505,$M130)="","",INDEX('Line Detail'!$E$6:$E$505,$M130)))</f>
        <v/>
      </c>
      <c r="F130" s="6" t="str">
        <f aca="false">IF($M130=0,"",IF(INDEX('Line Detail'!$F$6:$F$505,$M130)="","",INDEX('Line Detail'!$F$6:$F$505,$M130)))</f>
        <v/>
      </c>
      <c r="G130" s="62" t="str">
        <f aca="false">IF($M130=0,"",IF(INDEX('Line Detail'!$G$6:$G$505,$M130)="","",INDEX('Line Detail'!$G$6:$G$505,$M130)))</f>
        <v/>
      </c>
      <c r="H130" s="13" t="str">
        <f aca="false">IF($M130=0,"",IF(INDEX('Line Detail'!$H$6:$H$505,$M130)="","",INDEX('Line Detail'!$H$6:$H$505,$M130)))</f>
        <v/>
      </c>
      <c r="I130" s="34" t="str">
        <f aca="false">IF($M130=0,"",IF(INDEX('Line Detail'!$O$6:$O$505,$M130)="","",INDEX('Line Detail'!$O$6:$O$505,$M130)))</f>
        <v/>
      </c>
      <c r="J130" s="34" t="str">
        <f aca="false">IF($M130=0,"",IF(INDEX('Line Detail'!$R$6:$R$505,$M130)="","",INDEX('Line Detail'!$R$6:$R$505,$M130)))</f>
        <v/>
      </c>
      <c r="K130" s="6" t="str">
        <f aca="false">IF($M130=0,"",IF(INDEX('Line Detail'!$S$6:$S$505,$M130)="","",INDEX('Line Detail'!$S$6:$S$505,$M130)))</f>
        <v/>
      </c>
      <c r="L130" s="1"/>
      <c r="M130" s="63" t="n">
        <f aca="false">IFERROR(MATCH(125,'Line Detail'!$W$6:$W$505,0),0)</f>
        <v>0</v>
      </c>
    </row>
    <row r="131" customFormat="false" ht="15" hidden="false" customHeight="false" outlineLevel="0" collapsed="false">
      <c r="A131" s="13" t="str">
        <f aca="false">IF($M131=0,"",126)</f>
        <v/>
      </c>
      <c r="B131" s="13" t="str">
        <f aca="false">IF($M131=0,"",IF(INDEX('Line Detail'!$B$6:$B$505,$M131)="","",INDEX('Line Detail'!$B$6:$B$505,$M131)))</f>
        <v/>
      </c>
      <c r="C131" s="13" t="str">
        <f aca="false">IF($M131=0,"",IF(INDEX('Line Detail'!$C$6:$C$505,$M131)="","",INDEX('Line Detail'!$C$6:$C$505,$M131)))</f>
        <v/>
      </c>
      <c r="D131" s="13" t="str">
        <f aca="false">IF($M131=0,"",IF(INDEX('Line Detail'!$D$6:$D$505,$M131)="","",INDEX('Line Detail'!$D$6:$D$505,$M131)))</f>
        <v/>
      </c>
      <c r="E131" s="13" t="str">
        <f aca="false">IF($M131=0,"",IF(INDEX('Line Detail'!$E$6:$E$505,$M131)="","",INDEX('Line Detail'!$E$6:$E$505,$M131)))</f>
        <v/>
      </c>
      <c r="F131" s="6" t="str">
        <f aca="false">IF($M131=0,"",IF(INDEX('Line Detail'!$F$6:$F$505,$M131)="","",INDEX('Line Detail'!$F$6:$F$505,$M131)))</f>
        <v/>
      </c>
      <c r="G131" s="62" t="str">
        <f aca="false">IF($M131=0,"",IF(INDEX('Line Detail'!$G$6:$G$505,$M131)="","",INDEX('Line Detail'!$G$6:$G$505,$M131)))</f>
        <v/>
      </c>
      <c r="H131" s="13" t="str">
        <f aca="false">IF($M131=0,"",IF(INDEX('Line Detail'!$H$6:$H$505,$M131)="","",INDEX('Line Detail'!$H$6:$H$505,$M131)))</f>
        <v/>
      </c>
      <c r="I131" s="34" t="str">
        <f aca="false">IF($M131=0,"",IF(INDEX('Line Detail'!$O$6:$O$505,$M131)="","",INDEX('Line Detail'!$O$6:$O$505,$M131)))</f>
        <v/>
      </c>
      <c r="J131" s="34" t="str">
        <f aca="false">IF($M131=0,"",IF(INDEX('Line Detail'!$R$6:$R$505,$M131)="","",INDEX('Line Detail'!$R$6:$R$505,$M131)))</f>
        <v/>
      </c>
      <c r="K131" s="6" t="str">
        <f aca="false">IF($M131=0,"",IF(INDEX('Line Detail'!$S$6:$S$505,$M131)="","",INDEX('Line Detail'!$S$6:$S$505,$M131)))</f>
        <v/>
      </c>
      <c r="L131" s="1"/>
      <c r="M131" s="63" t="n">
        <f aca="false">IFERROR(MATCH(126,'Line Detail'!$W$6:$W$505,0),0)</f>
        <v>0</v>
      </c>
    </row>
    <row r="132" customFormat="false" ht="15" hidden="false" customHeight="false" outlineLevel="0" collapsed="false">
      <c r="A132" s="13" t="str">
        <f aca="false">IF($M132=0,"",127)</f>
        <v/>
      </c>
      <c r="B132" s="13" t="str">
        <f aca="false">IF($M132=0,"",IF(INDEX('Line Detail'!$B$6:$B$505,$M132)="","",INDEX('Line Detail'!$B$6:$B$505,$M132)))</f>
        <v/>
      </c>
      <c r="C132" s="13" t="str">
        <f aca="false">IF($M132=0,"",IF(INDEX('Line Detail'!$C$6:$C$505,$M132)="","",INDEX('Line Detail'!$C$6:$C$505,$M132)))</f>
        <v/>
      </c>
      <c r="D132" s="13" t="str">
        <f aca="false">IF($M132=0,"",IF(INDEX('Line Detail'!$D$6:$D$505,$M132)="","",INDEX('Line Detail'!$D$6:$D$505,$M132)))</f>
        <v/>
      </c>
      <c r="E132" s="13" t="str">
        <f aca="false">IF($M132=0,"",IF(INDEX('Line Detail'!$E$6:$E$505,$M132)="","",INDEX('Line Detail'!$E$6:$E$505,$M132)))</f>
        <v/>
      </c>
      <c r="F132" s="6" t="str">
        <f aca="false">IF($M132=0,"",IF(INDEX('Line Detail'!$F$6:$F$505,$M132)="","",INDEX('Line Detail'!$F$6:$F$505,$M132)))</f>
        <v/>
      </c>
      <c r="G132" s="62" t="str">
        <f aca="false">IF($M132=0,"",IF(INDEX('Line Detail'!$G$6:$G$505,$M132)="","",INDEX('Line Detail'!$G$6:$G$505,$M132)))</f>
        <v/>
      </c>
      <c r="H132" s="13" t="str">
        <f aca="false">IF($M132=0,"",IF(INDEX('Line Detail'!$H$6:$H$505,$M132)="","",INDEX('Line Detail'!$H$6:$H$505,$M132)))</f>
        <v/>
      </c>
      <c r="I132" s="34" t="str">
        <f aca="false">IF($M132=0,"",IF(INDEX('Line Detail'!$O$6:$O$505,$M132)="","",INDEX('Line Detail'!$O$6:$O$505,$M132)))</f>
        <v/>
      </c>
      <c r="J132" s="34" t="str">
        <f aca="false">IF($M132=0,"",IF(INDEX('Line Detail'!$R$6:$R$505,$M132)="","",INDEX('Line Detail'!$R$6:$R$505,$M132)))</f>
        <v/>
      </c>
      <c r="K132" s="6" t="str">
        <f aca="false">IF($M132=0,"",IF(INDEX('Line Detail'!$S$6:$S$505,$M132)="","",INDEX('Line Detail'!$S$6:$S$505,$M132)))</f>
        <v/>
      </c>
      <c r="L132" s="1"/>
      <c r="M132" s="63" t="n">
        <f aca="false">IFERROR(MATCH(127,'Line Detail'!$W$6:$W$505,0),0)</f>
        <v>0</v>
      </c>
    </row>
    <row r="133" customFormat="false" ht="15" hidden="false" customHeight="false" outlineLevel="0" collapsed="false">
      <c r="A133" s="13" t="str">
        <f aca="false">IF($M133=0,"",128)</f>
        <v/>
      </c>
      <c r="B133" s="13" t="str">
        <f aca="false">IF($M133=0,"",IF(INDEX('Line Detail'!$B$6:$B$505,$M133)="","",INDEX('Line Detail'!$B$6:$B$505,$M133)))</f>
        <v/>
      </c>
      <c r="C133" s="13" t="str">
        <f aca="false">IF($M133=0,"",IF(INDEX('Line Detail'!$C$6:$C$505,$M133)="","",INDEX('Line Detail'!$C$6:$C$505,$M133)))</f>
        <v/>
      </c>
      <c r="D133" s="13" t="str">
        <f aca="false">IF($M133=0,"",IF(INDEX('Line Detail'!$D$6:$D$505,$M133)="","",INDEX('Line Detail'!$D$6:$D$505,$M133)))</f>
        <v/>
      </c>
      <c r="E133" s="13" t="str">
        <f aca="false">IF($M133=0,"",IF(INDEX('Line Detail'!$E$6:$E$505,$M133)="","",INDEX('Line Detail'!$E$6:$E$505,$M133)))</f>
        <v/>
      </c>
      <c r="F133" s="6" t="str">
        <f aca="false">IF($M133=0,"",IF(INDEX('Line Detail'!$F$6:$F$505,$M133)="","",INDEX('Line Detail'!$F$6:$F$505,$M133)))</f>
        <v/>
      </c>
      <c r="G133" s="62" t="str">
        <f aca="false">IF($M133=0,"",IF(INDEX('Line Detail'!$G$6:$G$505,$M133)="","",INDEX('Line Detail'!$G$6:$G$505,$M133)))</f>
        <v/>
      </c>
      <c r="H133" s="13" t="str">
        <f aca="false">IF($M133=0,"",IF(INDEX('Line Detail'!$H$6:$H$505,$M133)="","",INDEX('Line Detail'!$H$6:$H$505,$M133)))</f>
        <v/>
      </c>
      <c r="I133" s="34" t="str">
        <f aca="false">IF($M133=0,"",IF(INDEX('Line Detail'!$O$6:$O$505,$M133)="","",INDEX('Line Detail'!$O$6:$O$505,$M133)))</f>
        <v/>
      </c>
      <c r="J133" s="34" t="str">
        <f aca="false">IF($M133=0,"",IF(INDEX('Line Detail'!$R$6:$R$505,$M133)="","",INDEX('Line Detail'!$R$6:$R$505,$M133)))</f>
        <v/>
      </c>
      <c r="K133" s="6" t="str">
        <f aca="false">IF($M133=0,"",IF(INDEX('Line Detail'!$S$6:$S$505,$M133)="","",INDEX('Line Detail'!$S$6:$S$505,$M133)))</f>
        <v/>
      </c>
      <c r="L133" s="1"/>
      <c r="M133" s="63" t="n">
        <f aca="false">IFERROR(MATCH(128,'Line Detail'!$W$6:$W$505,0),0)</f>
        <v>0</v>
      </c>
    </row>
    <row r="134" customFormat="false" ht="15" hidden="false" customHeight="false" outlineLevel="0" collapsed="false">
      <c r="A134" s="13" t="str">
        <f aca="false">IF($M134=0,"",129)</f>
        <v/>
      </c>
      <c r="B134" s="13" t="str">
        <f aca="false">IF($M134=0,"",IF(INDEX('Line Detail'!$B$6:$B$505,$M134)="","",INDEX('Line Detail'!$B$6:$B$505,$M134)))</f>
        <v/>
      </c>
      <c r="C134" s="13" t="str">
        <f aca="false">IF($M134=0,"",IF(INDEX('Line Detail'!$C$6:$C$505,$M134)="","",INDEX('Line Detail'!$C$6:$C$505,$M134)))</f>
        <v/>
      </c>
      <c r="D134" s="13" t="str">
        <f aca="false">IF($M134=0,"",IF(INDEX('Line Detail'!$D$6:$D$505,$M134)="","",INDEX('Line Detail'!$D$6:$D$505,$M134)))</f>
        <v/>
      </c>
      <c r="E134" s="13" t="str">
        <f aca="false">IF($M134=0,"",IF(INDEX('Line Detail'!$E$6:$E$505,$M134)="","",INDEX('Line Detail'!$E$6:$E$505,$M134)))</f>
        <v/>
      </c>
      <c r="F134" s="6" t="str">
        <f aca="false">IF($M134=0,"",IF(INDEX('Line Detail'!$F$6:$F$505,$M134)="","",INDEX('Line Detail'!$F$6:$F$505,$M134)))</f>
        <v/>
      </c>
      <c r="G134" s="62" t="str">
        <f aca="false">IF($M134=0,"",IF(INDEX('Line Detail'!$G$6:$G$505,$M134)="","",INDEX('Line Detail'!$G$6:$G$505,$M134)))</f>
        <v/>
      </c>
      <c r="H134" s="13" t="str">
        <f aca="false">IF($M134=0,"",IF(INDEX('Line Detail'!$H$6:$H$505,$M134)="","",INDEX('Line Detail'!$H$6:$H$505,$M134)))</f>
        <v/>
      </c>
      <c r="I134" s="34" t="str">
        <f aca="false">IF($M134=0,"",IF(INDEX('Line Detail'!$O$6:$O$505,$M134)="","",INDEX('Line Detail'!$O$6:$O$505,$M134)))</f>
        <v/>
      </c>
      <c r="J134" s="34" t="str">
        <f aca="false">IF($M134=0,"",IF(INDEX('Line Detail'!$R$6:$R$505,$M134)="","",INDEX('Line Detail'!$R$6:$R$505,$M134)))</f>
        <v/>
      </c>
      <c r="K134" s="6" t="str">
        <f aca="false">IF($M134=0,"",IF(INDEX('Line Detail'!$S$6:$S$505,$M134)="","",INDEX('Line Detail'!$S$6:$S$505,$M134)))</f>
        <v/>
      </c>
      <c r="L134" s="1"/>
      <c r="M134" s="63" t="n">
        <f aca="false">IFERROR(MATCH(129,'Line Detail'!$W$6:$W$505,0),0)</f>
        <v>0</v>
      </c>
    </row>
    <row r="135" customFormat="false" ht="15" hidden="false" customHeight="false" outlineLevel="0" collapsed="false">
      <c r="A135" s="13" t="str">
        <f aca="false">IF($M135=0,"",130)</f>
        <v/>
      </c>
      <c r="B135" s="13" t="str">
        <f aca="false">IF($M135=0,"",IF(INDEX('Line Detail'!$B$6:$B$505,$M135)="","",INDEX('Line Detail'!$B$6:$B$505,$M135)))</f>
        <v/>
      </c>
      <c r="C135" s="13" t="str">
        <f aca="false">IF($M135=0,"",IF(INDEX('Line Detail'!$C$6:$C$505,$M135)="","",INDEX('Line Detail'!$C$6:$C$505,$M135)))</f>
        <v/>
      </c>
      <c r="D135" s="13" t="str">
        <f aca="false">IF($M135=0,"",IF(INDEX('Line Detail'!$D$6:$D$505,$M135)="","",INDEX('Line Detail'!$D$6:$D$505,$M135)))</f>
        <v/>
      </c>
      <c r="E135" s="13" t="str">
        <f aca="false">IF($M135=0,"",IF(INDEX('Line Detail'!$E$6:$E$505,$M135)="","",INDEX('Line Detail'!$E$6:$E$505,$M135)))</f>
        <v/>
      </c>
      <c r="F135" s="6" t="str">
        <f aca="false">IF($M135=0,"",IF(INDEX('Line Detail'!$F$6:$F$505,$M135)="","",INDEX('Line Detail'!$F$6:$F$505,$M135)))</f>
        <v/>
      </c>
      <c r="G135" s="62" t="str">
        <f aca="false">IF($M135=0,"",IF(INDEX('Line Detail'!$G$6:$G$505,$M135)="","",INDEX('Line Detail'!$G$6:$G$505,$M135)))</f>
        <v/>
      </c>
      <c r="H135" s="13" t="str">
        <f aca="false">IF($M135=0,"",IF(INDEX('Line Detail'!$H$6:$H$505,$M135)="","",INDEX('Line Detail'!$H$6:$H$505,$M135)))</f>
        <v/>
      </c>
      <c r="I135" s="34" t="str">
        <f aca="false">IF($M135=0,"",IF(INDEX('Line Detail'!$O$6:$O$505,$M135)="","",INDEX('Line Detail'!$O$6:$O$505,$M135)))</f>
        <v/>
      </c>
      <c r="J135" s="34" t="str">
        <f aca="false">IF($M135=0,"",IF(INDEX('Line Detail'!$R$6:$R$505,$M135)="","",INDEX('Line Detail'!$R$6:$R$505,$M135)))</f>
        <v/>
      </c>
      <c r="K135" s="6" t="str">
        <f aca="false">IF($M135=0,"",IF(INDEX('Line Detail'!$S$6:$S$505,$M135)="","",INDEX('Line Detail'!$S$6:$S$505,$M135)))</f>
        <v/>
      </c>
      <c r="L135" s="1"/>
      <c r="M135" s="63" t="n">
        <f aca="false">IFERROR(MATCH(130,'Line Detail'!$W$6:$W$505,0),0)</f>
        <v>0</v>
      </c>
    </row>
    <row r="136" customFormat="false" ht="15" hidden="false" customHeight="false" outlineLevel="0" collapsed="false">
      <c r="A136" s="13" t="str">
        <f aca="false">IF($M136=0,"",131)</f>
        <v/>
      </c>
      <c r="B136" s="13" t="str">
        <f aca="false">IF($M136=0,"",IF(INDEX('Line Detail'!$B$6:$B$505,$M136)="","",INDEX('Line Detail'!$B$6:$B$505,$M136)))</f>
        <v/>
      </c>
      <c r="C136" s="13" t="str">
        <f aca="false">IF($M136=0,"",IF(INDEX('Line Detail'!$C$6:$C$505,$M136)="","",INDEX('Line Detail'!$C$6:$C$505,$M136)))</f>
        <v/>
      </c>
      <c r="D136" s="13" t="str">
        <f aca="false">IF($M136=0,"",IF(INDEX('Line Detail'!$D$6:$D$505,$M136)="","",INDEX('Line Detail'!$D$6:$D$505,$M136)))</f>
        <v/>
      </c>
      <c r="E136" s="13" t="str">
        <f aca="false">IF($M136=0,"",IF(INDEX('Line Detail'!$E$6:$E$505,$M136)="","",INDEX('Line Detail'!$E$6:$E$505,$M136)))</f>
        <v/>
      </c>
      <c r="F136" s="6" t="str">
        <f aca="false">IF($M136=0,"",IF(INDEX('Line Detail'!$F$6:$F$505,$M136)="","",INDEX('Line Detail'!$F$6:$F$505,$M136)))</f>
        <v/>
      </c>
      <c r="G136" s="62" t="str">
        <f aca="false">IF($M136=0,"",IF(INDEX('Line Detail'!$G$6:$G$505,$M136)="","",INDEX('Line Detail'!$G$6:$G$505,$M136)))</f>
        <v/>
      </c>
      <c r="H136" s="13" t="str">
        <f aca="false">IF($M136=0,"",IF(INDEX('Line Detail'!$H$6:$H$505,$M136)="","",INDEX('Line Detail'!$H$6:$H$505,$M136)))</f>
        <v/>
      </c>
      <c r="I136" s="34" t="str">
        <f aca="false">IF($M136=0,"",IF(INDEX('Line Detail'!$O$6:$O$505,$M136)="","",INDEX('Line Detail'!$O$6:$O$505,$M136)))</f>
        <v/>
      </c>
      <c r="J136" s="34" t="str">
        <f aca="false">IF($M136=0,"",IF(INDEX('Line Detail'!$R$6:$R$505,$M136)="","",INDEX('Line Detail'!$R$6:$R$505,$M136)))</f>
        <v/>
      </c>
      <c r="K136" s="6" t="str">
        <f aca="false">IF($M136=0,"",IF(INDEX('Line Detail'!$S$6:$S$505,$M136)="","",INDEX('Line Detail'!$S$6:$S$505,$M136)))</f>
        <v/>
      </c>
      <c r="L136" s="1"/>
      <c r="M136" s="63" t="n">
        <f aca="false">IFERROR(MATCH(131,'Line Detail'!$W$6:$W$505,0),0)</f>
        <v>0</v>
      </c>
    </row>
    <row r="137" customFormat="false" ht="15" hidden="false" customHeight="false" outlineLevel="0" collapsed="false">
      <c r="A137" s="13" t="str">
        <f aca="false">IF($M137=0,"",132)</f>
        <v/>
      </c>
      <c r="B137" s="13" t="str">
        <f aca="false">IF($M137=0,"",IF(INDEX('Line Detail'!$B$6:$B$505,$M137)="","",INDEX('Line Detail'!$B$6:$B$505,$M137)))</f>
        <v/>
      </c>
      <c r="C137" s="13" t="str">
        <f aca="false">IF($M137=0,"",IF(INDEX('Line Detail'!$C$6:$C$505,$M137)="","",INDEX('Line Detail'!$C$6:$C$505,$M137)))</f>
        <v/>
      </c>
      <c r="D137" s="13" t="str">
        <f aca="false">IF($M137=0,"",IF(INDEX('Line Detail'!$D$6:$D$505,$M137)="","",INDEX('Line Detail'!$D$6:$D$505,$M137)))</f>
        <v/>
      </c>
      <c r="E137" s="13" t="str">
        <f aca="false">IF($M137=0,"",IF(INDEX('Line Detail'!$E$6:$E$505,$M137)="","",INDEX('Line Detail'!$E$6:$E$505,$M137)))</f>
        <v/>
      </c>
      <c r="F137" s="6" t="str">
        <f aca="false">IF($M137=0,"",IF(INDEX('Line Detail'!$F$6:$F$505,$M137)="","",INDEX('Line Detail'!$F$6:$F$505,$M137)))</f>
        <v/>
      </c>
      <c r="G137" s="62" t="str">
        <f aca="false">IF($M137=0,"",IF(INDEX('Line Detail'!$G$6:$G$505,$M137)="","",INDEX('Line Detail'!$G$6:$G$505,$M137)))</f>
        <v/>
      </c>
      <c r="H137" s="13" t="str">
        <f aca="false">IF($M137=0,"",IF(INDEX('Line Detail'!$H$6:$H$505,$M137)="","",INDEX('Line Detail'!$H$6:$H$505,$M137)))</f>
        <v/>
      </c>
      <c r="I137" s="34" t="str">
        <f aca="false">IF($M137=0,"",IF(INDEX('Line Detail'!$O$6:$O$505,$M137)="","",INDEX('Line Detail'!$O$6:$O$505,$M137)))</f>
        <v/>
      </c>
      <c r="J137" s="34" t="str">
        <f aca="false">IF($M137=0,"",IF(INDEX('Line Detail'!$R$6:$R$505,$M137)="","",INDEX('Line Detail'!$R$6:$R$505,$M137)))</f>
        <v/>
      </c>
      <c r="K137" s="6" t="str">
        <f aca="false">IF($M137=0,"",IF(INDEX('Line Detail'!$S$6:$S$505,$M137)="","",INDEX('Line Detail'!$S$6:$S$505,$M137)))</f>
        <v/>
      </c>
      <c r="L137" s="1"/>
      <c r="M137" s="63" t="n">
        <f aca="false">IFERROR(MATCH(132,'Line Detail'!$W$6:$W$505,0),0)</f>
        <v>0</v>
      </c>
    </row>
    <row r="138" customFormat="false" ht="15" hidden="false" customHeight="false" outlineLevel="0" collapsed="false">
      <c r="A138" s="13" t="str">
        <f aca="false">IF($M138=0,"",133)</f>
        <v/>
      </c>
      <c r="B138" s="13" t="str">
        <f aca="false">IF($M138=0,"",IF(INDEX('Line Detail'!$B$6:$B$505,$M138)="","",INDEX('Line Detail'!$B$6:$B$505,$M138)))</f>
        <v/>
      </c>
      <c r="C138" s="13" t="str">
        <f aca="false">IF($M138=0,"",IF(INDEX('Line Detail'!$C$6:$C$505,$M138)="","",INDEX('Line Detail'!$C$6:$C$505,$M138)))</f>
        <v/>
      </c>
      <c r="D138" s="13" t="str">
        <f aca="false">IF($M138=0,"",IF(INDEX('Line Detail'!$D$6:$D$505,$M138)="","",INDEX('Line Detail'!$D$6:$D$505,$M138)))</f>
        <v/>
      </c>
      <c r="E138" s="13" t="str">
        <f aca="false">IF($M138=0,"",IF(INDEX('Line Detail'!$E$6:$E$505,$M138)="","",INDEX('Line Detail'!$E$6:$E$505,$M138)))</f>
        <v/>
      </c>
      <c r="F138" s="6" t="str">
        <f aca="false">IF($M138=0,"",IF(INDEX('Line Detail'!$F$6:$F$505,$M138)="","",INDEX('Line Detail'!$F$6:$F$505,$M138)))</f>
        <v/>
      </c>
      <c r="G138" s="62" t="str">
        <f aca="false">IF($M138=0,"",IF(INDEX('Line Detail'!$G$6:$G$505,$M138)="","",INDEX('Line Detail'!$G$6:$G$505,$M138)))</f>
        <v/>
      </c>
      <c r="H138" s="13" t="str">
        <f aca="false">IF($M138=0,"",IF(INDEX('Line Detail'!$H$6:$H$505,$M138)="","",INDEX('Line Detail'!$H$6:$H$505,$M138)))</f>
        <v/>
      </c>
      <c r="I138" s="34" t="str">
        <f aca="false">IF($M138=0,"",IF(INDEX('Line Detail'!$O$6:$O$505,$M138)="","",INDEX('Line Detail'!$O$6:$O$505,$M138)))</f>
        <v/>
      </c>
      <c r="J138" s="34" t="str">
        <f aca="false">IF($M138=0,"",IF(INDEX('Line Detail'!$R$6:$R$505,$M138)="","",INDEX('Line Detail'!$R$6:$R$505,$M138)))</f>
        <v/>
      </c>
      <c r="K138" s="6" t="str">
        <f aca="false">IF($M138=0,"",IF(INDEX('Line Detail'!$S$6:$S$505,$M138)="","",INDEX('Line Detail'!$S$6:$S$505,$M138)))</f>
        <v/>
      </c>
      <c r="L138" s="1"/>
      <c r="M138" s="63" t="n">
        <f aca="false">IFERROR(MATCH(133,'Line Detail'!$W$6:$W$505,0),0)</f>
        <v>0</v>
      </c>
    </row>
    <row r="139" customFormat="false" ht="15" hidden="false" customHeight="false" outlineLevel="0" collapsed="false">
      <c r="A139" s="13" t="str">
        <f aca="false">IF($M139=0,"",134)</f>
        <v/>
      </c>
      <c r="B139" s="13" t="str">
        <f aca="false">IF($M139=0,"",IF(INDEX('Line Detail'!$B$6:$B$505,$M139)="","",INDEX('Line Detail'!$B$6:$B$505,$M139)))</f>
        <v/>
      </c>
      <c r="C139" s="13" t="str">
        <f aca="false">IF($M139=0,"",IF(INDEX('Line Detail'!$C$6:$C$505,$M139)="","",INDEX('Line Detail'!$C$6:$C$505,$M139)))</f>
        <v/>
      </c>
      <c r="D139" s="13" t="str">
        <f aca="false">IF($M139=0,"",IF(INDEX('Line Detail'!$D$6:$D$505,$M139)="","",INDEX('Line Detail'!$D$6:$D$505,$M139)))</f>
        <v/>
      </c>
      <c r="E139" s="13" t="str">
        <f aca="false">IF($M139=0,"",IF(INDEX('Line Detail'!$E$6:$E$505,$M139)="","",INDEX('Line Detail'!$E$6:$E$505,$M139)))</f>
        <v/>
      </c>
      <c r="F139" s="6" t="str">
        <f aca="false">IF($M139=0,"",IF(INDEX('Line Detail'!$F$6:$F$505,$M139)="","",INDEX('Line Detail'!$F$6:$F$505,$M139)))</f>
        <v/>
      </c>
      <c r="G139" s="62" t="str">
        <f aca="false">IF($M139=0,"",IF(INDEX('Line Detail'!$G$6:$G$505,$M139)="","",INDEX('Line Detail'!$G$6:$G$505,$M139)))</f>
        <v/>
      </c>
      <c r="H139" s="13" t="str">
        <f aca="false">IF($M139=0,"",IF(INDEX('Line Detail'!$H$6:$H$505,$M139)="","",INDEX('Line Detail'!$H$6:$H$505,$M139)))</f>
        <v/>
      </c>
      <c r="I139" s="34" t="str">
        <f aca="false">IF($M139=0,"",IF(INDEX('Line Detail'!$O$6:$O$505,$M139)="","",INDEX('Line Detail'!$O$6:$O$505,$M139)))</f>
        <v/>
      </c>
      <c r="J139" s="34" t="str">
        <f aca="false">IF($M139=0,"",IF(INDEX('Line Detail'!$R$6:$R$505,$M139)="","",INDEX('Line Detail'!$R$6:$R$505,$M139)))</f>
        <v/>
      </c>
      <c r="K139" s="6" t="str">
        <f aca="false">IF($M139=0,"",IF(INDEX('Line Detail'!$S$6:$S$505,$M139)="","",INDEX('Line Detail'!$S$6:$S$505,$M139)))</f>
        <v/>
      </c>
      <c r="L139" s="1"/>
      <c r="M139" s="63" t="n">
        <f aca="false">IFERROR(MATCH(134,'Line Detail'!$W$6:$W$505,0),0)</f>
        <v>0</v>
      </c>
    </row>
    <row r="140" customFormat="false" ht="15" hidden="false" customHeight="false" outlineLevel="0" collapsed="false">
      <c r="A140" s="13" t="str">
        <f aca="false">IF($M140=0,"",135)</f>
        <v/>
      </c>
      <c r="B140" s="13" t="str">
        <f aca="false">IF($M140=0,"",IF(INDEX('Line Detail'!$B$6:$B$505,$M140)="","",INDEX('Line Detail'!$B$6:$B$505,$M140)))</f>
        <v/>
      </c>
      <c r="C140" s="13" t="str">
        <f aca="false">IF($M140=0,"",IF(INDEX('Line Detail'!$C$6:$C$505,$M140)="","",INDEX('Line Detail'!$C$6:$C$505,$M140)))</f>
        <v/>
      </c>
      <c r="D140" s="13" t="str">
        <f aca="false">IF($M140=0,"",IF(INDEX('Line Detail'!$D$6:$D$505,$M140)="","",INDEX('Line Detail'!$D$6:$D$505,$M140)))</f>
        <v/>
      </c>
      <c r="E140" s="13" t="str">
        <f aca="false">IF($M140=0,"",IF(INDEX('Line Detail'!$E$6:$E$505,$M140)="","",INDEX('Line Detail'!$E$6:$E$505,$M140)))</f>
        <v/>
      </c>
      <c r="F140" s="6" t="str">
        <f aca="false">IF($M140=0,"",IF(INDEX('Line Detail'!$F$6:$F$505,$M140)="","",INDEX('Line Detail'!$F$6:$F$505,$M140)))</f>
        <v/>
      </c>
      <c r="G140" s="62" t="str">
        <f aca="false">IF($M140=0,"",IF(INDEX('Line Detail'!$G$6:$G$505,$M140)="","",INDEX('Line Detail'!$G$6:$G$505,$M140)))</f>
        <v/>
      </c>
      <c r="H140" s="13" t="str">
        <f aca="false">IF($M140=0,"",IF(INDEX('Line Detail'!$H$6:$H$505,$M140)="","",INDEX('Line Detail'!$H$6:$H$505,$M140)))</f>
        <v/>
      </c>
      <c r="I140" s="34" t="str">
        <f aca="false">IF($M140=0,"",IF(INDEX('Line Detail'!$O$6:$O$505,$M140)="","",INDEX('Line Detail'!$O$6:$O$505,$M140)))</f>
        <v/>
      </c>
      <c r="J140" s="34" t="str">
        <f aca="false">IF($M140=0,"",IF(INDEX('Line Detail'!$R$6:$R$505,$M140)="","",INDEX('Line Detail'!$R$6:$R$505,$M140)))</f>
        <v/>
      </c>
      <c r="K140" s="6" t="str">
        <f aca="false">IF($M140=0,"",IF(INDEX('Line Detail'!$S$6:$S$505,$M140)="","",INDEX('Line Detail'!$S$6:$S$505,$M140)))</f>
        <v/>
      </c>
      <c r="L140" s="1"/>
      <c r="M140" s="63" t="n">
        <f aca="false">IFERROR(MATCH(135,'Line Detail'!$W$6:$W$505,0),0)</f>
        <v>0</v>
      </c>
    </row>
    <row r="141" customFormat="false" ht="15" hidden="false" customHeight="false" outlineLevel="0" collapsed="false">
      <c r="A141" s="13" t="str">
        <f aca="false">IF($M141=0,"",136)</f>
        <v/>
      </c>
      <c r="B141" s="13" t="str">
        <f aca="false">IF($M141=0,"",IF(INDEX('Line Detail'!$B$6:$B$505,$M141)="","",INDEX('Line Detail'!$B$6:$B$505,$M141)))</f>
        <v/>
      </c>
      <c r="C141" s="13" t="str">
        <f aca="false">IF($M141=0,"",IF(INDEX('Line Detail'!$C$6:$C$505,$M141)="","",INDEX('Line Detail'!$C$6:$C$505,$M141)))</f>
        <v/>
      </c>
      <c r="D141" s="13" t="str">
        <f aca="false">IF($M141=0,"",IF(INDEX('Line Detail'!$D$6:$D$505,$M141)="","",INDEX('Line Detail'!$D$6:$D$505,$M141)))</f>
        <v/>
      </c>
      <c r="E141" s="13" t="str">
        <f aca="false">IF($M141=0,"",IF(INDEX('Line Detail'!$E$6:$E$505,$M141)="","",INDEX('Line Detail'!$E$6:$E$505,$M141)))</f>
        <v/>
      </c>
      <c r="F141" s="6" t="str">
        <f aca="false">IF($M141=0,"",IF(INDEX('Line Detail'!$F$6:$F$505,$M141)="","",INDEX('Line Detail'!$F$6:$F$505,$M141)))</f>
        <v/>
      </c>
      <c r="G141" s="62" t="str">
        <f aca="false">IF($M141=0,"",IF(INDEX('Line Detail'!$G$6:$G$505,$M141)="","",INDEX('Line Detail'!$G$6:$G$505,$M141)))</f>
        <v/>
      </c>
      <c r="H141" s="13" t="str">
        <f aca="false">IF($M141=0,"",IF(INDEX('Line Detail'!$H$6:$H$505,$M141)="","",INDEX('Line Detail'!$H$6:$H$505,$M141)))</f>
        <v/>
      </c>
      <c r="I141" s="34" t="str">
        <f aca="false">IF($M141=0,"",IF(INDEX('Line Detail'!$O$6:$O$505,$M141)="","",INDEX('Line Detail'!$O$6:$O$505,$M141)))</f>
        <v/>
      </c>
      <c r="J141" s="34" t="str">
        <f aca="false">IF($M141=0,"",IF(INDEX('Line Detail'!$R$6:$R$505,$M141)="","",INDEX('Line Detail'!$R$6:$R$505,$M141)))</f>
        <v/>
      </c>
      <c r="K141" s="6" t="str">
        <f aca="false">IF($M141=0,"",IF(INDEX('Line Detail'!$S$6:$S$505,$M141)="","",INDEX('Line Detail'!$S$6:$S$505,$M141)))</f>
        <v/>
      </c>
      <c r="L141" s="1"/>
      <c r="M141" s="63" t="n">
        <f aca="false">IFERROR(MATCH(136,'Line Detail'!$W$6:$W$505,0),0)</f>
        <v>0</v>
      </c>
    </row>
    <row r="142" customFormat="false" ht="15" hidden="false" customHeight="false" outlineLevel="0" collapsed="false">
      <c r="A142" s="13" t="str">
        <f aca="false">IF($M142=0,"",137)</f>
        <v/>
      </c>
      <c r="B142" s="13" t="str">
        <f aca="false">IF($M142=0,"",IF(INDEX('Line Detail'!$B$6:$B$505,$M142)="","",INDEX('Line Detail'!$B$6:$B$505,$M142)))</f>
        <v/>
      </c>
      <c r="C142" s="13" t="str">
        <f aca="false">IF($M142=0,"",IF(INDEX('Line Detail'!$C$6:$C$505,$M142)="","",INDEX('Line Detail'!$C$6:$C$505,$M142)))</f>
        <v/>
      </c>
      <c r="D142" s="13" t="str">
        <f aca="false">IF($M142=0,"",IF(INDEX('Line Detail'!$D$6:$D$505,$M142)="","",INDEX('Line Detail'!$D$6:$D$505,$M142)))</f>
        <v/>
      </c>
      <c r="E142" s="13" t="str">
        <f aca="false">IF($M142=0,"",IF(INDEX('Line Detail'!$E$6:$E$505,$M142)="","",INDEX('Line Detail'!$E$6:$E$505,$M142)))</f>
        <v/>
      </c>
      <c r="F142" s="6" t="str">
        <f aca="false">IF($M142=0,"",IF(INDEX('Line Detail'!$F$6:$F$505,$M142)="","",INDEX('Line Detail'!$F$6:$F$505,$M142)))</f>
        <v/>
      </c>
      <c r="G142" s="62" t="str">
        <f aca="false">IF($M142=0,"",IF(INDEX('Line Detail'!$G$6:$G$505,$M142)="","",INDEX('Line Detail'!$G$6:$G$505,$M142)))</f>
        <v/>
      </c>
      <c r="H142" s="13" t="str">
        <f aca="false">IF($M142=0,"",IF(INDEX('Line Detail'!$H$6:$H$505,$M142)="","",INDEX('Line Detail'!$H$6:$H$505,$M142)))</f>
        <v/>
      </c>
      <c r="I142" s="34" t="str">
        <f aca="false">IF($M142=0,"",IF(INDEX('Line Detail'!$O$6:$O$505,$M142)="","",INDEX('Line Detail'!$O$6:$O$505,$M142)))</f>
        <v/>
      </c>
      <c r="J142" s="34" t="str">
        <f aca="false">IF($M142=0,"",IF(INDEX('Line Detail'!$R$6:$R$505,$M142)="","",INDEX('Line Detail'!$R$6:$R$505,$M142)))</f>
        <v/>
      </c>
      <c r="K142" s="6" t="str">
        <f aca="false">IF($M142=0,"",IF(INDEX('Line Detail'!$S$6:$S$505,$M142)="","",INDEX('Line Detail'!$S$6:$S$505,$M142)))</f>
        <v/>
      </c>
      <c r="L142" s="1"/>
      <c r="M142" s="63" t="n">
        <f aca="false">IFERROR(MATCH(137,'Line Detail'!$W$6:$W$505,0),0)</f>
        <v>0</v>
      </c>
    </row>
    <row r="143" customFormat="false" ht="15" hidden="false" customHeight="false" outlineLevel="0" collapsed="false">
      <c r="A143" s="13" t="str">
        <f aca="false">IF($M143=0,"",138)</f>
        <v/>
      </c>
      <c r="B143" s="13" t="str">
        <f aca="false">IF($M143=0,"",IF(INDEX('Line Detail'!$B$6:$B$505,$M143)="","",INDEX('Line Detail'!$B$6:$B$505,$M143)))</f>
        <v/>
      </c>
      <c r="C143" s="13" t="str">
        <f aca="false">IF($M143=0,"",IF(INDEX('Line Detail'!$C$6:$C$505,$M143)="","",INDEX('Line Detail'!$C$6:$C$505,$M143)))</f>
        <v/>
      </c>
      <c r="D143" s="13" t="str">
        <f aca="false">IF($M143=0,"",IF(INDEX('Line Detail'!$D$6:$D$505,$M143)="","",INDEX('Line Detail'!$D$6:$D$505,$M143)))</f>
        <v/>
      </c>
      <c r="E143" s="13" t="str">
        <f aca="false">IF($M143=0,"",IF(INDEX('Line Detail'!$E$6:$E$505,$M143)="","",INDEX('Line Detail'!$E$6:$E$505,$M143)))</f>
        <v/>
      </c>
      <c r="F143" s="6" t="str">
        <f aca="false">IF($M143=0,"",IF(INDEX('Line Detail'!$F$6:$F$505,$M143)="","",INDEX('Line Detail'!$F$6:$F$505,$M143)))</f>
        <v/>
      </c>
      <c r="G143" s="62" t="str">
        <f aca="false">IF($M143=0,"",IF(INDEX('Line Detail'!$G$6:$G$505,$M143)="","",INDEX('Line Detail'!$G$6:$G$505,$M143)))</f>
        <v/>
      </c>
      <c r="H143" s="13" t="str">
        <f aca="false">IF($M143=0,"",IF(INDEX('Line Detail'!$H$6:$H$505,$M143)="","",INDEX('Line Detail'!$H$6:$H$505,$M143)))</f>
        <v/>
      </c>
      <c r="I143" s="34" t="str">
        <f aca="false">IF($M143=0,"",IF(INDEX('Line Detail'!$O$6:$O$505,$M143)="","",INDEX('Line Detail'!$O$6:$O$505,$M143)))</f>
        <v/>
      </c>
      <c r="J143" s="34" t="str">
        <f aca="false">IF($M143=0,"",IF(INDEX('Line Detail'!$R$6:$R$505,$M143)="","",INDEX('Line Detail'!$R$6:$R$505,$M143)))</f>
        <v/>
      </c>
      <c r="K143" s="6" t="str">
        <f aca="false">IF($M143=0,"",IF(INDEX('Line Detail'!$S$6:$S$505,$M143)="","",INDEX('Line Detail'!$S$6:$S$505,$M143)))</f>
        <v/>
      </c>
      <c r="L143" s="1"/>
      <c r="M143" s="63" t="n">
        <f aca="false">IFERROR(MATCH(138,'Line Detail'!$W$6:$W$505,0),0)</f>
        <v>0</v>
      </c>
    </row>
    <row r="144" customFormat="false" ht="15" hidden="false" customHeight="false" outlineLevel="0" collapsed="false">
      <c r="A144" s="13" t="str">
        <f aca="false">IF($M144=0,"",139)</f>
        <v/>
      </c>
      <c r="B144" s="13" t="str">
        <f aca="false">IF($M144=0,"",IF(INDEX('Line Detail'!$B$6:$B$505,$M144)="","",INDEX('Line Detail'!$B$6:$B$505,$M144)))</f>
        <v/>
      </c>
      <c r="C144" s="13" t="str">
        <f aca="false">IF($M144=0,"",IF(INDEX('Line Detail'!$C$6:$C$505,$M144)="","",INDEX('Line Detail'!$C$6:$C$505,$M144)))</f>
        <v/>
      </c>
      <c r="D144" s="13" t="str">
        <f aca="false">IF($M144=0,"",IF(INDEX('Line Detail'!$D$6:$D$505,$M144)="","",INDEX('Line Detail'!$D$6:$D$505,$M144)))</f>
        <v/>
      </c>
      <c r="E144" s="13" t="str">
        <f aca="false">IF($M144=0,"",IF(INDEX('Line Detail'!$E$6:$E$505,$M144)="","",INDEX('Line Detail'!$E$6:$E$505,$M144)))</f>
        <v/>
      </c>
      <c r="F144" s="6" t="str">
        <f aca="false">IF($M144=0,"",IF(INDEX('Line Detail'!$F$6:$F$505,$M144)="","",INDEX('Line Detail'!$F$6:$F$505,$M144)))</f>
        <v/>
      </c>
      <c r="G144" s="62" t="str">
        <f aca="false">IF($M144=0,"",IF(INDEX('Line Detail'!$G$6:$G$505,$M144)="","",INDEX('Line Detail'!$G$6:$G$505,$M144)))</f>
        <v/>
      </c>
      <c r="H144" s="13" t="str">
        <f aca="false">IF($M144=0,"",IF(INDEX('Line Detail'!$H$6:$H$505,$M144)="","",INDEX('Line Detail'!$H$6:$H$505,$M144)))</f>
        <v/>
      </c>
      <c r="I144" s="34" t="str">
        <f aca="false">IF($M144=0,"",IF(INDEX('Line Detail'!$O$6:$O$505,$M144)="","",INDEX('Line Detail'!$O$6:$O$505,$M144)))</f>
        <v/>
      </c>
      <c r="J144" s="34" t="str">
        <f aca="false">IF($M144=0,"",IF(INDEX('Line Detail'!$R$6:$R$505,$M144)="","",INDEX('Line Detail'!$R$6:$R$505,$M144)))</f>
        <v/>
      </c>
      <c r="K144" s="6" t="str">
        <f aca="false">IF($M144=0,"",IF(INDEX('Line Detail'!$S$6:$S$505,$M144)="","",INDEX('Line Detail'!$S$6:$S$505,$M144)))</f>
        <v/>
      </c>
      <c r="L144" s="1"/>
      <c r="M144" s="63" t="n">
        <f aca="false">IFERROR(MATCH(139,'Line Detail'!$W$6:$W$505,0),0)</f>
        <v>0</v>
      </c>
    </row>
    <row r="145" customFormat="false" ht="15" hidden="false" customHeight="false" outlineLevel="0" collapsed="false">
      <c r="A145" s="13" t="str">
        <f aca="false">IF($M145=0,"",140)</f>
        <v/>
      </c>
      <c r="B145" s="13" t="str">
        <f aca="false">IF($M145=0,"",IF(INDEX('Line Detail'!$B$6:$B$505,$M145)="","",INDEX('Line Detail'!$B$6:$B$505,$M145)))</f>
        <v/>
      </c>
      <c r="C145" s="13" t="str">
        <f aca="false">IF($M145=0,"",IF(INDEX('Line Detail'!$C$6:$C$505,$M145)="","",INDEX('Line Detail'!$C$6:$C$505,$M145)))</f>
        <v/>
      </c>
      <c r="D145" s="13" t="str">
        <f aca="false">IF($M145=0,"",IF(INDEX('Line Detail'!$D$6:$D$505,$M145)="","",INDEX('Line Detail'!$D$6:$D$505,$M145)))</f>
        <v/>
      </c>
      <c r="E145" s="13" t="str">
        <f aca="false">IF($M145=0,"",IF(INDEX('Line Detail'!$E$6:$E$505,$M145)="","",INDEX('Line Detail'!$E$6:$E$505,$M145)))</f>
        <v/>
      </c>
      <c r="F145" s="6" t="str">
        <f aca="false">IF($M145=0,"",IF(INDEX('Line Detail'!$F$6:$F$505,$M145)="","",INDEX('Line Detail'!$F$6:$F$505,$M145)))</f>
        <v/>
      </c>
      <c r="G145" s="62" t="str">
        <f aca="false">IF($M145=0,"",IF(INDEX('Line Detail'!$G$6:$G$505,$M145)="","",INDEX('Line Detail'!$G$6:$G$505,$M145)))</f>
        <v/>
      </c>
      <c r="H145" s="13" t="str">
        <f aca="false">IF($M145=0,"",IF(INDEX('Line Detail'!$H$6:$H$505,$M145)="","",INDEX('Line Detail'!$H$6:$H$505,$M145)))</f>
        <v/>
      </c>
      <c r="I145" s="34" t="str">
        <f aca="false">IF($M145=0,"",IF(INDEX('Line Detail'!$O$6:$O$505,$M145)="","",INDEX('Line Detail'!$O$6:$O$505,$M145)))</f>
        <v/>
      </c>
      <c r="J145" s="34" t="str">
        <f aca="false">IF($M145=0,"",IF(INDEX('Line Detail'!$R$6:$R$505,$M145)="","",INDEX('Line Detail'!$R$6:$R$505,$M145)))</f>
        <v/>
      </c>
      <c r="K145" s="6" t="str">
        <f aca="false">IF($M145=0,"",IF(INDEX('Line Detail'!$S$6:$S$505,$M145)="","",INDEX('Line Detail'!$S$6:$S$505,$M145)))</f>
        <v/>
      </c>
      <c r="L145" s="1"/>
      <c r="M145" s="63" t="n">
        <f aca="false">IFERROR(MATCH(140,'Line Detail'!$W$6:$W$505,0),0)</f>
        <v>0</v>
      </c>
    </row>
    <row r="146" customFormat="false" ht="15" hidden="false" customHeight="false" outlineLevel="0" collapsed="false">
      <c r="A146" s="13" t="str">
        <f aca="false">IF($M146=0,"",141)</f>
        <v/>
      </c>
      <c r="B146" s="13" t="str">
        <f aca="false">IF($M146=0,"",IF(INDEX('Line Detail'!$B$6:$B$505,$M146)="","",INDEX('Line Detail'!$B$6:$B$505,$M146)))</f>
        <v/>
      </c>
      <c r="C146" s="13" t="str">
        <f aca="false">IF($M146=0,"",IF(INDEX('Line Detail'!$C$6:$C$505,$M146)="","",INDEX('Line Detail'!$C$6:$C$505,$M146)))</f>
        <v/>
      </c>
      <c r="D146" s="13" t="str">
        <f aca="false">IF($M146=0,"",IF(INDEX('Line Detail'!$D$6:$D$505,$M146)="","",INDEX('Line Detail'!$D$6:$D$505,$M146)))</f>
        <v/>
      </c>
      <c r="E146" s="13" t="str">
        <f aca="false">IF($M146=0,"",IF(INDEX('Line Detail'!$E$6:$E$505,$M146)="","",INDEX('Line Detail'!$E$6:$E$505,$M146)))</f>
        <v/>
      </c>
      <c r="F146" s="6" t="str">
        <f aca="false">IF($M146=0,"",IF(INDEX('Line Detail'!$F$6:$F$505,$M146)="","",INDEX('Line Detail'!$F$6:$F$505,$M146)))</f>
        <v/>
      </c>
      <c r="G146" s="62" t="str">
        <f aca="false">IF($M146=0,"",IF(INDEX('Line Detail'!$G$6:$G$505,$M146)="","",INDEX('Line Detail'!$G$6:$G$505,$M146)))</f>
        <v/>
      </c>
      <c r="H146" s="13" t="str">
        <f aca="false">IF($M146=0,"",IF(INDEX('Line Detail'!$H$6:$H$505,$M146)="","",INDEX('Line Detail'!$H$6:$H$505,$M146)))</f>
        <v/>
      </c>
      <c r="I146" s="34" t="str">
        <f aca="false">IF($M146=0,"",IF(INDEX('Line Detail'!$O$6:$O$505,$M146)="","",INDEX('Line Detail'!$O$6:$O$505,$M146)))</f>
        <v/>
      </c>
      <c r="J146" s="34" t="str">
        <f aca="false">IF($M146=0,"",IF(INDEX('Line Detail'!$R$6:$R$505,$M146)="","",INDEX('Line Detail'!$R$6:$R$505,$M146)))</f>
        <v/>
      </c>
      <c r="K146" s="6" t="str">
        <f aca="false">IF($M146=0,"",IF(INDEX('Line Detail'!$S$6:$S$505,$M146)="","",INDEX('Line Detail'!$S$6:$S$505,$M146)))</f>
        <v/>
      </c>
      <c r="L146" s="1"/>
      <c r="M146" s="63" t="n">
        <f aca="false">IFERROR(MATCH(141,'Line Detail'!$W$6:$W$505,0),0)</f>
        <v>0</v>
      </c>
    </row>
    <row r="147" customFormat="false" ht="15" hidden="false" customHeight="false" outlineLevel="0" collapsed="false">
      <c r="A147" s="13" t="str">
        <f aca="false">IF($M147=0,"",142)</f>
        <v/>
      </c>
      <c r="B147" s="13" t="str">
        <f aca="false">IF($M147=0,"",IF(INDEX('Line Detail'!$B$6:$B$505,$M147)="","",INDEX('Line Detail'!$B$6:$B$505,$M147)))</f>
        <v/>
      </c>
      <c r="C147" s="13" t="str">
        <f aca="false">IF($M147=0,"",IF(INDEX('Line Detail'!$C$6:$C$505,$M147)="","",INDEX('Line Detail'!$C$6:$C$505,$M147)))</f>
        <v/>
      </c>
      <c r="D147" s="13" t="str">
        <f aca="false">IF($M147=0,"",IF(INDEX('Line Detail'!$D$6:$D$505,$M147)="","",INDEX('Line Detail'!$D$6:$D$505,$M147)))</f>
        <v/>
      </c>
      <c r="E147" s="13" t="str">
        <f aca="false">IF($M147=0,"",IF(INDEX('Line Detail'!$E$6:$E$505,$M147)="","",INDEX('Line Detail'!$E$6:$E$505,$M147)))</f>
        <v/>
      </c>
      <c r="F147" s="6" t="str">
        <f aca="false">IF($M147=0,"",IF(INDEX('Line Detail'!$F$6:$F$505,$M147)="","",INDEX('Line Detail'!$F$6:$F$505,$M147)))</f>
        <v/>
      </c>
      <c r="G147" s="62" t="str">
        <f aca="false">IF($M147=0,"",IF(INDEX('Line Detail'!$G$6:$G$505,$M147)="","",INDEX('Line Detail'!$G$6:$G$505,$M147)))</f>
        <v/>
      </c>
      <c r="H147" s="13" t="str">
        <f aca="false">IF($M147=0,"",IF(INDEX('Line Detail'!$H$6:$H$505,$M147)="","",INDEX('Line Detail'!$H$6:$H$505,$M147)))</f>
        <v/>
      </c>
      <c r="I147" s="34" t="str">
        <f aca="false">IF($M147=0,"",IF(INDEX('Line Detail'!$O$6:$O$505,$M147)="","",INDEX('Line Detail'!$O$6:$O$505,$M147)))</f>
        <v/>
      </c>
      <c r="J147" s="34" t="str">
        <f aca="false">IF($M147=0,"",IF(INDEX('Line Detail'!$R$6:$R$505,$M147)="","",INDEX('Line Detail'!$R$6:$R$505,$M147)))</f>
        <v/>
      </c>
      <c r="K147" s="6" t="str">
        <f aca="false">IF($M147=0,"",IF(INDEX('Line Detail'!$S$6:$S$505,$M147)="","",INDEX('Line Detail'!$S$6:$S$505,$M147)))</f>
        <v/>
      </c>
      <c r="L147" s="1"/>
      <c r="M147" s="63" t="n">
        <f aca="false">IFERROR(MATCH(142,'Line Detail'!$W$6:$W$505,0),0)</f>
        <v>0</v>
      </c>
    </row>
    <row r="148" customFormat="false" ht="15" hidden="false" customHeight="false" outlineLevel="0" collapsed="false">
      <c r="A148" s="13" t="str">
        <f aca="false">IF($M148=0,"",143)</f>
        <v/>
      </c>
      <c r="B148" s="13" t="str">
        <f aca="false">IF($M148=0,"",IF(INDEX('Line Detail'!$B$6:$B$505,$M148)="","",INDEX('Line Detail'!$B$6:$B$505,$M148)))</f>
        <v/>
      </c>
      <c r="C148" s="13" t="str">
        <f aca="false">IF($M148=0,"",IF(INDEX('Line Detail'!$C$6:$C$505,$M148)="","",INDEX('Line Detail'!$C$6:$C$505,$M148)))</f>
        <v/>
      </c>
      <c r="D148" s="13" t="str">
        <f aca="false">IF($M148=0,"",IF(INDEX('Line Detail'!$D$6:$D$505,$M148)="","",INDEX('Line Detail'!$D$6:$D$505,$M148)))</f>
        <v/>
      </c>
      <c r="E148" s="13" t="str">
        <f aca="false">IF($M148=0,"",IF(INDEX('Line Detail'!$E$6:$E$505,$M148)="","",INDEX('Line Detail'!$E$6:$E$505,$M148)))</f>
        <v/>
      </c>
      <c r="F148" s="6" t="str">
        <f aca="false">IF($M148=0,"",IF(INDEX('Line Detail'!$F$6:$F$505,$M148)="","",INDEX('Line Detail'!$F$6:$F$505,$M148)))</f>
        <v/>
      </c>
      <c r="G148" s="62" t="str">
        <f aca="false">IF($M148=0,"",IF(INDEX('Line Detail'!$G$6:$G$505,$M148)="","",INDEX('Line Detail'!$G$6:$G$505,$M148)))</f>
        <v/>
      </c>
      <c r="H148" s="13" t="str">
        <f aca="false">IF($M148=0,"",IF(INDEX('Line Detail'!$H$6:$H$505,$M148)="","",INDEX('Line Detail'!$H$6:$H$505,$M148)))</f>
        <v/>
      </c>
      <c r="I148" s="34" t="str">
        <f aca="false">IF($M148=0,"",IF(INDEX('Line Detail'!$O$6:$O$505,$M148)="","",INDEX('Line Detail'!$O$6:$O$505,$M148)))</f>
        <v/>
      </c>
      <c r="J148" s="34" t="str">
        <f aca="false">IF($M148=0,"",IF(INDEX('Line Detail'!$R$6:$R$505,$M148)="","",INDEX('Line Detail'!$R$6:$R$505,$M148)))</f>
        <v/>
      </c>
      <c r="K148" s="6" t="str">
        <f aca="false">IF($M148=0,"",IF(INDEX('Line Detail'!$S$6:$S$505,$M148)="","",INDEX('Line Detail'!$S$6:$S$505,$M148)))</f>
        <v/>
      </c>
      <c r="L148" s="1"/>
      <c r="M148" s="63" t="n">
        <f aca="false">IFERROR(MATCH(143,'Line Detail'!$W$6:$W$505,0),0)</f>
        <v>0</v>
      </c>
    </row>
    <row r="149" customFormat="false" ht="15" hidden="false" customHeight="false" outlineLevel="0" collapsed="false">
      <c r="A149" s="13" t="str">
        <f aca="false">IF($M149=0,"",144)</f>
        <v/>
      </c>
      <c r="B149" s="13" t="str">
        <f aca="false">IF($M149=0,"",IF(INDEX('Line Detail'!$B$6:$B$505,$M149)="","",INDEX('Line Detail'!$B$6:$B$505,$M149)))</f>
        <v/>
      </c>
      <c r="C149" s="13" t="str">
        <f aca="false">IF($M149=0,"",IF(INDEX('Line Detail'!$C$6:$C$505,$M149)="","",INDEX('Line Detail'!$C$6:$C$505,$M149)))</f>
        <v/>
      </c>
      <c r="D149" s="13" t="str">
        <f aca="false">IF($M149=0,"",IF(INDEX('Line Detail'!$D$6:$D$505,$M149)="","",INDEX('Line Detail'!$D$6:$D$505,$M149)))</f>
        <v/>
      </c>
      <c r="E149" s="13" t="str">
        <f aca="false">IF($M149=0,"",IF(INDEX('Line Detail'!$E$6:$E$505,$M149)="","",INDEX('Line Detail'!$E$6:$E$505,$M149)))</f>
        <v/>
      </c>
      <c r="F149" s="6" t="str">
        <f aca="false">IF($M149=0,"",IF(INDEX('Line Detail'!$F$6:$F$505,$M149)="","",INDEX('Line Detail'!$F$6:$F$505,$M149)))</f>
        <v/>
      </c>
      <c r="G149" s="62" t="str">
        <f aca="false">IF($M149=0,"",IF(INDEX('Line Detail'!$G$6:$G$505,$M149)="","",INDEX('Line Detail'!$G$6:$G$505,$M149)))</f>
        <v/>
      </c>
      <c r="H149" s="13" t="str">
        <f aca="false">IF($M149=0,"",IF(INDEX('Line Detail'!$H$6:$H$505,$M149)="","",INDEX('Line Detail'!$H$6:$H$505,$M149)))</f>
        <v/>
      </c>
      <c r="I149" s="34" t="str">
        <f aca="false">IF($M149=0,"",IF(INDEX('Line Detail'!$O$6:$O$505,$M149)="","",INDEX('Line Detail'!$O$6:$O$505,$M149)))</f>
        <v/>
      </c>
      <c r="J149" s="34" t="str">
        <f aca="false">IF($M149=0,"",IF(INDEX('Line Detail'!$R$6:$R$505,$M149)="","",INDEX('Line Detail'!$R$6:$R$505,$M149)))</f>
        <v/>
      </c>
      <c r="K149" s="6" t="str">
        <f aca="false">IF($M149=0,"",IF(INDEX('Line Detail'!$S$6:$S$505,$M149)="","",INDEX('Line Detail'!$S$6:$S$505,$M149)))</f>
        <v/>
      </c>
      <c r="L149" s="1"/>
      <c r="M149" s="63" t="n">
        <f aca="false">IFERROR(MATCH(144,'Line Detail'!$W$6:$W$505,0),0)</f>
        <v>0</v>
      </c>
    </row>
    <row r="150" customFormat="false" ht="15" hidden="false" customHeight="false" outlineLevel="0" collapsed="false">
      <c r="A150" s="13" t="str">
        <f aca="false">IF($M150=0,"",145)</f>
        <v/>
      </c>
      <c r="B150" s="13" t="str">
        <f aca="false">IF($M150=0,"",IF(INDEX('Line Detail'!$B$6:$B$505,$M150)="","",INDEX('Line Detail'!$B$6:$B$505,$M150)))</f>
        <v/>
      </c>
      <c r="C150" s="13" t="str">
        <f aca="false">IF($M150=0,"",IF(INDEX('Line Detail'!$C$6:$C$505,$M150)="","",INDEX('Line Detail'!$C$6:$C$505,$M150)))</f>
        <v/>
      </c>
      <c r="D150" s="13" t="str">
        <f aca="false">IF($M150=0,"",IF(INDEX('Line Detail'!$D$6:$D$505,$M150)="","",INDEX('Line Detail'!$D$6:$D$505,$M150)))</f>
        <v/>
      </c>
      <c r="E150" s="13" t="str">
        <f aca="false">IF($M150=0,"",IF(INDEX('Line Detail'!$E$6:$E$505,$M150)="","",INDEX('Line Detail'!$E$6:$E$505,$M150)))</f>
        <v/>
      </c>
      <c r="F150" s="6" t="str">
        <f aca="false">IF($M150=0,"",IF(INDEX('Line Detail'!$F$6:$F$505,$M150)="","",INDEX('Line Detail'!$F$6:$F$505,$M150)))</f>
        <v/>
      </c>
      <c r="G150" s="62" t="str">
        <f aca="false">IF($M150=0,"",IF(INDEX('Line Detail'!$G$6:$G$505,$M150)="","",INDEX('Line Detail'!$G$6:$G$505,$M150)))</f>
        <v/>
      </c>
      <c r="H150" s="13" t="str">
        <f aca="false">IF($M150=0,"",IF(INDEX('Line Detail'!$H$6:$H$505,$M150)="","",INDEX('Line Detail'!$H$6:$H$505,$M150)))</f>
        <v/>
      </c>
      <c r="I150" s="34" t="str">
        <f aca="false">IF($M150=0,"",IF(INDEX('Line Detail'!$O$6:$O$505,$M150)="","",INDEX('Line Detail'!$O$6:$O$505,$M150)))</f>
        <v/>
      </c>
      <c r="J150" s="34" t="str">
        <f aca="false">IF($M150=0,"",IF(INDEX('Line Detail'!$R$6:$R$505,$M150)="","",INDEX('Line Detail'!$R$6:$R$505,$M150)))</f>
        <v/>
      </c>
      <c r="K150" s="6" t="str">
        <f aca="false">IF($M150=0,"",IF(INDEX('Line Detail'!$S$6:$S$505,$M150)="","",INDEX('Line Detail'!$S$6:$S$505,$M150)))</f>
        <v/>
      </c>
      <c r="L150" s="1"/>
      <c r="M150" s="63" t="n">
        <f aca="false">IFERROR(MATCH(145,'Line Detail'!$W$6:$W$505,0),0)</f>
        <v>0</v>
      </c>
    </row>
    <row r="151" customFormat="false" ht="15" hidden="false" customHeight="false" outlineLevel="0" collapsed="false">
      <c r="A151" s="13" t="str">
        <f aca="false">IF($M151=0,"",146)</f>
        <v/>
      </c>
      <c r="B151" s="13" t="str">
        <f aca="false">IF($M151=0,"",IF(INDEX('Line Detail'!$B$6:$B$505,$M151)="","",INDEX('Line Detail'!$B$6:$B$505,$M151)))</f>
        <v/>
      </c>
      <c r="C151" s="13" t="str">
        <f aca="false">IF($M151=0,"",IF(INDEX('Line Detail'!$C$6:$C$505,$M151)="","",INDEX('Line Detail'!$C$6:$C$505,$M151)))</f>
        <v/>
      </c>
      <c r="D151" s="13" t="str">
        <f aca="false">IF($M151=0,"",IF(INDEX('Line Detail'!$D$6:$D$505,$M151)="","",INDEX('Line Detail'!$D$6:$D$505,$M151)))</f>
        <v/>
      </c>
      <c r="E151" s="13" t="str">
        <f aca="false">IF($M151=0,"",IF(INDEX('Line Detail'!$E$6:$E$505,$M151)="","",INDEX('Line Detail'!$E$6:$E$505,$M151)))</f>
        <v/>
      </c>
      <c r="F151" s="6" t="str">
        <f aca="false">IF($M151=0,"",IF(INDEX('Line Detail'!$F$6:$F$505,$M151)="","",INDEX('Line Detail'!$F$6:$F$505,$M151)))</f>
        <v/>
      </c>
      <c r="G151" s="62" t="str">
        <f aca="false">IF($M151=0,"",IF(INDEX('Line Detail'!$G$6:$G$505,$M151)="","",INDEX('Line Detail'!$G$6:$G$505,$M151)))</f>
        <v/>
      </c>
      <c r="H151" s="13" t="str">
        <f aca="false">IF($M151=0,"",IF(INDEX('Line Detail'!$H$6:$H$505,$M151)="","",INDEX('Line Detail'!$H$6:$H$505,$M151)))</f>
        <v/>
      </c>
      <c r="I151" s="34" t="str">
        <f aca="false">IF($M151=0,"",IF(INDEX('Line Detail'!$O$6:$O$505,$M151)="","",INDEX('Line Detail'!$O$6:$O$505,$M151)))</f>
        <v/>
      </c>
      <c r="J151" s="34" t="str">
        <f aca="false">IF($M151=0,"",IF(INDEX('Line Detail'!$R$6:$R$505,$M151)="","",INDEX('Line Detail'!$R$6:$R$505,$M151)))</f>
        <v/>
      </c>
      <c r="K151" s="6" t="str">
        <f aca="false">IF($M151=0,"",IF(INDEX('Line Detail'!$S$6:$S$505,$M151)="","",INDEX('Line Detail'!$S$6:$S$505,$M151)))</f>
        <v/>
      </c>
      <c r="L151" s="1"/>
      <c r="M151" s="63" t="n">
        <f aca="false">IFERROR(MATCH(146,'Line Detail'!$W$6:$W$505,0),0)</f>
        <v>0</v>
      </c>
    </row>
    <row r="152" customFormat="false" ht="15" hidden="false" customHeight="false" outlineLevel="0" collapsed="false">
      <c r="A152" s="13" t="str">
        <f aca="false">IF($M152=0,"",147)</f>
        <v/>
      </c>
      <c r="B152" s="13" t="str">
        <f aca="false">IF($M152=0,"",IF(INDEX('Line Detail'!$B$6:$B$505,$M152)="","",INDEX('Line Detail'!$B$6:$B$505,$M152)))</f>
        <v/>
      </c>
      <c r="C152" s="13" t="str">
        <f aca="false">IF($M152=0,"",IF(INDEX('Line Detail'!$C$6:$C$505,$M152)="","",INDEX('Line Detail'!$C$6:$C$505,$M152)))</f>
        <v/>
      </c>
      <c r="D152" s="13" t="str">
        <f aca="false">IF($M152=0,"",IF(INDEX('Line Detail'!$D$6:$D$505,$M152)="","",INDEX('Line Detail'!$D$6:$D$505,$M152)))</f>
        <v/>
      </c>
      <c r="E152" s="13" t="str">
        <f aca="false">IF($M152=0,"",IF(INDEX('Line Detail'!$E$6:$E$505,$M152)="","",INDEX('Line Detail'!$E$6:$E$505,$M152)))</f>
        <v/>
      </c>
      <c r="F152" s="6" t="str">
        <f aca="false">IF($M152=0,"",IF(INDEX('Line Detail'!$F$6:$F$505,$M152)="","",INDEX('Line Detail'!$F$6:$F$505,$M152)))</f>
        <v/>
      </c>
      <c r="G152" s="62" t="str">
        <f aca="false">IF($M152=0,"",IF(INDEX('Line Detail'!$G$6:$G$505,$M152)="","",INDEX('Line Detail'!$G$6:$G$505,$M152)))</f>
        <v/>
      </c>
      <c r="H152" s="13" t="str">
        <f aca="false">IF($M152=0,"",IF(INDEX('Line Detail'!$H$6:$H$505,$M152)="","",INDEX('Line Detail'!$H$6:$H$505,$M152)))</f>
        <v/>
      </c>
      <c r="I152" s="34" t="str">
        <f aca="false">IF($M152=0,"",IF(INDEX('Line Detail'!$O$6:$O$505,$M152)="","",INDEX('Line Detail'!$O$6:$O$505,$M152)))</f>
        <v/>
      </c>
      <c r="J152" s="34" t="str">
        <f aca="false">IF($M152=0,"",IF(INDEX('Line Detail'!$R$6:$R$505,$M152)="","",INDEX('Line Detail'!$R$6:$R$505,$M152)))</f>
        <v/>
      </c>
      <c r="K152" s="6" t="str">
        <f aca="false">IF($M152=0,"",IF(INDEX('Line Detail'!$S$6:$S$505,$M152)="","",INDEX('Line Detail'!$S$6:$S$505,$M152)))</f>
        <v/>
      </c>
      <c r="L152" s="1"/>
      <c r="M152" s="63" t="n">
        <f aca="false">IFERROR(MATCH(147,'Line Detail'!$W$6:$W$505,0),0)</f>
        <v>0</v>
      </c>
    </row>
    <row r="153" customFormat="false" ht="15" hidden="false" customHeight="false" outlineLevel="0" collapsed="false">
      <c r="A153" s="13" t="str">
        <f aca="false">IF($M153=0,"",148)</f>
        <v/>
      </c>
      <c r="B153" s="13" t="str">
        <f aca="false">IF($M153=0,"",IF(INDEX('Line Detail'!$B$6:$B$505,$M153)="","",INDEX('Line Detail'!$B$6:$B$505,$M153)))</f>
        <v/>
      </c>
      <c r="C153" s="13" t="str">
        <f aca="false">IF($M153=0,"",IF(INDEX('Line Detail'!$C$6:$C$505,$M153)="","",INDEX('Line Detail'!$C$6:$C$505,$M153)))</f>
        <v/>
      </c>
      <c r="D153" s="13" t="str">
        <f aca="false">IF($M153=0,"",IF(INDEX('Line Detail'!$D$6:$D$505,$M153)="","",INDEX('Line Detail'!$D$6:$D$505,$M153)))</f>
        <v/>
      </c>
      <c r="E153" s="13" t="str">
        <f aca="false">IF($M153=0,"",IF(INDEX('Line Detail'!$E$6:$E$505,$M153)="","",INDEX('Line Detail'!$E$6:$E$505,$M153)))</f>
        <v/>
      </c>
      <c r="F153" s="6" t="str">
        <f aca="false">IF($M153=0,"",IF(INDEX('Line Detail'!$F$6:$F$505,$M153)="","",INDEX('Line Detail'!$F$6:$F$505,$M153)))</f>
        <v/>
      </c>
      <c r="G153" s="62" t="str">
        <f aca="false">IF($M153=0,"",IF(INDEX('Line Detail'!$G$6:$G$505,$M153)="","",INDEX('Line Detail'!$G$6:$G$505,$M153)))</f>
        <v/>
      </c>
      <c r="H153" s="13" t="str">
        <f aca="false">IF($M153=0,"",IF(INDEX('Line Detail'!$H$6:$H$505,$M153)="","",INDEX('Line Detail'!$H$6:$H$505,$M153)))</f>
        <v/>
      </c>
      <c r="I153" s="34" t="str">
        <f aca="false">IF($M153=0,"",IF(INDEX('Line Detail'!$O$6:$O$505,$M153)="","",INDEX('Line Detail'!$O$6:$O$505,$M153)))</f>
        <v/>
      </c>
      <c r="J153" s="34" t="str">
        <f aca="false">IF($M153=0,"",IF(INDEX('Line Detail'!$R$6:$R$505,$M153)="","",INDEX('Line Detail'!$R$6:$R$505,$M153)))</f>
        <v/>
      </c>
      <c r="K153" s="6" t="str">
        <f aca="false">IF($M153=0,"",IF(INDEX('Line Detail'!$S$6:$S$505,$M153)="","",INDEX('Line Detail'!$S$6:$S$505,$M153)))</f>
        <v/>
      </c>
      <c r="L153" s="1"/>
      <c r="M153" s="63" t="n">
        <f aca="false">IFERROR(MATCH(148,'Line Detail'!$W$6:$W$505,0),0)</f>
        <v>0</v>
      </c>
    </row>
    <row r="154" customFormat="false" ht="15" hidden="false" customHeight="false" outlineLevel="0" collapsed="false">
      <c r="A154" s="13" t="str">
        <f aca="false">IF($M154=0,"",149)</f>
        <v/>
      </c>
      <c r="B154" s="13" t="str">
        <f aca="false">IF($M154=0,"",IF(INDEX('Line Detail'!$B$6:$B$505,$M154)="","",INDEX('Line Detail'!$B$6:$B$505,$M154)))</f>
        <v/>
      </c>
      <c r="C154" s="13" t="str">
        <f aca="false">IF($M154=0,"",IF(INDEX('Line Detail'!$C$6:$C$505,$M154)="","",INDEX('Line Detail'!$C$6:$C$505,$M154)))</f>
        <v/>
      </c>
      <c r="D154" s="13" t="str">
        <f aca="false">IF($M154=0,"",IF(INDEX('Line Detail'!$D$6:$D$505,$M154)="","",INDEX('Line Detail'!$D$6:$D$505,$M154)))</f>
        <v/>
      </c>
      <c r="E154" s="13" t="str">
        <f aca="false">IF($M154=0,"",IF(INDEX('Line Detail'!$E$6:$E$505,$M154)="","",INDEX('Line Detail'!$E$6:$E$505,$M154)))</f>
        <v/>
      </c>
      <c r="F154" s="6" t="str">
        <f aca="false">IF($M154=0,"",IF(INDEX('Line Detail'!$F$6:$F$505,$M154)="","",INDEX('Line Detail'!$F$6:$F$505,$M154)))</f>
        <v/>
      </c>
      <c r="G154" s="62" t="str">
        <f aca="false">IF($M154=0,"",IF(INDEX('Line Detail'!$G$6:$G$505,$M154)="","",INDEX('Line Detail'!$G$6:$G$505,$M154)))</f>
        <v/>
      </c>
      <c r="H154" s="13" t="str">
        <f aca="false">IF($M154=0,"",IF(INDEX('Line Detail'!$H$6:$H$505,$M154)="","",INDEX('Line Detail'!$H$6:$H$505,$M154)))</f>
        <v/>
      </c>
      <c r="I154" s="34" t="str">
        <f aca="false">IF($M154=0,"",IF(INDEX('Line Detail'!$O$6:$O$505,$M154)="","",INDEX('Line Detail'!$O$6:$O$505,$M154)))</f>
        <v/>
      </c>
      <c r="J154" s="34" t="str">
        <f aca="false">IF($M154=0,"",IF(INDEX('Line Detail'!$R$6:$R$505,$M154)="","",INDEX('Line Detail'!$R$6:$R$505,$M154)))</f>
        <v/>
      </c>
      <c r="K154" s="6" t="str">
        <f aca="false">IF($M154=0,"",IF(INDEX('Line Detail'!$S$6:$S$505,$M154)="","",INDEX('Line Detail'!$S$6:$S$505,$M154)))</f>
        <v/>
      </c>
      <c r="L154" s="1"/>
      <c r="M154" s="63" t="n">
        <f aca="false">IFERROR(MATCH(149,'Line Detail'!$W$6:$W$505,0),0)</f>
        <v>0</v>
      </c>
    </row>
    <row r="155" customFormat="false" ht="15" hidden="false" customHeight="false" outlineLevel="0" collapsed="false">
      <c r="A155" s="13" t="str">
        <f aca="false">IF($M155=0,"",150)</f>
        <v/>
      </c>
      <c r="B155" s="13" t="str">
        <f aca="false">IF($M155=0,"",IF(INDEX('Line Detail'!$B$6:$B$505,$M155)="","",INDEX('Line Detail'!$B$6:$B$505,$M155)))</f>
        <v/>
      </c>
      <c r="C155" s="13" t="str">
        <f aca="false">IF($M155=0,"",IF(INDEX('Line Detail'!$C$6:$C$505,$M155)="","",INDEX('Line Detail'!$C$6:$C$505,$M155)))</f>
        <v/>
      </c>
      <c r="D155" s="13" t="str">
        <f aca="false">IF($M155=0,"",IF(INDEX('Line Detail'!$D$6:$D$505,$M155)="","",INDEX('Line Detail'!$D$6:$D$505,$M155)))</f>
        <v/>
      </c>
      <c r="E155" s="13" t="str">
        <f aca="false">IF($M155=0,"",IF(INDEX('Line Detail'!$E$6:$E$505,$M155)="","",INDEX('Line Detail'!$E$6:$E$505,$M155)))</f>
        <v/>
      </c>
      <c r="F155" s="6" t="str">
        <f aca="false">IF($M155=0,"",IF(INDEX('Line Detail'!$F$6:$F$505,$M155)="","",INDEX('Line Detail'!$F$6:$F$505,$M155)))</f>
        <v/>
      </c>
      <c r="G155" s="62" t="str">
        <f aca="false">IF($M155=0,"",IF(INDEX('Line Detail'!$G$6:$G$505,$M155)="","",INDEX('Line Detail'!$G$6:$G$505,$M155)))</f>
        <v/>
      </c>
      <c r="H155" s="13" t="str">
        <f aca="false">IF($M155=0,"",IF(INDEX('Line Detail'!$H$6:$H$505,$M155)="","",INDEX('Line Detail'!$H$6:$H$505,$M155)))</f>
        <v/>
      </c>
      <c r="I155" s="34" t="str">
        <f aca="false">IF($M155=0,"",IF(INDEX('Line Detail'!$O$6:$O$505,$M155)="","",INDEX('Line Detail'!$O$6:$O$505,$M155)))</f>
        <v/>
      </c>
      <c r="J155" s="34" t="str">
        <f aca="false">IF($M155=0,"",IF(INDEX('Line Detail'!$R$6:$R$505,$M155)="","",INDEX('Line Detail'!$R$6:$R$505,$M155)))</f>
        <v/>
      </c>
      <c r="K155" s="6" t="str">
        <f aca="false">IF($M155=0,"",IF(INDEX('Line Detail'!$S$6:$S$505,$M155)="","",INDEX('Line Detail'!$S$6:$S$505,$M155)))</f>
        <v/>
      </c>
      <c r="L155" s="1"/>
      <c r="M155" s="63" t="n">
        <f aca="false">IFERROR(MATCH(150,'Line Detail'!$W$6:$W$505,0),0)</f>
        <v>0</v>
      </c>
    </row>
    <row r="156" customFormat="false" ht="15" hidden="false" customHeight="false" outlineLevel="0" collapsed="false">
      <c r="A156" s="13" t="str">
        <f aca="false">IF($M156=0,"",151)</f>
        <v/>
      </c>
      <c r="B156" s="13" t="str">
        <f aca="false">IF($M156=0,"",IF(INDEX('Line Detail'!$B$6:$B$505,$M156)="","",INDEX('Line Detail'!$B$6:$B$505,$M156)))</f>
        <v/>
      </c>
      <c r="C156" s="13" t="str">
        <f aca="false">IF($M156=0,"",IF(INDEX('Line Detail'!$C$6:$C$505,$M156)="","",INDEX('Line Detail'!$C$6:$C$505,$M156)))</f>
        <v/>
      </c>
      <c r="D156" s="13" t="str">
        <f aca="false">IF($M156=0,"",IF(INDEX('Line Detail'!$D$6:$D$505,$M156)="","",INDEX('Line Detail'!$D$6:$D$505,$M156)))</f>
        <v/>
      </c>
      <c r="E156" s="13" t="str">
        <f aca="false">IF($M156=0,"",IF(INDEX('Line Detail'!$E$6:$E$505,$M156)="","",INDEX('Line Detail'!$E$6:$E$505,$M156)))</f>
        <v/>
      </c>
      <c r="F156" s="6" t="str">
        <f aca="false">IF($M156=0,"",IF(INDEX('Line Detail'!$F$6:$F$505,$M156)="","",INDEX('Line Detail'!$F$6:$F$505,$M156)))</f>
        <v/>
      </c>
      <c r="G156" s="62" t="str">
        <f aca="false">IF($M156=0,"",IF(INDEX('Line Detail'!$G$6:$G$505,$M156)="","",INDEX('Line Detail'!$G$6:$G$505,$M156)))</f>
        <v/>
      </c>
      <c r="H156" s="13" t="str">
        <f aca="false">IF($M156=0,"",IF(INDEX('Line Detail'!$H$6:$H$505,$M156)="","",INDEX('Line Detail'!$H$6:$H$505,$M156)))</f>
        <v/>
      </c>
      <c r="I156" s="34" t="str">
        <f aca="false">IF($M156=0,"",IF(INDEX('Line Detail'!$O$6:$O$505,$M156)="","",INDEX('Line Detail'!$O$6:$O$505,$M156)))</f>
        <v/>
      </c>
      <c r="J156" s="34" t="str">
        <f aca="false">IF($M156=0,"",IF(INDEX('Line Detail'!$R$6:$R$505,$M156)="","",INDEX('Line Detail'!$R$6:$R$505,$M156)))</f>
        <v/>
      </c>
      <c r="K156" s="6" t="str">
        <f aca="false">IF($M156=0,"",IF(INDEX('Line Detail'!$S$6:$S$505,$M156)="","",INDEX('Line Detail'!$S$6:$S$505,$M156)))</f>
        <v/>
      </c>
      <c r="L156" s="1"/>
      <c r="M156" s="63" t="n">
        <f aca="false">IFERROR(MATCH(151,'Line Detail'!$W$6:$W$505,0),0)</f>
        <v>0</v>
      </c>
    </row>
    <row r="157" customFormat="false" ht="15" hidden="false" customHeight="false" outlineLevel="0" collapsed="false">
      <c r="A157" s="13" t="str">
        <f aca="false">IF($M157=0,"",152)</f>
        <v/>
      </c>
      <c r="B157" s="13" t="str">
        <f aca="false">IF($M157=0,"",IF(INDEX('Line Detail'!$B$6:$B$505,$M157)="","",INDEX('Line Detail'!$B$6:$B$505,$M157)))</f>
        <v/>
      </c>
      <c r="C157" s="13" t="str">
        <f aca="false">IF($M157=0,"",IF(INDEX('Line Detail'!$C$6:$C$505,$M157)="","",INDEX('Line Detail'!$C$6:$C$505,$M157)))</f>
        <v/>
      </c>
      <c r="D157" s="13" t="str">
        <f aca="false">IF($M157=0,"",IF(INDEX('Line Detail'!$D$6:$D$505,$M157)="","",INDEX('Line Detail'!$D$6:$D$505,$M157)))</f>
        <v/>
      </c>
      <c r="E157" s="13" t="str">
        <f aca="false">IF($M157=0,"",IF(INDEX('Line Detail'!$E$6:$E$505,$M157)="","",INDEX('Line Detail'!$E$6:$E$505,$M157)))</f>
        <v/>
      </c>
      <c r="F157" s="6" t="str">
        <f aca="false">IF($M157=0,"",IF(INDEX('Line Detail'!$F$6:$F$505,$M157)="","",INDEX('Line Detail'!$F$6:$F$505,$M157)))</f>
        <v/>
      </c>
      <c r="G157" s="62" t="str">
        <f aca="false">IF($M157=0,"",IF(INDEX('Line Detail'!$G$6:$G$505,$M157)="","",INDEX('Line Detail'!$G$6:$G$505,$M157)))</f>
        <v/>
      </c>
      <c r="H157" s="13" t="str">
        <f aca="false">IF($M157=0,"",IF(INDEX('Line Detail'!$H$6:$H$505,$M157)="","",INDEX('Line Detail'!$H$6:$H$505,$M157)))</f>
        <v/>
      </c>
      <c r="I157" s="34" t="str">
        <f aca="false">IF($M157=0,"",IF(INDEX('Line Detail'!$O$6:$O$505,$M157)="","",INDEX('Line Detail'!$O$6:$O$505,$M157)))</f>
        <v/>
      </c>
      <c r="J157" s="34" t="str">
        <f aca="false">IF($M157=0,"",IF(INDEX('Line Detail'!$R$6:$R$505,$M157)="","",INDEX('Line Detail'!$R$6:$R$505,$M157)))</f>
        <v/>
      </c>
      <c r="K157" s="6" t="str">
        <f aca="false">IF($M157=0,"",IF(INDEX('Line Detail'!$S$6:$S$505,$M157)="","",INDEX('Line Detail'!$S$6:$S$505,$M157)))</f>
        <v/>
      </c>
      <c r="L157" s="1"/>
      <c r="M157" s="63" t="n">
        <f aca="false">IFERROR(MATCH(152,'Line Detail'!$W$6:$W$505,0),0)</f>
        <v>0</v>
      </c>
    </row>
    <row r="158" customFormat="false" ht="15" hidden="false" customHeight="false" outlineLevel="0" collapsed="false">
      <c r="A158" s="13" t="str">
        <f aca="false">IF($M158=0,"",153)</f>
        <v/>
      </c>
      <c r="B158" s="13" t="str">
        <f aca="false">IF($M158=0,"",IF(INDEX('Line Detail'!$B$6:$B$505,$M158)="","",INDEX('Line Detail'!$B$6:$B$505,$M158)))</f>
        <v/>
      </c>
      <c r="C158" s="13" t="str">
        <f aca="false">IF($M158=0,"",IF(INDEX('Line Detail'!$C$6:$C$505,$M158)="","",INDEX('Line Detail'!$C$6:$C$505,$M158)))</f>
        <v/>
      </c>
      <c r="D158" s="13" t="str">
        <f aca="false">IF($M158=0,"",IF(INDEX('Line Detail'!$D$6:$D$505,$M158)="","",INDEX('Line Detail'!$D$6:$D$505,$M158)))</f>
        <v/>
      </c>
      <c r="E158" s="13" t="str">
        <f aca="false">IF($M158=0,"",IF(INDEX('Line Detail'!$E$6:$E$505,$M158)="","",INDEX('Line Detail'!$E$6:$E$505,$M158)))</f>
        <v/>
      </c>
      <c r="F158" s="6" t="str">
        <f aca="false">IF($M158=0,"",IF(INDEX('Line Detail'!$F$6:$F$505,$M158)="","",INDEX('Line Detail'!$F$6:$F$505,$M158)))</f>
        <v/>
      </c>
      <c r="G158" s="62" t="str">
        <f aca="false">IF($M158=0,"",IF(INDEX('Line Detail'!$G$6:$G$505,$M158)="","",INDEX('Line Detail'!$G$6:$G$505,$M158)))</f>
        <v/>
      </c>
      <c r="H158" s="13" t="str">
        <f aca="false">IF($M158=0,"",IF(INDEX('Line Detail'!$H$6:$H$505,$M158)="","",INDEX('Line Detail'!$H$6:$H$505,$M158)))</f>
        <v/>
      </c>
      <c r="I158" s="34" t="str">
        <f aca="false">IF($M158=0,"",IF(INDEX('Line Detail'!$O$6:$O$505,$M158)="","",INDEX('Line Detail'!$O$6:$O$505,$M158)))</f>
        <v/>
      </c>
      <c r="J158" s="34" t="str">
        <f aca="false">IF($M158=0,"",IF(INDEX('Line Detail'!$R$6:$R$505,$M158)="","",INDEX('Line Detail'!$R$6:$R$505,$M158)))</f>
        <v/>
      </c>
      <c r="K158" s="6" t="str">
        <f aca="false">IF($M158=0,"",IF(INDEX('Line Detail'!$S$6:$S$505,$M158)="","",INDEX('Line Detail'!$S$6:$S$505,$M158)))</f>
        <v/>
      </c>
      <c r="L158" s="1"/>
      <c r="M158" s="63" t="n">
        <f aca="false">IFERROR(MATCH(153,'Line Detail'!$W$6:$W$505,0),0)</f>
        <v>0</v>
      </c>
    </row>
    <row r="159" customFormat="false" ht="15" hidden="false" customHeight="false" outlineLevel="0" collapsed="false">
      <c r="A159" s="13" t="str">
        <f aca="false">IF($M159=0,"",154)</f>
        <v/>
      </c>
      <c r="B159" s="13" t="str">
        <f aca="false">IF($M159=0,"",IF(INDEX('Line Detail'!$B$6:$B$505,$M159)="","",INDEX('Line Detail'!$B$6:$B$505,$M159)))</f>
        <v/>
      </c>
      <c r="C159" s="13" t="str">
        <f aca="false">IF($M159=0,"",IF(INDEX('Line Detail'!$C$6:$C$505,$M159)="","",INDEX('Line Detail'!$C$6:$C$505,$M159)))</f>
        <v/>
      </c>
      <c r="D159" s="13" t="str">
        <f aca="false">IF($M159=0,"",IF(INDEX('Line Detail'!$D$6:$D$505,$M159)="","",INDEX('Line Detail'!$D$6:$D$505,$M159)))</f>
        <v/>
      </c>
      <c r="E159" s="13" t="str">
        <f aca="false">IF($M159=0,"",IF(INDEX('Line Detail'!$E$6:$E$505,$M159)="","",INDEX('Line Detail'!$E$6:$E$505,$M159)))</f>
        <v/>
      </c>
      <c r="F159" s="6" t="str">
        <f aca="false">IF($M159=0,"",IF(INDEX('Line Detail'!$F$6:$F$505,$M159)="","",INDEX('Line Detail'!$F$6:$F$505,$M159)))</f>
        <v/>
      </c>
      <c r="G159" s="62" t="str">
        <f aca="false">IF($M159=0,"",IF(INDEX('Line Detail'!$G$6:$G$505,$M159)="","",INDEX('Line Detail'!$G$6:$G$505,$M159)))</f>
        <v/>
      </c>
      <c r="H159" s="13" t="str">
        <f aca="false">IF($M159=0,"",IF(INDEX('Line Detail'!$H$6:$H$505,$M159)="","",INDEX('Line Detail'!$H$6:$H$505,$M159)))</f>
        <v/>
      </c>
      <c r="I159" s="34" t="str">
        <f aca="false">IF($M159=0,"",IF(INDEX('Line Detail'!$O$6:$O$505,$M159)="","",INDEX('Line Detail'!$O$6:$O$505,$M159)))</f>
        <v/>
      </c>
      <c r="J159" s="34" t="str">
        <f aca="false">IF($M159=0,"",IF(INDEX('Line Detail'!$R$6:$R$505,$M159)="","",INDEX('Line Detail'!$R$6:$R$505,$M159)))</f>
        <v/>
      </c>
      <c r="K159" s="6" t="str">
        <f aca="false">IF($M159=0,"",IF(INDEX('Line Detail'!$S$6:$S$505,$M159)="","",INDEX('Line Detail'!$S$6:$S$505,$M159)))</f>
        <v/>
      </c>
      <c r="L159" s="1"/>
      <c r="M159" s="63" t="n">
        <f aca="false">IFERROR(MATCH(154,'Line Detail'!$W$6:$W$505,0),0)</f>
        <v>0</v>
      </c>
    </row>
    <row r="160" customFormat="false" ht="15" hidden="false" customHeight="false" outlineLevel="0" collapsed="false">
      <c r="A160" s="13" t="str">
        <f aca="false">IF($M160=0,"",155)</f>
        <v/>
      </c>
      <c r="B160" s="13" t="str">
        <f aca="false">IF($M160=0,"",IF(INDEX('Line Detail'!$B$6:$B$505,$M160)="","",INDEX('Line Detail'!$B$6:$B$505,$M160)))</f>
        <v/>
      </c>
      <c r="C160" s="13" t="str">
        <f aca="false">IF($M160=0,"",IF(INDEX('Line Detail'!$C$6:$C$505,$M160)="","",INDEX('Line Detail'!$C$6:$C$505,$M160)))</f>
        <v/>
      </c>
      <c r="D160" s="13" t="str">
        <f aca="false">IF($M160=0,"",IF(INDEX('Line Detail'!$D$6:$D$505,$M160)="","",INDEX('Line Detail'!$D$6:$D$505,$M160)))</f>
        <v/>
      </c>
      <c r="E160" s="13" t="str">
        <f aca="false">IF($M160=0,"",IF(INDEX('Line Detail'!$E$6:$E$505,$M160)="","",INDEX('Line Detail'!$E$6:$E$505,$M160)))</f>
        <v/>
      </c>
      <c r="F160" s="6" t="str">
        <f aca="false">IF($M160=0,"",IF(INDEX('Line Detail'!$F$6:$F$505,$M160)="","",INDEX('Line Detail'!$F$6:$F$505,$M160)))</f>
        <v/>
      </c>
      <c r="G160" s="62" t="str">
        <f aca="false">IF($M160=0,"",IF(INDEX('Line Detail'!$G$6:$G$505,$M160)="","",INDEX('Line Detail'!$G$6:$G$505,$M160)))</f>
        <v/>
      </c>
      <c r="H160" s="13" t="str">
        <f aca="false">IF($M160=0,"",IF(INDEX('Line Detail'!$H$6:$H$505,$M160)="","",INDEX('Line Detail'!$H$6:$H$505,$M160)))</f>
        <v/>
      </c>
      <c r="I160" s="34" t="str">
        <f aca="false">IF($M160=0,"",IF(INDEX('Line Detail'!$O$6:$O$505,$M160)="","",INDEX('Line Detail'!$O$6:$O$505,$M160)))</f>
        <v/>
      </c>
      <c r="J160" s="34" t="str">
        <f aca="false">IF($M160=0,"",IF(INDEX('Line Detail'!$R$6:$R$505,$M160)="","",INDEX('Line Detail'!$R$6:$R$505,$M160)))</f>
        <v/>
      </c>
      <c r="K160" s="6" t="str">
        <f aca="false">IF($M160=0,"",IF(INDEX('Line Detail'!$S$6:$S$505,$M160)="","",INDEX('Line Detail'!$S$6:$S$505,$M160)))</f>
        <v/>
      </c>
      <c r="L160" s="1"/>
      <c r="M160" s="63" t="n">
        <f aca="false">IFERROR(MATCH(155,'Line Detail'!$W$6:$W$505,0),0)</f>
        <v>0</v>
      </c>
    </row>
    <row r="161" customFormat="false" ht="15" hidden="false" customHeight="false" outlineLevel="0" collapsed="false">
      <c r="A161" s="13" t="str">
        <f aca="false">IF($M161=0,"",156)</f>
        <v/>
      </c>
      <c r="B161" s="13" t="str">
        <f aca="false">IF($M161=0,"",IF(INDEX('Line Detail'!$B$6:$B$505,$M161)="","",INDEX('Line Detail'!$B$6:$B$505,$M161)))</f>
        <v/>
      </c>
      <c r="C161" s="13" t="str">
        <f aca="false">IF($M161=0,"",IF(INDEX('Line Detail'!$C$6:$C$505,$M161)="","",INDEX('Line Detail'!$C$6:$C$505,$M161)))</f>
        <v/>
      </c>
      <c r="D161" s="13" t="str">
        <f aca="false">IF($M161=0,"",IF(INDEX('Line Detail'!$D$6:$D$505,$M161)="","",INDEX('Line Detail'!$D$6:$D$505,$M161)))</f>
        <v/>
      </c>
      <c r="E161" s="13" t="str">
        <f aca="false">IF($M161=0,"",IF(INDEX('Line Detail'!$E$6:$E$505,$M161)="","",INDEX('Line Detail'!$E$6:$E$505,$M161)))</f>
        <v/>
      </c>
      <c r="F161" s="6" t="str">
        <f aca="false">IF($M161=0,"",IF(INDEX('Line Detail'!$F$6:$F$505,$M161)="","",INDEX('Line Detail'!$F$6:$F$505,$M161)))</f>
        <v/>
      </c>
      <c r="G161" s="62" t="str">
        <f aca="false">IF($M161=0,"",IF(INDEX('Line Detail'!$G$6:$G$505,$M161)="","",INDEX('Line Detail'!$G$6:$G$505,$M161)))</f>
        <v/>
      </c>
      <c r="H161" s="13" t="str">
        <f aca="false">IF($M161=0,"",IF(INDEX('Line Detail'!$H$6:$H$505,$M161)="","",INDEX('Line Detail'!$H$6:$H$505,$M161)))</f>
        <v/>
      </c>
      <c r="I161" s="34" t="str">
        <f aca="false">IF($M161=0,"",IF(INDEX('Line Detail'!$O$6:$O$505,$M161)="","",INDEX('Line Detail'!$O$6:$O$505,$M161)))</f>
        <v/>
      </c>
      <c r="J161" s="34" t="str">
        <f aca="false">IF($M161=0,"",IF(INDEX('Line Detail'!$R$6:$R$505,$M161)="","",INDEX('Line Detail'!$R$6:$R$505,$M161)))</f>
        <v/>
      </c>
      <c r="K161" s="6" t="str">
        <f aca="false">IF($M161=0,"",IF(INDEX('Line Detail'!$S$6:$S$505,$M161)="","",INDEX('Line Detail'!$S$6:$S$505,$M161)))</f>
        <v/>
      </c>
      <c r="L161" s="1"/>
      <c r="M161" s="63" t="n">
        <f aca="false">IFERROR(MATCH(156,'Line Detail'!$W$6:$W$505,0),0)</f>
        <v>0</v>
      </c>
    </row>
    <row r="162" customFormat="false" ht="15" hidden="false" customHeight="false" outlineLevel="0" collapsed="false">
      <c r="A162" s="13" t="str">
        <f aca="false">IF($M162=0,"",157)</f>
        <v/>
      </c>
      <c r="B162" s="13" t="str">
        <f aca="false">IF($M162=0,"",IF(INDEX('Line Detail'!$B$6:$B$505,$M162)="","",INDEX('Line Detail'!$B$6:$B$505,$M162)))</f>
        <v/>
      </c>
      <c r="C162" s="13" t="str">
        <f aca="false">IF($M162=0,"",IF(INDEX('Line Detail'!$C$6:$C$505,$M162)="","",INDEX('Line Detail'!$C$6:$C$505,$M162)))</f>
        <v/>
      </c>
      <c r="D162" s="13" t="str">
        <f aca="false">IF($M162=0,"",IF(INDEX('Line Detail'!$D$6:$D$505,$M162)="","",INDEX('Line Detail'!$D$6:$D$505,$M162)))</f>
        <v/>
      </c>
      <c r="E162" s="13" t="str">
        <f aca="false">IF($M162=0,"",IF(INDEX('Line Detail'!$E$6:$E$505,$M162)="","",INDEX('Line Detail'!$E$6:$E$505,$M162)))</f>
        <v/>
      </c>
      <c r="F162" s="6" t="str">
        <f aca="false">IF($M162=0,"",IF(INDEX('Line Detail'!$F$6:$F$505,$M162)="","",INDEX('Line Detail'!$F$6:$F$505,$M162)))</f>
        <v/>
      </c>
      <c r="G162" s="62" t="str">
        <f aca="false">IF($M162=0,"",IF(INDEX('Line Detail'!$G$6:$G$505,$M162)="","",INDEX('Line Detail'!$G$6:$G$505,$M162)))</f>
        <v/>
      </c>
      <c r="H162" s="13" t="str">
        <f aca="false">IF($M162=0,"",IF(INDEX('Line Detail'!$H$6:$H$505,$M162)="","",INDEX('Line Detail'!$H$6:$H$505,$M162)))</f>
        <v/>
      </c>
      <c r="I162" s="34" t="str">
        <f aca="false">IF($M162=0,"",IF(INDEX('Line Detail'!$O$6:$O$505,$M162)="","",INDEX('Line Detail'!$O$6:$O$505,$M162)))</f>
        <v/>
      </c>
      <c r="J162" s="34" t="str">
        <f aca="false">IF($M162=0,"",IF(INDEX('Line Detail'!$R$6:$R$505,$M162)="","",INDEX('Line Detail'!$R$6:$R$505,$M162)))</f>
        <v/>
      </c>
      <c r="K162" s="6" t="str">
        <f aca="false">IF($M162=0,"",IF(INDEX('Line Detail'!$S$6:$S$505,$M162)="","",INDEX('Line Detail'!$S$6:$S$505,$M162)))</f>
        <v/>
      </c>
      <c r="L162" s="1"/>
      <c r="M162" s="63" t="n">
        <f aca="false">IFERROR(MATCH(157,'Line Detail'!$W$6:$W$505,0),0)</f>
        <v>0</v>
      </c>
    </row>
    <row r="163" customFormat="false" ht="15" hidden="false" customHeight="false" outlineLevel="0" collapsed="false">
      <c r="A163" s="13" t="str">
        <f aca="false">IF($M163=0,"",158)</f>
        <v/>
      </c>
      <c r="B163" s="13" t="str">
        <f aca="false">IF($M163=0,"",IF(INDEX('Line Detail'!$B$6:$B$505,$M163)="","",INDEX('Line Detail'!$B$6:$B$505,$M163)))</f>
        <v/>
      </c>
      <c r="C163" s="13" t="str">
        <f aca="false">IF($M163=0,"",IF(INDEX('Line Detail'!$C$6:$C$505,$M163)="","",INDEX('Line Detail'!$C$6:$C$505,$M163)))</f>
        <v/>
      </c>
      <c r="D163" s="13" t="str">
        <f aca="false">IF($M163=0,"",IF(INDEX('Line Detail'!$D$6:$D$505,$M163)="","",INDEX('Line Detail'!$D$6:$D$505,$M163)))</f>
        <v/>
      </c>
      <c r="E163" s="13" t="str">
        <f aca="false">IF($M163=0,"",IF(INDEX('Line Detail'!$E$6:$E$505,$M163)="","",INDEX('Line Detail'!$E$6:$E$505,$M163)))</f>
        <v/>
      </c>
      <c r="F163" s="6" t="str">
        <f aca="false">IF($M163=0,"",IF(INDEX('Line Detail'!$F$6:$F$505,$M163)="","",INDEX('Line Detail'!$F$6:$F$505,$M163)))</f>
        <v/>
      </c>
      <c r="G163" s="62" t="str">
        <f aca="false">IF($M163=0,"",IF(INDEX('Line Detail'!$G$6:$G$505,$M163)="","",INDEX('Line Detail'!$G$6:$G$505,$M163)))</f>
        <v/>
      </c>
      <c r="H163" s="13" t="str">
        <f aca="false">IF($M163=0,"",IF(INDEX('Line Detail'!$H$6:$H$505,$M163)="","",INDEX('Line Detail'!$H$6:$H$505,$M163)))</f>
        <v/>
      </c>
      <c r="I163" s="34" t="str">
        <f aca="false">IF($M163=0,"",IF(INDEX('Line Detail'!$O$6:$O$505,$M163)="","",INDEX('Line Detail'!$O$6:$O$505,$M163)))</f>
        <v/>
      </c>
      <c r="J163" s="34" t="str">
        <f aca="false">IF($M163=0,"",IF(INDEX('Line Detail'!$R$6:$R$505,$M163)="","",INDEX('Line Detail'!$R$6:$R$505,$M163)))</f>
        <v/>
      </c>
      <c r="K163" s="6" t="str">
        <f aca="false">IF($M163=0,"",IF(INDEX('Line Detail'!$S$6:$S$505,$M163)="","",INDEX('Line Detail'!$S$6:$S$505,$M163)))</f>
        <v/>
      </c>
      <c r="L163" s="1"/>
      <c r="M163" s="63" t="n">
        <f aca="false">IFERROR(MATCH(158,'Line Detail'!$W$6:$W$505,0),0)</f>
        <v>0</v>
      </c>
    </row>
    <row r="164" customFormat="false" ht="15" hidden="false" customHeight="false" outlineLevel="0" collapsed="false">
      <c r="A164" s="13" t="str">
        <f aca="false">IF($M164=0,"",159)</f>
        <v/>
      </c>
      <c r="B164" s="13" t="str">
        <f aca="false">IF($M164=0,"",IF(INDEX('Line Detail'!$B$6:$B$505,$M164)="","",INDEX('Line Detail'!$B$6:$B$505,$M164)))</f>
        <v/>
      </c>
      <c r="C164" s="13" t="str">
        <f aca="false">IF($M164=0,"",IF(INDEX('Line Detail'!$C$6:$C$505,$M164)="","",INDEX('Line Detail'!$C$6:$C$505,$M164)))</f>
        <v/>
      </c>
      <c r="D164" s="13" t="str">
        <f aca="false">IF($M164=0,"",IF(INDEX('Line Detail'!$D$6:$D$505,$M164)="","",INDEX('Line Detail'!$D$6:$D$505,$M164)))</f>
        <v/>
      </c>
      <c r="E164" s="13" t="str">
        <f aca="false">IF($M164=0,"",IF(INDEX('Line Detail'!$E$6:$E$505,$M164)="","",INDEX('Line Detail'!$E$6:$E$505,$M164)))</f>
        <v/>
      </c>
      <c r="F164" s="6" t="str">
        <f aca="false">IF($M164=0,"",IF(INDEX('Line Detail'!$F$6:$F$505,$M164)="","",INDEX('Line Detail'!$F$6:$F$505,$M164)))</f>
        <v/>
      </c>
      <c r="G164" s="62" t="str">
        <f aca="false">IF($M164=0,"",IF(INDEX('Line Detail'!$G$6:$G$505,$M164)="","",INDEX('Line Detail'!$G$6:$G$505,$M164)))</f>
        <v/>
      </c>
      <c r="H164" s="13" t="str">
        <f aca="false">IF($M164=0,"",IF(INDEX('Line Detail'!$H$6:$H$505,$M164)="","",INDEX('Line Detail'!$H$6:$H$505,$M164)))</f>
        <v/>
      </c>
      <c r="I164" s="34" t="str">
        <f aca="false">IF($M164=0,"",IF(INDEX('Line Detail'!$O$6:$O$505,$M164)="","",INDEX('Line Detail'!$O$6:$O$505,$M164)))</f>
        <v/>
      </c>
      <c r="J164" s="34" t="str">
        <f aca="false">IF($M164=0,"",IF(INDEX('Line Detail'!$R$6:$R$505,$M164)="","",INDEX('Line Detail'!$R$6:$R$505,$M164)))</f>
        <v/>
      </c>
      <c r="K164" s="6" t="str">
        <f aca="false">IF($M164=0,"",IF(INDEX('Line Detail'!$S$6:$S$505,$M164)="","",INDEX('Line Detail'!$S$6:$S$505,$M164)))</f>
        <v/>
      </c>
      <c r="L164" s="1"/>
      <c r="M164" s="63" t="n">
        <f aca="false">IFERROR(MATCH(159,'Line Detail'!$W$6:$W$505,0),0)</f>
        <v>0</v>
      </c>
    </row>
    <row r="165" customFormat="false" ht="15" hidden="false" customHeight="false" outlineLevel="0" collapsed="false">
      <c r="A165" s="13" t="str">
        <f aca="false">IF($M165=0,"",160)</f>
        <v/>
      </c>
      <c r="B165" s="13" t="str">
        <f aca="false">IF($M165=0,"",IF(INDEX('Line Detail'!$B$6:$B$505,$M165)="","",INDEX('Line Detail'!$B$6:$B$505,$M165)))</f>
        <v/>
      </c>
      <c r="C165" s="13" t="str">
        <f aca="false">IF($M165=0,"",IF(INDEX('Line Detail'!$C$6:$C$505,$M165)="","",INDEX('Line Detail'!$C$6:$C$505,$M165)))</f>
        <v/>
      </c>
      <c r="D165" s="13" t="str">
        <f aca="false">IF($M165=0,"",IF(INDEX('Line Detail'!$D$6:$D$505,$M165)="","",INDEX('Line Detail'!$D$6:$D$505,$M165)))</f>
        <v/>
      </c>
      <c r="E165" s="13" t="str">
        <f aca="false">IF($M165=0,"",IF(INDEX('Line Detail'!$E$6:$E$505,$M165)="","",INDEX('Line Detail'!$E$6:$E$505,$M165)))</f>
        <v/>
      </c>
      <c r="F165" s="6" t="str">
        <f aca="false">IF($M165=0,"",IF(INDEX('Line Detail'!$F$6:$F$505,$M165)="","",INDEX('Line Detail'!$F$6:$F$505,$M165)))</f>
        <v/>
      </c>
      <c r="G165" s="62" t="str">
        <f aca="false">IF($M165=0,"",IF(INDEX('Line Detail'!$G$6:$G$505,$M165)="","",INDEX('Line Detail'!$G$6:$G$505,$M165)))</f>
        <v/>
      </c>
      <c r="H165" s="13" t="str">
        <f aca="false">IF($M165=0,"",IF(INDEX('Line Detail'!$H$6:$H$505,$M165)="","",INDEX('Line Detail'!$H$6:$H$505,$M165)))</f>
        <v/>
      </c>
      <c r="I165" s="34" t="str">
        <f aca="false">IF($M165=0,"",IF(INDEX('Line Detail'!$O$6:$O$505,$M165)="","",INDEX('Line Detail'!$O$6:$O$505,$M165)))</f>
        <v/>
      </c>
      <c r="J165" s="34" t="str">
        <f aca="false">IF($M165=0,"",IF(INDEX('Line Detail'!$R$6:$R$505,$M165)="","",INDEX('Line Detail'!$R$6:$R$505,$M165)))</f>
        <v/>
      </c>
      <c r="K165" s="6" t="str">
        <f aca="false">IF($M165=0,"",IF(INDEX('Line Detail'!$S$6:$S$505,$M165)="","",INDEX('Line Detail'!$S$6:$S$505,$M165)))</f>
        <v/>
      </c>
      <c r="L165" s="1"/>
      <c r="M165" s="63" t="n">
        <f aca="false">IFERROR(MATCH(160,'Line Detail'!$W$6:$W$505,0),0)</f>
        <v>0</v>
      </c>
    </row>
    <row r="166" customFormat="false" ht="15" hidden="false" customHeight="false" outlineLevel="0" collapsed="false">
      <c r="A166" s="13" t="str">
        <f aca="false">IF($M166=0,"",161)</f>
        <v/>
      </c>
      <c r="B166" s="13" t="str">
        <f aca="false">IF($M166=0,"",IF(INDEX('Line Detail'!$B$6:$B$505,$M166)="","",INDEX('Line Detail'!$B$6:$B$505,$M166)))</f>
        <v/>
      </c>
      <c r="C166" s="13" t="str">
        <f aca="false">IF($M166=0,"",IF(INDEX('Line Detail'!$C$6:$C$505,$M166)="","",INDEX('Line Detail'!$C$6:$C$505,$M166)))</f>
        <v/>
      </c>
      <c r="D166" s="13" t="str">
        <f aca="false">IF($M166=0,"",IF(INDEX('Line Detail'!$D$6:$D$505,$M166)="","",INDEX('Line Detail'!$D$6:$D$505,$M166)))</f>
        <v/>
      </c>
      <c r="E166" s="13" t="str">
        <f aca="false">IF($M166=0,"",IF(INDEX('Line Detail'!$E$6:$E$505,$M166)="","",INDEX('Line Detail'!$E$6:$E$505,$M166)))</f>
        <v/>
      </c>
      <c r="F166" s="6" t="str">
        <f aca="false">IF($M166=0,"",IF(INDEX('Line Detail'!$F$6:$F$505,$M166)="","",INDEX('Line Detail'!$F$6:$F$505,$M166)))</f>
        <v/>
      </c>
      <c r="G166" s="62" t="str">
        <f aca="false">IF($M166=0,"",IF(INDEX('Line Detail'!$G$6:$G$505,$M166)="","",INDEX('Line Detail'!$G$6:$G$505,$M166)))</f>
        <v/>
      </c>
      <c r="H166" s="13" t="str">
        <f aca="false">IF($M166=0,"",IF(INDEX('Line Detail'!$H$6:$H$505,$M166)="","",INDEX('Line Detail'!$H$6:$H$505,$M166)))</f>
        <v/>
      </c>
      <c r="I166" s="34" t="str">
        <f aca="false">IF($M166=0,"",IF(INDEX('Line Detail'!$O$6:$O$505,$M166)="","",INDEX('Line Detail'!$O$6:$O$505,$M166)))</f>
        <v/>
      </c>
      <c r="J166" s="34" t="str">
        <f aca="false">IF($M166=0,"",IF(INDEX('Line Detail'!$R$6:$R$505,$M166)="","",INDEX('Line Detail'!$R$6:$R$505,$M166)))</f>
        <v/>
      </c>
      <c r="K166" s="6" t="str">
        <f aca="false">IF($M166=0,"",IF(INDEX('Line Detail'!$S$6:$S$505,$M166)="","",INDEX('Line Detail'!$S$6:$S$505,$M166)))</f>
        <v/>
      </c>
      <c r="L166" s="1"/>
      <c r="M166" s="63" t="n">
        <f aca="false">IFERROR(MATCH(161,'Line Detail'!$W$6:$W$505,0),0)</f>
        <v>0</v>
      </c>
    </row>
    <row r="167" customFormat="false" ht="15" hidden="false" customHeight="false" outlineLevel="0" collapsed="false">
      <c r="A167" s="13" t="str">
        <f aca="false">IF($M167=0,"",162)</f>
        <v/>
      </c>
      <c r="B167" s="13" t="str">
        <f aca="false">IF($M167=0,"",IF(INDEX('Line Detail'!$B$6:$B$505,$M167)="","",INDEX('Line Detail'!$B$6:$B$505,$M167)))</f>
        <v/>
      </c>
      <c r="C167" s="13" t="str">
        <f aca="false">IF($M167=0,"",IF(INDEX('Line Detail'!$C$6:$C$505,$M167)="","",INDEX('Line Detail'!$C$6:$C$505,$M167)))</f>
        <v/>
      </c>
      <c r="D167" s="13" t="str">
        <f aca="false">IF($M167=0,"",IF(INDEX('Line Detail'!$D$6:$D$505,$M167)="","",INDEX('Line Detail'!$D$6:$D$505,$M167)))</f>
        <v/>
      </c>
      <c r="E167" s="13" t="str">
        <f aca="false">IF($M167=0,"",IF(INDEX('Line Detail'!$E$6:$E$505,$M167)="","",INDEX('Line Detail'!$E$6:$E$505,$M167)))</f>
        <v/>
      </c>
      <c r="F167" s="6" t="str">
        <f aca="false">IF($M167=0,"",IF(INDEX('Line Detail'!$F$6:$F$505,$M167)="","",INDEX('Line Detail'!$F$6:$F$505,$M167)))</f>
        <v/>
      </c>
      <c r="G167" s="62" t="str">
        <f aca="false">IF($M167=0,"",IF(INDEX('Line Detail'!$G$6:$G$505,$M167)="","",INDEX('Line Detail'!$G$6:$G$505,$M167)))</f>
        <v/>
      </c>
      <c r="H167" s="13" t="str">
        <f aca="false">IF($M167=0,"",IF(INDEX('Line Detail'!$H$6:$H$505,$M167)="","",INDEX('Line Detail'!$H$6:$H$505,$M167)))</f>
        <v/>
      </c>
      <c r="I167" s="34" t="str">
        <f aca="false">IF($M167=0,"",IF(INDEX('Line Detail'!$O$6:$O$505,$M167)="","",INDEX('Line Detail'!$O$6:$O$505,$M167)))</f>
        <v/>
      </c>
      <c r="J167" s="34" t="str">
        <f aca="false">IF($M167=0,"",IF(INDEX('Line Detail'!$R$6:$R$505,$M167)="","",INDEX('Line Detail'!$R$6:$R$505,$M167)))</f>
        <v/>
      </c>
      <c r="K167" s="6" t="str">
        <f aca="false">IF($M167=0,"",IF(INDEX('Line Detail'!$S$6:$S$505,$M167)="","",INDEX('Line Detail'!$S$6:$S$505,$M167)))</f>
        <v/>
      </c>
      <c r="L167" s="1"/>
      <c r="M167" s="63" t="n">
        <f aca="false">IFERROR(MATCH(162,'Line Detail'!$W$6:$W$505,0),0)</f>
        <v>0</v>
      </c>
    </row>
    <row r="168" customFormat="false" ht="15" hidden="false" customHeight="false" outlineLevel="0" collapsed="false">
      <c r="A168" s="13" t="str">
        <f aca="false">IF($M168=0,"",163)</f>
        <v/>
      </c>
      <c r="B168" s="13" t="str">
        <f aca="false">IF($M168=0,"",IF(INDEX('Line Detail'!$B$6:$B$505,$M168)="","",INDEX('Line Detail'!$B$6:$B$505,$M168)))</f>
        <v/>
      </c>
      <c r="C168" s="13" t="str">
        <f aca="false">IF($M168=0,"",IF(INDEX('Line Detail'!$C$6:$C$505,$M168)="","",INDEX('Line Detail'!$C$6:$C$505,$M168)))</f>
        <v/>
      </c>
      <c r="D168" s="13" t="str">
        <f aca="false">IF($M168=0,"",IF(INDEX('Line Detail'!$D$6:$D$505,$M168)="","",INDEX('Line Detail'!$D$6:$D$505,$M168)))</f>
        <v/>
      </c>
      <c r="E168" s="13" t="str">
        <f aca="false">IF($M168=0,"",IF(INDEX('Line Detail'!$E$6:$E$505,$M168)="","",INDEX('Line Detail'!$E$6:$E$505,$M168)))</f>
        <v/>
      </c>
      <c r="F168" s="6" t="str">
        <f aca="false">IF($M168=0,"",IF(INDEX('Line Detail'!$F$6:$F$505,$M168)="","",INDEX('Line Detail'!$F$6:$F$505,$M168)))</f>
        <v/>
      </c>
      <c r="G168" s="62" t="str">
        <f aca="false">IF($M168=0,"",IF(INDEX('Line Detail'!$G$6:$G$505,$M168)="","",INDEX('Line Detail'!$G$6:$G$505,$M168)))</f>
        <v/>
      </c>
      <c r="H168" s="13" t="str">
        <f aca="false">IF($M168=0,"",IF(INDEX('Line Detail'!$H$6:$H$505,$M168)="","",INDEX('Line Detail'!$H$6:$H$505,$M168)))</f>
        <v/>
      </c>
      <c r="I168" s="34" t="str">
        <f aca="false">IF($M168=0,"",IF(INDEX('Line Detail'!$O$6:$O$505,$M168)="","",INDEX('Line Detail'!$O$6:$O$505,$M168)))</f>
        <v/>
      </c>
      <c r="J168" s="34" t="str">
        <f aca="false">IF($M168=0,"",IF(INDEX('Line Detail'!$R$6:$R$505,$M168)="","",INDEX('Line Detail'!$R$6:$R$505,$M168)))</f>
        <v/>
      </c>
      <c r="K168" s="6" t="str">
        <f aca="false">IF($M168=0,"",IF(INDEX('Line Detail'!$S$6:$S$505,$M168)="","",INDEX('Line Detail'!$S$6:$S$505,$M168)))</f>
        <v/>
      </c>
      <c r="L168" s="1"/>
      <c r="M168" s="63" t="n">
        <f aca="false">IFERROR(MATCH(163,'Line Detail'!$W$6:$W$505,0),0)</f>
        <v>0</v>
      </c>
    </row>
    <row r="169" customFormat="false" ht="15" hidden="false" customHeight="false" outlineLevel="0" collapsed="false">
      <c r="A169" s="13" t="str">
        <f aca="false">IF($M169=0,"",164)</f>
        <v/>
      </c>
      <c r="B169" s="13" t="str">
        <f aca="false">IF($M169=0,"",IF(INDEX('Line Detail'!$B$6:$B$505,$M169)="","",INDEX('Line Detail'!$B$6:$B$505,$M169)))</f>
        <v/>
      </c>
      <c r="C169" s="13" t="str">
        <f aca="false">IF($M169=0,"",IF(INDEX('Line Detail'!$C$6:$C$505,$M169)="","",INDEX('Line Detail'!$C$6:$C$505,$M169)))</f>
        <v/>
      </c>
      <c r="D169" s="13" t="str">
        <f aca="false">IF($M169=0,"",IF(INDEX('Line Detail'!$D$6:$D$505,$M169)="","",INDEX('Line Detail'!$D$6:$D$505,$M169)))</f>
        <v/>
      </c>
      <c r="E169" s="13" t="str">
        <f aca="false">IF($M169=0,"",IF(INDEX('Line Detail'!$E$6:$E$505,$M169)="","",INDEX('Line Detail'!$E$6:$E$505,$M169)))</f>
        <v/>
      </c>
      <c r="F169" s="6" t="str">
        <f aca="false">IF($M169=0,"",IF(INDEX('Line Detail'!$F$6:$F$505,$M169)="","",INDEX('Line Detail'!$F$6:$F$505,$M169)))</f>
        <v/>
      </c>
      <c r="G169" s="62" t="str">
        <f aca="false">IF($M169=0,"",IF(INDEX('Line Detail'!$G$6:$G$505,$M169)="","",INDEX('Line Detail'!$G$6:$G$505,$M169)))</f>
        <v/>
      </c>
      <c r="H169" s="13" t="str">
        <f aca="false">IF($M169=0,"",IF(INDEX('Line Detail'!$H$6:$H$505,$M169)="","",INDEX('Line Detail'!$H$6:$H$505,$M169)))</f>
        <v/>
      </c>
      <c r="I169" s="34" t="str">
        <f aca="false">IF($M169=0,"",IF(INDEX('Line Detail'!$O$6:$O$505,$M169)="","",INDEX('Line Detail'!$O$6:$O$505,$M169)))</f>
        <v/>
      </c>
      <c r="J169" s="34" t="str">
        <f aca="false">IF($M169=0,"",IF(INDEX('Line Detail'!$R$6:$R$505,$M169)="","",INDEX('Line Detail'!$R$6:$R$505,$M169)))</f>
        <v/>
      </c>
      <c r="K169" s="6" t="str">
        <f aca="false">IF($M169=0,"",IF(INDEX('Line Detail'!$S$6:$S$505,$M169)="","",INDEX('Line Detail'!$S$6:$S$505,$M169)))</f>
        <v/>
      </c>
      <c r="L169" s="1"/>
      <c r="M169" s="63" t="n">
        <f aca="false">IFERROR(MATCH(164,'Line Detail'!$W$6:$W$505,0),0)</f>
        <v>0</v>
      </c>
    </row>
    <row r="170" customFormat="false" ht="15" hidden="false" customHeight="false" outlineLevel="0" collapsed="false">
      <c r="A170" s="13" t="str">
        <f aca="false">IF($M170=0,"",165)</f>
        <v/>
      </c>
      <c r="B170" s="13" t="str">
        <f aca="false">IF($M170=0,"",IF(INDEX('Line Detail'!$B$6:$B$505,$M170)="","",INDEX('Line Detail'!$B$6:$B$505,$M170)))</f>
        <v/>
      </c>
      <c r="C170" s="13" t="str">
        <f aca="false">IF($M170=0,"",IF(INDEX('Line Detail'!$C$6:$C$505,$M170)="","",INDEX('Line Detail'!$C$6:$C$505,$M170)))</f>
        <v/>
      </c>
      <c r="D170" s="13" t="str">
        <f aca="false">IF($M170=0,"",IF(INDEX('Line Detail'!$D$6:$D$505,$M170)="","",INDEX('Line Detail'!$D$6:$D$505,$M170)))</f>
        <v/>
      </c>
      <c r="E170" s="13" t="str">
        <f aca="false">IF($M170=0,"",IF(INDEX('Line Detail'!$E$6:$E$505,$M170)="","",INDEX('Line Detail'!$E$6:$E$505,$M170)))</f>
        <v/>
      </c>
      <c r="F170" s="6" t="str">
        <f aca="false">IF($M170=0,"",IF(INDEX('Line Detail'!$F$6:$F$505,$M170)="","",INDEX('Line Detail'!$F$6:$F$505,$M170)))</f>
        <v/>
      </c>
      <c r="G170" s="62" t="str">
        <f aca="false">IF($M170=0,"",IF(INDEX('Line Detail'!$G$6:$G$505,$M170)="","",INDEX('Line Detail'!$G$6:$G$505,$M170)))</f>
        <v/>
      </c>
      <c r="H170" s="13" t="str">
        <f aca="false">IF($M170=0,"",IF(INDEX('Line Detail'!$H$6:$H$505,$M170)="","",INDEX('Line Detail'!$H$6:$H$505,$M170)))</f>
        <v/>
      </c>
      <c r="I170" s="34" t="str">
        <f aca="false">IF($M170=0,"",IF(INDEX('Line Detail'!$O$6:$O$505,$M170)="","",INDEX('Line Detail'!$O$6:$O$505,$M170)))</f>
        <v/>
      </c>
      <c r="J170" s="34" t="str">
        <f aca="false">IF($M170=0,"",IF(INDEX('Line Detail'!$R$6:$R$505,$M170)="","",INDEX('Line Detail'!$R$6:$R$505,$M170)))</f>
        <v/>
      </c>
      <c r="K170" s="6" t="str">
        <f aca="false">IF($M170=0,"",IF(INDEX('Line Detail'!$S$6:$S$505,$M170)="","",INDEX('Line Detail'!$S$6:$S$505,$M170)))</f>
        <v/>
      </c>
      <c r="L170" s="1"/>
      <c r="M170" s="63" t="n">
        <f aca="false">IFERROR(MATCH(165,'Line Detail'!$W$6:$W$505,0),0)</f>
        <v>0</v>
      </c>
    </row>
    <row r="171" customFormat="false" ht="15" hidden="false" customHeight="false" outlineLevel="0" collapsed="false">
      <c r="A171" s="13" t="str">
        <f aca="false">IF($M171=0,"",166)</f>
        <v/>
      </c>
      <c r="B171" s="13" t="str">
        <f aca="false">IF($M171=0,"",IF(INDEX('Line Detail'!$B$6:$B$505,$M171)="","",INDEX('Line Detail'!$B$6:$B$505,$M171)))</f>
        <v/>
      </c>
      <c r="C171" s="13" t="str">
        <f aca="false">IF($M171=0,"",IF(INDEX('Line Detail'!$C$6:$C$505,$M171)="","",INDEX('Line Detail'!$C$6:$C$505,$M171)))</f>
        <v/>
      </c>
      <c r="D171" s="13" t="str">
        <f aca="false">IF($M171=0,"",IF(INDEX('Line Detail'!$D$6:$D$505,$M171)="","",INDEX('Line Detail'!$D$6:$D$505,$M171)))</f>
        <v/>
      </c>
      <c r="E171" s="13" t="str">
        <f aca="false">IF($M171=0,"",IF(INDEX('Line Detail'!$E$6:$E$505,$M171)="","",INDEX('Line Detail'!$E$6:$E$505,$M171)))</f>
        <v/>
      </c>
      <c r="F171" s="6" t="str">
        <f aca="false">IF($M171=0,"",IF(INDEX('Line Detail'!$F$6:$F$505,$M171)="","",INDEX('Line Detail'!$F$6:$F$505,$M171)))</f>
        <v/>
      </c>
      <c r="G171" s="62" t="str">
        <f aca="false">IF($M171=0,"",IF(INDEX('Line Detail'!$G$6:$G$505,$M171)="","",INDEX('Line Detail'!$G$6:$G$505,$M171)))</f>
        <v/>
      </c>
      <c r="H171" s="13" t="str">
        <f aca="false">IF($M171=0,"",IF(INDEX('Line Detail'!$H$6:$H$505,$M171)="","",INDEX('Line Detail'!$H$6:$H$505,$M171)))</f>
        <v/>
      </c>
      <c r="I171" s="34" t="str">
        <f aca="false">IF($M171=0,"",IF(INDEX('Line Detail'!$O$6:$O$505,$M171)="","",INDEX('Line Detail'!$O$6:$O$505,$M171)))</f>
        <v/>
      </c>
      <c r="J171" s="34" t="str">
        <f aca="false">IF($M171=0,"",IF(INDEX('Line Detail'!$R$6:$R$505,$M171)="","",INDEX('Line Detail'!$R$6:$R$505,$M171)))</f>
        <v/>
      </c>
      <c r="K171" s="6" t="str">
        <f aca="false">IF($M171=0,"",IF(INDEX('Line Detail'!$S$6:$S$505,$M171)="","",INDEX('Line Detail'!$S$6:$S$505,$M171)))</f>
        <v/>
      </c>
      <c r="L171" s="1"/>
      <c r="M171" s="63" t="n">
        <f aca="false">IFERROR(MATCH(166,'Line Detail'!$W$6:$W$505,0),0)</f>
        <v>0</v>
      </c>
    </row>
    <row r="172" customFormat="false" ht="15" hidden="false" customHeight="false" outlineLevel="0" collapsed="false">
      <c r="A172" s="13" t="str">
        <f aca="false">IF($M172=0,"",167)</f>
        <v/>
      </c>
      <c r="B172" s="13" t="str">
        <f aca="false">IF($M172=0,"",IF(INDEX('Line Detail'!$B$6:$B$505,$M172)="","",INDEX('Line Detail'!$B$6:$B$505,$M172)))</f>
        <v/>
      </c>
      <c r="C172" s="13" t="str">
        <f aca="false">IF($M172=0,"",IF(INDEX('Line Detail'!$C$6:$C$505,$M172)="","",INDEX('Line Detail'!$C$6:$C$505,$M172)))</f>
        <v/>
      </c>
      <c r="D172" s="13" t="str">
        <f aca="false">IF($M172=0,"",IF(INDEX('Line Detail'!$D$6:$D$505,$M172)="","",INDEX('Line Detail'!$D$6:$D$505,$M172)))</f>
        <v/>
      </c>
      <c r="E172" s="13" t="str">
        <f aca="false">IF($M172=0,"",IF(INDEX('Line Detail'!$E$6:$E$505,$M172)="","",INDEX('Line Detail'!$E$6:$E$505,$M172)))</f>
        <v/>
      </c>
      <c r="F172" s="6" t="str">
        <f aca="false">IF($M172=0,"",IF(INDEX('Line Detail'!$F$6:$F$505,$M172)="","",INDEX('Line Detail'!$F$6:$F$505,$M172)))</f>
        <v/>
      </c>
      <c r="G172" s="62" t="str">
        <f aca="false">IF($M172=0,"",IF(INDEX('Line Detail'!$G$6:$G$505,$M172)="","",INDEX('Line Detail'!$G$6:$G$505,$M172)))</f>
        <v/>
      </c>
      <c r="H172" s="13" t="str">
        <f aca="false">IF($M172=0,"",IF(INDEX('Line Detail'!$H$6:$H$505,$M172)="","",INDEX('Line Detail'!$H$6:$H$505,$M172)))</f>
        <v/>
      </c>
      <c r="I172" s="34" t="str">
        <f aca="false">IF($M172=0,"",IF(INDEX('Line Detail'!$O$6:$O$505,$M172)="","",INDEX('Line Detail'!$O$6:$O$505,$M172)))</f>
        <v/>
      </c>
      <c r="J172" s="34" t="str">
        <f aca="false">IF($M172=0,"",IF(INDEX('Line Detail'!$R$6:$R$505,$M172)="","",INDEX('Line Detail'!$R$6:$R$505,$M172)))</f>
        <v/>
      </c>
      <c r="K172" s="6" t="str">
        <f aca="false">IF($M172=0,"",IF(INDEX('Line Detail'!$S$6:$S$505,$M172)="","",INDEX('Line Detail'!$S$6:$S$505,$M172)))</f>
        <v/>
      </c>
      <c r="L172" s="1"/>
      <c r="M172" s="63" t="n">
        <f aca="false">IFERROR(MATCH(167,'Line Detail'!$W$6:$W$505,0),0)</f>
        <v>0</v>
      </c>
    </row>
    <row r="173" customFormat="false" ht="15" hidden="false" customHeight="false" outlineLevel="0" collapsed="false">
      <c r="A173" s="13" t="str">
        <f aca="false">IF($M173=0,"",168)</f>
        <v/>
      </c>
      <c r="B173" s="13" t="str">
        <f aca="false">IF($M173=0,"",IF(INDEX('Line Detail'!$B$6:$B$505,$M173)="","",INDEX('Line Detail'!$B$6:$B$505,$M173)))</f>
        <v/>
      </c>
      <c r="C173" s="13" t="str">
        <f aca="false">IF($M173=0,"",IF(INDEX('Line Detail'!$C$6:$C$505,$M173)="","",INDEX('Line Detail'!$C$6:$C$505,$M173)))</f>
        <v/>
      </c>
      <c r="D173" s="13" t="str">
        <f aca="false">IF($M173=0,"",IF(INDEX('Line Detail'!$D$6:$D$505,$M173)="","",INDEX('Line Detail'!$D$6:$D$505,$M173)))</f>
        <v/>
      </c>
      <c r="E173" s="13" t="str">
        <f aca="false">IF($M173=0,"",IF(INDEX('Line Detail'!$E$6:$E$505,$M173)="","",INDEX('Line Detail'!$E$6:$E$505,$M173)))</f>
        <v/>
      </c>
      <c r="F173" s="6" t="str">
        <f aca="false">IF($M173=0,"",IF(INDEX('Line Detail'!$F$6:$F$505,$M173)="","",INDEX('Line Detail'!$F$6:$F$505,$M173)))</f>
        <v/>
      </c>
      <c r="G173" s="62" t="str">
        <f aca="false">IF($M173=0,"",IF(INDEX('Line Detail'!$G$6:$G$505,$M173)="","",INDEX('Line Detail'!$G$6:$G$505,$M173)))</f>
        <v/>
      </c>
      <c r="H173" s="13" t="str">
        <f aca="false">IF($M173=0,"",IF(INDEX('Line Detail'!$H$6:$H$505,$M173)="","",INDEX('Line Detail'!$H$6:$H$505,$M173)))</f>
        <v/>
      </c>
      <c r="I173" s="34" t="str">
        <f aca="false">IF($M173=0,"",IF(INDEX('Line Detail'!$O$6:$O$505,$M173)="","",INDEX('Line Detail'!$O$6:$O$505,$M173)))</f>
        <v/>
      </c>
      <c r="J173" s="34" t="str">
        <f aca="false">IF($M173=0,"",IF(INDEX('Line Detail'!$R$6:$R$505,$M173)="","",INDEX('Line Detail'!$R$6:$R$505,$M173)))</f>
        <v/>
      </c>
      <c r="K173" s="6" t="str">
        <f aca="false">IF($M173=0,"",IF(INDEX('Line Detail'!$S$6:$S$505,$M173)="","",INDEX('Line Detail'!$S$6:$S$505,$M173)))</f>
        <v/>
      </c>
      <c r="L173" s="1"/>
      <c r="M173" s="63" t="n">
        <f aca="false">IFERROR(MATCH(168,'Line Detail'!$W$6:$W$505,0),0)</f>
        <v>0</v>
      </c>
    </row>
    <row r="174" customFormat="false" ht="15" hidden="false" customHeight="false" outlineLevel="0" collapsed="false">
      <c r="A174" s="13" t="str">
        <f aca="false">IF($M174=0,"",169)</f>
        <v/>
      </c>
      <c r="B174" s="13" t="str">
        <f aca="false">IF($M174=0,"",IF(INDEX('Line Detail'!$B$6:$B$505,$M174)="","",INDEX('Line Detail'!$B$6:$B$505,$M174)))</f>
        <v/>
      </c>
      <c r="C174" s="13" t="str">
        <f aca="false">IF($M174=0,"",IF(INDEX('Line Detail'!$C$6:$C$505,$M174)="","",INDEX('Line Detail'!$C$6:$C$505,$M174)))</f>
        <v/>
      </c>
      <c r="D174" s="13" t="str">
        <f aca="false">IF($M174=0,"",IF(INDEX('Line Detail'!$D$6:$D$505,$M174)="","",INDEX('Line Detail'!$D$6:$D$505,$M174)))</f>
        <v/>
      </c>
      <c r="E174" s="13" t="str">
        <f aca="false">IF($M174=0,"",IF(INDEX('Line Detail'!$E$6:$E$505,$M174)="","",INDEX('Line Detail'!$E$6:$E$505,$M174)))</f>
        <v/>
      </c>
      <c r="F174" s="6" t="str">
        <f aca="false">IF($M174=0,"",IF(INDEX('Line Detail'!$F$6:$F$505,$M174)="","",INDEX('Line Detail'!$F$6:$F$505,$M174)))</f>
        <v/>
      </c>
      <c r="G174" s="62" t="str">
        <f aca="false">IF($M174=0,"",IF(INDEX('Line Detail'!$G$6:$G$505,$M174)="","",INDEX('Line Detail'!$G$6:$G$505,$M174)))</f>
        <v/>
      </c>
      <c r="H174" s="13" t="str">
        <f aca="false">IF($M174=0,"",IF(INDEX('Line Detail'!$H$6:$H$505,$M174)="","",INDEX('Line Detail'!$H$6:$H$505,$M174)))</f>
        <v/>
      </c>
      <c r="I174" s="34" t="str">
        <f aca="false">IF($M174=0,"",IF(INDEX('Line Detail'!$O$6:$O$505,$M174)="","",INDEX('Line Detail'!$O$6:$O$505,$M174)))</f>
        <v/>
      </c>
      <c r="J174" s="34" t="str">
        <f aca="false">IF($M174=0,"",IF(INDEX('Line Detail'!$R$6:$R$505,$M174)="","",INDEX('Line Detail'!$R$6:$R$505,$M174)))</f>
        <v/>
      </c>
      <c r="K174" s="6" t="str">
        <f aca="false">IF($M174=0,"",IF(INDEX('Line Detail'!$S$6:$S$505,$M174)="","",INDEX('Line Detail'!$S$6:$S$505,$M174)))</f>
        <v/>
      </c>
      <c r="L174" s="1"/>
      <c r="M174" s="63" t="n">
        <f aca="false">IFERROR(MATCH(169,'Line Detail'!$W$6:$W$505,0),0)</f>
        <v>0</v>
      </c>
    </row>
    <row r="175" customFormat="false" ht="15" hidden="false" customHeight="false" outlineLevel="0" collapsed="false">
      <c r="A175" s="13" t="str">
        <f aca="false">IF($M175=0,"",170)</f>
        <v/>
      </c>
      <c r="B175" s="13" t="str">
        <f aca="false">IF($M175=0,"",IF(INDEX('Line Detail'!$B$6:$B$505,$M175)="","",INDEX('Line Detail'!$B$6:$B$505,$M175)))</f>
        <v/>
      </c>
      <c r="C175" s="13" t="str">
        <f aca="false">IF($M175=0,"",IF(INDEX('Line Detail'!$C$6:$C$505,$M175)="","",INDEX('Line Detail'!$C$6:$C$505,$M175)))</f>
        <v/>
      </c>
      <c r="D175" s="13" t="str">
        <f aca="false">IF($M175=0,"",IF(INDEX('Line Detail'!$D$6:$D$505,$M175)="","",INDEX('Line Detail'!$D$6:$D$505,$M175)))</f>
        <v/>
      </c>
      <c r="E175" s="13" t="str">
        <f aca="false">IF($M175=0,"",IF(INDEX('Line Detail'!$E$6:$E$505,$M175)="","",INDEX('Line Detail'!$E$6:$E$505,$M175)))</f>
        <v/>
      </c>
      <c r="F175" s="6" t="str">
        <f aca="false">IF($M175=0,"",IF(INDEX('Line Detail'!$F$6:$F$505,$M175)="","",INDEX('Line Detail'!$F$6:$F$505,$M175)))</f>
        <v/>
      </c>
      <c r="G175" s="62" t="str">
        <f aca="false">IF($M175=0,"",IF(INDEX('Line Detail'!$G$6:$G$505,$M175)="","",INDEX('Line Detail'!$G$6:$G$505,$M175)))</f>
        <v/>
      </c>
      <c r="H175" s="13" t="str">
        <f aca="false">IF($M175=0,"",IF(INDEX('Line Detail'!$H$6:$H$505,$M175)="","",INDEX('Line Detail'!$H$6:$H$505,$M175)))</f>
        <v/>
      </c>
      <c r="I175" s="34" t="str">
        <f aca="false">IF($M175=0,"",IF(INDEX('Line Detail'!$O$6:$O$505,$M175)="","",INDEX('Line Detail'!$O$6:$O$505,$M175)))</f>
        <v/>
      </c>
      <c r="J175" s="34" t="str">
        <f aca="false">IF($M175=0,"",IF(INDEX('Line Detail'!$R$6:$R$505,$M175)="","",INDEX('Line Detail'!$R$6:$R$505,$M175)))</f>
        <v/>
      </c>
      <c r="K175" s="6" t="str">
        <f aca="false">IF($M175=0,"",IF(INDEX('Line Detail'!$S$6:$S$505,$M175)="","",INDEX('Line Detail'!$S$6:$S$505,$M175)))</f>
        <v/>
      </c>
      <c r="L175" s="1"/>
      <c r="M175" s="63" t="n">
        <f aca="false">IFERROR(MATCH(170,'Line Detail'!$W$6:$W$505,0),0)</f>
        <v>0</v>
      </c>
    </row>
    <row r="176" customFormat="false" ht="15" hidden="false" customHeight="false" outlineLevel="0" collapsed="false">
      <c r="A176" s="13" t="str">
        <f aca="false">IF($M176=0,"",171)</f>
        <v/>
      </c>
      <c r="B176" s="13" t="str">
        <f aca="false">IF($M176=0,"",IF(INDEX('Line Detail'!$B$6:$B$505,$M176)="","",INDEX('Line Detail'!$B$6:$B$505,$M176)))</f>
        <v/>
      </c>
      <c r="C176" s="13" t="str">
        <f aca="false">IF($M176=0,"",IF(INDEX('Line Detail'!$C$6:$C$505,$M176)="","",INDEX('Line Detail'!$C$6:$C$505,$M176)))</f>
        <v/>
      </c>
      <c r="D176" s="13" t="str">
        <f aca="false">IF($M176=0,"",IF(INDEX('Line Detail'!$D$6:$D$505,$M176)="","",INDEX('Line Detail'!$D$6:$D$505,$M176)))</f>
        <v/>
      </c>
      <c r="E176" s="13" t="str">
        <f aca="false">IF($M176=0,"",IF(INDEX('Line Detail'!$E$6:$E$505,$M176)="","",INDEX('Line Detail'!$E$6:$E$505,$M176)))</f>
        <v/>
      </c>
      <c r="F176" s="6" t="str">
        <f aca="false">IF($M176=0,"",IF(INDEX('Line Detail'!$F$6:$F$505,$M176)="","",INDEX('Line Detail'!$F$6:$F$505,$M176)))</f>
        <v/>
      </c>
      <c r="G176" s="62" t="str">
        <f aca="false">IF($M176=0,"",IF(INDEX('Line Detail'!$G$6:$G$505,$M176)="","",INDEX('Line Detail'!$G$6:$G$505,$M176)))</f>
        <v/>
      </c>
      <c r="H176" s="13" t="str">
        <f aca="false">IF($M176=0,"",IF(INDEX('Line Detail'!$H$6:$H$505,$M176)="","",INDEX('Line Detail'!$H$6:$H$505,$M176)))</f>
        <v/>
      </c>
      <c r="I176" s="34" t="str">
        <f aca="false">IF($M176=0,"",IF(INDEX('Line Detail'!$O$6:$O$505,$M176)="","",INDEX('Line Detail'!$O$6:$O$505,$M176)))</f>
        <v/>
      </c>
      <c r="J176" s="34" t="str">
        <f aca="false">IF($M176=0,"",IF(INDEX('Line Detail'!$R$6:$R$505,$M176)="","",INDEX('Line Detail'!$R$6:$R$505,$M176)))</f>
        <v/>
      </c>
      <c r="K176" s="6" t="str">
        <f aca="false">IF($M176=0,"",IF(INDEX('Line Detail'!$S$6:$S$505,$M176)="","",INDEX('Line Detail'!$S$6:$S$505,$M176)))</f>
        <v/>
      </c>
      <c r="L176" s="1"/>
      <c r="M176" s="63" t="n">
        <f aca="false">IFERROR(MATCH(171,'Line Detail'!$W$6:$W$505,0),0)</f>
        <v>0</v>
      </c>
    </row>
    <row r="177" customFormat="false" ht="15" hidden="false" customHeight="false" outlineLevel="0" collapsed="false">
      <c r="A177" s="13" t="str">
        <f aca="false">IF($M177=0,"",172)</f>
        <v/>
      </c>
      <c r="B177" s="13" t="str">
        <f aca="false">IF($M177=0,"",IF(INDEX('Line Detail'!$B$6:$B$505,$M177)="","",INDEX('Line Detail'!$B$6:$B$505,$M177)))</f>
        <v/>
      </c>
      <c r="C177" s="13" t="str">
        <f aca="false">IF($M177=0,"",IF(INDEX('Line Detail'!$C$6:$C$505,$M177)="","",INDEX('Line Detail'!$C$6:$C$505,$M177)))</f>
        <v/>
      </c>
      <c r="D177" s="13" t="str">
        <f aca="false">IF($M177=0,"",IF(INDEX('Line Detail'!$D$6:$D$505,$M177)="","",INDEX('Line Detail'!$D$6:$D$505,$M177)))</f>
        <v/>
      </c>
      <c r="E177" s="13" t="str">
        <f aca="false">IF($M177=0,"",IF(INDEX('Line Detail'!$E$6:$E$505,$M177)="","",INDEX('Line Detail'!$E$6:$E$505,$M177)))</f>
        <v/>
      </c>
      <c r="F177" s="6" t="str">
        <f aca="false">IF($M177=0,"",IF(INDEX('Line Detail'!$F$6:$F$505,$M177)="","",INDEX('Line Detail'!$F$6:$F$505,$M177)))</f>
        <v/>
      </c>
      <c r="G177" s="62" t="str">
        <f aca="false">IF($M177=0,"",IF(INDEX('Line Detail'!$G$6:$G$505,$M177)="","",INDEX('Line Detail'!$G$6:$G$505,$M177)))</f>
        <v/>
      </c>
      <c r="H177" s="13" t="str">
        <f aca="false">IF($M177=0,"",IF(INDEX('Line Detail'!$H$6:$H$505,$M177)="","",INDEX('Line Detail'!$H$6:$H$505,$M177)))</f>
        <v/>
      </c>
      <c r="I177" s="34" t="str">
        <f aca="false">IF($M177=0,"",IF(INDEX('Line Detail'!$O$6:$O$505,$M177)="","",INDEX('Line Detail'!$O$6:$O$505,$M177)))</f>
        <v/>
      </c>
      <c r="J177" s="34" t="str">
        <f aca="false">IF($M177=0,"",IF(INDEX('Line Detail'!$R$6:$R$505,$M177)="","",INDEX('Line Detail'!$R$6:$R$505,$M177)))</f>
        <v/>
      </c>
      <c r="K177" s="6" t="str">
        <f aca="false">IF($M177=0,"",IF(INDEX('Line Detail'!$S$6:$S$505,$M177)="","",INDEX('Line Detail'!$S$6:$S$505,$M177)))</f>
        <v/>
      </c>
      <c r="L177" s="1"/>
      <c r="M177" s="63" t="n">
        <f aca="false">IFERROR(MATCH(172,'Line Detail'!$W$6:$W$505,0),0)</f>
        <v>0</v>
      </c>
    </row>
    <row r="178" customFormat="false" ht="15" hidden="false" customHeight="false" outlineLevel="0" collapsed="false">
      <c r="A178" s="13" t="str">
        <f aca="false">IF($M178=0,"",173)</f>
        <v/>
      </c>
      <c r="B178" s="13" t="str">
        <f aca="false">IF($M178=0,"",IF(INDEX('Line Detail'!$B$6:$B$505,$M178)="","",INDEX('Line Detail'!$B$6:$B$505,$M178)))</f>
        <v/>
      </c>
      <c r="C178" s="13" t="str">
        <f aca="false">IF($M178=0,"",IF(INDEX('Line Detail'!$C$6:$C$505,$M178)="","",INDEX('Line Detail'!$C$6:$C$505,$M178)))</f>
        <v/>
      </c>
      <c r="D178" s="13" t="str">
        <f aca="false">IF($M178=0,"",IF(INDEX('Line Detail'!$D$6:$D$505,$M178)="","",INDEX('Line Detail'!$D$6:$D$505,$M178)))</f>
        <v/>
      </c>
      <c r="E178" s="13" t="str">
        <f aca="false">IF($M178=0,"",IF(INDEX('Line Detail'!$E$6:$E$505,$M178)="","",INDEX('Line Detail'!$E$6:$E$505,$M178)))</f>
        <v/>
      </c>
      <c r="F178" s="6" t="str">
        <f aca="false">IF($M178=0,"",IF(INDEX('Line Detail'!$F$6:$F$505,$M178)="","",INDEX('Line Detail'!$F$6:$F$505,$M178)))</f>
        <v/>
      </c>
      <c r="G178" s="62" t="str">
        <f aca="false">IF($M178=0,"",IF(INDEX('Line Detail'!$G$6:$G$505,$M178)="","",INDEX('Line Detail'!$G$6:$G$505,$M178)))</f>
        <v/>
      </c>
      <c r="H178" s="13" t="str">
        <f aca="false">IF($M178=0,"",IF(INDEX('Line Detail'!$H$6:$H$505,$M178)="","",INDEX('Line Detail'!$H$6:$H$505,$M178)))</f>
        <v/>
      </c>
      <c r="I178" s="34" t="str">
        <f aca="false">IF($M178=0,"",IF(INDEX('Line Detail'!$O$6:$O$505,$M178)="","",INDEX('Line Detail'!$O$6:$O$505,$M178)))</f>
        <v/>
      </c>
      <c r="J178" s="34" t="str">
        <f aca="false">IF($M178=0,"",IF(INDEX('Line Detail'!$R$6:$R$505,$M178)="","",INDEX('Line Detail'!$R$6:$R$505,$M178)))</f>
        <v/>
      </c>
      <c r="K178" s="6" t="str">
        <f aca="false">IF($M178=0,"",IF(INDEX('Line Detail'!$S$6:$S$505,$M178)="","",INDEX('Line Detail'!$S$6:$S$505,$M178)))</f>
        <v/>
      </c>
      <c r="L178" s="1"/>
      <c r="M178" s="63" t="n">
        <f aca="false">IFERROR(MATCH(173,'Line Detail'!$W$6:$W$505,0),0)</f>
        <v>0</v>
      </c>
    </row>
    <row r="179" customFormat="false" ht="15" hidden="false" customHeight="false" outlineLevel="0" collapsed="false">
      <c r="A179" s="13" t="str">
        <f aca="false">IF($M179=0,"",174)</f>
        <v/>
      </c>
      <c r="B179" s="13" t="str">
        <f aca="false">IF($M179=0,"",IF(INDEX('Line Detail'!$B$6:$B$505,$M179)="","",INDEX('Line Detail'!$B$6:$B$505,$M179)))</f>
        <v/>
      </c>
      <c r="C179" s="13" t="str">
        <f aca="false">IF($M179=0,"",IF(INDEX('Line Detail'!$C$6:$C$505,$M179)="","",INDEX('Line Detail'!$C$6:$C$505,$M179)))</f>
        <v/>
      </c>
      <c r="D179" s="13" t="str">
        <f aca="false">IF($M179=0,"",IF(INDEX('Line Detail'!$D$6:$D$505,$M179)="","",INDEX('Line Detail'!$D$6:$D$505,$M179)))</f>
        <v/>
      </c>
      <c r="E179" s="13" t="str">
        <f aca="false">IF($M179=0,"",IF(INDEX('Line Detail'!$E$6:$E$505,$M179)="","",INDEX('Line Detail'!$E$6:$E$505,$M179)))</f>
        <v/>
      </c>
      <c r="F179" s="6" t="str">
        <f aca="false">IF($M179=0,"",IF(INDEX('Line Detail'!$F$6:$F$505,$M179)="","",INDEX('Line Detail'!$F$6:$F$505,$M179)))</f>
        <v/>
      </c>
      <c r="G179" s="62" t="str">
        <f aca="false">IF($M179=0,"",IF(INDEX('Line Detail'!$G$6:$G$505,$M179)="","",INDEX('Line Detail'!$G$6:$G$505,$M179)))</f>
        <v/>
      </c>
      <c r="H179" s="13" t="str">
        <f aca="false">IF($M179=0,"",IF(INDEX('Line Detail'!$H$6:$H$505,$M179)="","",INDEX('Line Detail'!$H$6:$H$505,$M179)))</f>
        <v/>
      </c>
      <c r="I179" s="34" t="str">
        <f aca="false">IF($M179=0,"",IF(INDEX('Line Detail'!$O$6:$O$505,$M179)="","",INDEX('Line Detail'!$O$6:$O$505,$M179)))</f>
        <v/>
      </c>
      <c r="J179" s="34" t="str">
        <f aca="false">IF($M179=0,"",IF(INDEX('Line Detail'!$R$6:$R$505,$M179)="","",INDEX('Line Detail'!$R$6:$R$505,$M179)))</f>
        <v/>
      </c>
      <c r="K179" s="6" t="str">
        <f aca="false">IF($M179=0,"",IF(INDEX('Line Detail'!$S$6:$S$505,$M179)="","",INDEX('Line Detail'!$S$6:$S$505,$M179)))</f>
        <v/>
      </c>
      <c r="L179" s="1"/>
      <c r="M179" s="63" t="n">
        <f aca="false">IFERROR(MATCH(174,'Line Detail'!$W$6:$W$505,0),0)</f>
        <v>0</v>
      </c>
    </row>
    <row r="180" customFormat="false" ht="15" hidden="false" customHeight="false" outlineLevel="0" collapsed="false">
      <c r="A180" s="13" t="str">
        <f aca="false">IF($M180=0,"",175)</f>
        <v/>
      </c>
      <c r="B180" s="13" t="str">
        <f aca="false">IF($M180=0,"",IF(INDEX('Line Detail'!$B$6:$B$505,$M180)="","",INDEX('Line Detail'!$B$6:$B$505,$M180)))</f>
        <v/>
      </c>
      <c r="C180" s="13" t="str">
        <f aca="false">IF($M180=0,"",IF(INDEX('Line Detail'!$C$6:$C$505,$M180)="","",INDEX('Line Detail'!$C$6:$C$505,$M180)))</f>
        <v/>
      </c>
      <c r="D180" s="13" t="str">
        <f aca="false">IF($M180=0,"",IF(INDEX('Line Detail'!$D$6:$D$505,$M180)="","",INDEX('Line Detail'!$D$6:$D$505,$M180)))</f>
        <v/>
      </c>
      <c r="E180" s="13" t="str">
        <f aca="false">IF($M180=0,"",IF(INDEX('Line Detail'!$E$6:$E$505,$M180)="","",INDEX('Line Detail'!$E$6:$E$505,$M180)))</f>
        <v/>
      </c>
      <c r="F180" s="6" t="str">
        <f aca="false">IF($M180=0,"",IF(INDEX('Line Detail'!$F$6:$F$505,$M180)="","",INDEX('Line Detail'!$F$6:$F$505,$M180)))</f>
        <v/>
      </c>
      <c r="G180" s="62" t="str">
        <f aca="false">IF($M180=0,"",IF(INDEX('Line Detail'!$G$6:$G$505,$M180)="","",INDEX('Line Detail'!$G$6:$G$505,$M180)))</f>
        <v/>
      </c>
      <c r="H180" s="13" t="str">
        <f aca="false">IF($M180=0,"",IF(INDEX('Line Detail'!$H$6:$H$505,$M180)="","",INDEX('Line Detail'!$H$6:$H$505,$M180)))</f>
        <v/>
      </c>
      <c r="I180" s="34" t="str">
        <f aca="false">IF($M180=0,"",IF(INDEX('Line Detail'!$O$6:$O$505,$M180)="","",INDEX('Line Detail'!$O$6:$O$505,$M180)))</f>
        <v/>
      </c>
      <c r="J180" s="34" t="str">
        <f aca="false">IF($M180=0,"",IF(INDEX('Line Detail'!$R$6:$R$505,$M180)="","",INDEX('Line Detail'!$R$6:$R$505,$M180)))</f>
        <v/>
      </c>
      <c r="K180" s="6" t="str">
        <f aca="false">IF($M180=0,"",IF(INDEX('Line Detail'!$S$6:$S$505,$M180)="","",INDEX('Line Detail'!$S$6:$S$505,$M180)))</f>
        <v/>
      </c>
      <c r="L180" s="1"/>
      <c r="M180" s="63" t="n">
        <f aca="false">IFERROR(MATCH(175,'Line Detail'!$W$6:$W$505,0),0)</f>
        <v>0</v>
      </c>
    </row>
    <row r="181" customFormat="false" ht="15" hidden="false" customHeight="false" outlineLevel="0" collapsed="false">
      <c r="A181" s="13" t="str">
        <f aca="false">IF($M181=0,"",176)</f>
        <v/>
      </c>
      <c r="B181" s="13" t="str">
        <f aca="false">IF($M181=0,"",IF(INDEX('Line Detail'!$B$6:$B$505,$M181)="","",INDEX('Line Detail'!$B$6:$B$505,$M181)))</f>
        <v/>
      </c>
      <c r="C181" s="13" t="str">
        <f aca="false">IF($M181=0,"",IF(INDEX('Line Detail'!$C$6:$C$505,$M181)="","",INDEX('Line Detail'!$C$6:$C$505,$M181)))</f>
        <v/>
      </c>
      <c r="D181" s="13" t="str">
        <f aca="false">IF($M181=0,"",IF(INDEX('Line Detail'!$D$6:$D$505,$M181)="","",INDEX('Line Detail'!$D$6:$D$505,$M181)))</f>
        <v/>
      </c>
      <c r="E181" s="13" t="str">
        <f aca="false">IF($M181=0,"",IF(INDEX('Line Detail'!$E$6:$E$505,$M181)="","",INDEX('Line Detail'!$E$6:$E$505,$M181)))</f>
        <v/>
      </c>
      <c r="F181" s="6" t="str">
        <f aca="false">IF($M181=0,"",IF(INDEX('Line Detail'!$F$6:$F$505,$M181)="","",INDEX('Line Detail'!$F$6:$F$505,$M181)))</f>
        <v/>
      </c>
      <c r="G181" s="62" t="str">
        <f aca="false">IF($M181=0,"",IF(INDEX('Line Detail'!$G$6:$G$505,$M181)="","",INDEX('Line Detail'!$G$6:$G$505,$M181)))</f>
        <v/>
      </c>
      <c r="H181" s="13" t="str">
        <f aca="false">IF($M181=0,"",IF(INDEX('Line Detail'!$H$6:$H$505,$M181)="","",INDEX('Line Detail'!$H$6:$H$505,$M181)))</f>
        <v/>
      </c>
      <c r="I181" s="34" t="str">
        <f aca="false">IF($M181=0,"",IF(INDEX('Line Detail'!$O$6:$O$505,$M181)="","",INDEX('Line Detail'!$O$6:$O$505,$M181)))</f>
        <v/>
      </c>
      <c r="J181" s="34" t="str">
        <f aca="false">IF($M181=0,"",IF(INDEX('Line Detail'!$R$6:$R$505,$M181)="","",INDEX('Line Detail'!$R$6:$R$505,$M181)))</f>
        <v/>
      </c>
      <c r="K181" s="6" t="str">
        <f aca="false">IF($M181=0,"",IF(INDEX('Line Detail'!$S$6:$S$505,$M181)="","",INDEX('Line Detail'!$S$6:$S$505,$M181)))</f>
        <v/>
      </c>
      <c r="L181" s="1"/>
      <c r="M181" s="63" t="n">
        <f aca="false">IFERROR(MATCH(176,'Line Detail'!$W$6:$W$505,0),0)</f>
        <v>0</v>
      </c>
    </row>
    <row r="182" customFormat="false" ht="15" hidden="false" customHeight="false" outlineLevel="0" collapsed="false">
      <c r="A182" s="13" t="str">
        <f aca="false">IF($M182=0,"",177)</f>
        <v/>
      </c>
      <c r="B182" s="13" t="str">
        <f aca="false">IF($M182=0,"",IF(INDEX('Line Detail'!$B$6:$B$505,$M182)="","",INDEX('Line Detail'!$B$6:$B$505,$M182)))</f>
        <v/>
      </c>
      <c r="C182" s="13" t="str">
        <f aca="false">IF($M182=0,"",IF(INDEX('Line Detail'!$C$6:$C$505,$M182)="","",INDEX('Line Detail'!$C$6:$C$505,$M182)))</f>
        <v/>
      </c>
      <c r="D182" s="13" t="str">
        <f aca="false">IF($M182=0,"",IF(INDEX('Line Detail'!$D$6:$D$505,$M182)="","",INDEX('Line Detail'!$D$6:$D$505,$M182)))</f>
        <v/>
      </c>
      <c r="E182" s="13" t="str">
        <f aca="false">IF($M182=0,"",IF(INDEX('Line Detail'!$E$6:$E$505,$M182)="","",INDEX('Line Detail'!$E$6:$E$505,$M182)))</f>
        <v/>
      </c>
      <c r="F182" s="6" t="str">
        <f aca="false">IF($M182=0,"",IF(INDEX('Line Detail'!$F$6:$F$505,$M182)="","",INDEX('Line Detail'!$F$6:$F$505,$M182)))</f>
        <v/>
      </c>
      <c r="G182" s="62" t="str">
        <f aca="false">IF($M182=0,"",IF(INDEX('Line Detail'!$G$6:$G$505,$M182)="","",INDEX('Line Detail'!$G$6:$G$505,$M182)))</f>
        <v/>
      </c>
      <c r="H182" s="13" t="str">
        <f aca="false">IF($M182=0,"",IF(INDEX('Line Detail'!$H$6:$H$505,$M182)="","",INDEX('Line Detail'!$H$6:$H$505,$M182)))</f>
        <v/>
      </c>
      <c r="I182" s="34" t="str">
        <f aca="false">IF($M182=0,"",IF(INDEX('Line Detail'!$O$6:$O$505,$M182)="","",INDEX('Line Detail'!$O$6:$O$505,$M182)))</f>
        <v/>
      </c>
      <c r="J182" s="34" t="str">
        <f aca="false">IF($M182=0,"",IF(INDEX('Line Detail'!$R$6:$R$505,$M182)="","",INDEX('Line Detail'!$R$6:$R$505,$M182)))</f>
        <v/>
      </c>
      <c r="K182" s="6" t="str">
        <f aca="false">IF($M182=0,"",IF(INDEX('Line Detail'!$S$6:$S$505,$M182)="","",INDEX('Line Detail'!$S$6:$S$505,$M182)))</f>
        <v/>
      </c>
      <c r="L182" s="1"/>
      <c r="M182" s="63" t="n">
        <f aca="false">IFERROR(MATCH(177,'Line Detail'!$W$6:$W$505,0),0)</f>
        <v>0</v>
      </c>
    </row>
    <row r="183" customFormat="false" ht="15" hidden="false" customHeight="false" outlineLevel="0" collapsed="false">
      <c r="A183" s="13" t="str">
        <f aca="false">IF($M183=0,"",178)</f>
        <v/>
      </c>
      <c r="B183" s="13" t="str">
        <f aca="false">IF($M183=0,"",IF(INDEX('Line Detail'!$B$6:$B$505,$M183)="","",INDEX('Line Detail'!$B$6:$B$505,$M183)))</f>
        <v/>
      </c>
      <c r="C183" s="13" t="str">
        <f aca="false">IF($M183=0,"",IF(INDEX('Line Detail'!$C$6:$C$505,$M183)="","",INDEX('Line Detail'!$C$6:$C$505,$M183)))</f>
        <v/>
      </c>
      <c r="D183" s="13" t="str">
        <f aca="false">IF($M183=0,"",IF(INDEX('Line Detail'!$D$6:$D$505,$M183)="","",INDEX('Line Detail'!$D$6:$D$505,$M183)))</f>
        <v/>
      </c>
      <c r="E183" s="13" t="str">
        <f aca="false">IF($M183=0,"",IF(INDEX('Line Detail'!$E$6:$E$505,$M183)="","",INDEX('Line Detail'!$E$6:$E$505,$M183)))</f>
        <v/>
      </c>
      <c r="F183" s="6" t="str">
        <f aca="false">IF($M183=0,"",IF(INDEX('Line Detail'!$F$6:$F$505,$M183)="","",INDEX('Line Detail'!$F$6:$F$505,$M183)))</f>
        <v/>
      </c>
      <c r="G183" s="62" t="str">
        <f aca="false">IF($M183=0,"",IF(INDEX('Line Detail'!$G$6:$G$505,$M183)="","",INDEX('Line Detail'!$G$6:$G$505,$M183)))</f>
        <v/>
      </c>
      <c r="H183" s="13" t="str">
        <f aca="false">IF($M183=0,"",IF(INDEX('Line Detail'!$H$6:$H$505,$M183)="","",INDEX('Line Detail'!$H$6:$H$505,$M183)))</f>
        <v/>
      </c>
      <c r="I183" s="34" t="str">
        <f aca="false">IF($M183=0,"",IF(INDEX('Line Detail'!$O$6:$O$505,$M183)="","",INDEX('Line Detail'!$O$6:$O$505,$M183)))</f>
        <v/>
      </c>
      <c r="J183" s="34" t="str">
        <f aca="false">IF($M183=0,"",IF(INDEX('Line Detail'!$R$6:$R$505,$M183)="","",INDEX('Line Detail'!$R$6:$R$505,$M183)))</f>
        <v/>
      </c>
      <c r="K183" s="6" t="str">
        <f aca="false">IF($M183=0,"",IF(INDEX('Line Detail'!$S$6:$S$505,$M183)="","",INDEX('Line Detail'!$S$6:$S$505,$M183)))</f>
        <v/>
      </c>
      <c r="L183" s="1"/>
      <c r="M183" s="63" t="n">
        <f aca="false">IFERROR(MATCH(178,'Line Detail'!$W$6:$W$505,0),0)</f>
        <v>0</v>
      </c>
    </row>
    <row r="184" customFormat="false" ht="15" hidden="false" customHeight="false" outlineLevel="0" collapsed="false">
      <c r="A184" s="13" t="str">
        <f aca="false">IF($M184=0,"",179)</f>
        <v/>
      </c>
      <c r="B184" s="13" t="str">
        <f aca="false">IF($M184=0,"",IF(INDEX('Line Detail'!$B$6:$B$505,$M184)="","",INDEX('Line Detail'!$B$6:$B$505,$M184)))</f>
        <v/>
      </c>
      <c r="C184" s="13" t="str">
        <f aca="false">IF($M184=0,"",IF(INDEX('Line Detail'!$C$6:$C$505,$M184)="","",INDEX('Line Detail'!$C$6:$C$505,$M184)))</f>
        <v/>
      </c>
      <c r="D184" s="13" t="str">
        <f aca="false">IF($M184=0,"",IF(INDEX('Line Detail'!$D$6:$D$505,$M184)="","",INDEX('Line Detail'!$D$6:$D$505,$M184)))</f>
        <v/>
      </c>
      <c r="E184" s="13" t="str">
        <f aca="false">IF($M184=0,"",IF(INDEX('Line Detail'!$E$6:$E$505,$M184)="","",INDEX('Line Detail'!$E$6:$E$505,$M184)))</f>
        <v/>
      </c>
      <c r="F184" s="6" t="str">
        <f aca="false">IF($M184=0,"",IF(INDEX('Line Detail'!$F$6:$F$505,$M184)="","",INDEX('Line Detail'!$F$6:$F$505,$M184)))</f>
        <v/>
      </c>
      <c r="G184" s="62" t="str">
        <f aca="false">IF($M184=0,"",IF(INDEX('Line Detail'!$G$6:$G$505,$M184)="","",INDEX('Line Detail'!$G$6:$G$505,$M184)))</f>
        <v/>
      </c>
      <c r="H184" s="13" t="str">
        <f aca="false">IF($M184=0,"",IF(INDEX('Line Detail'!$H$6:$H$505,$M184)="","",INDEX('Line Detail'!$H$6:$H$505,$M184)))</f>
        <v/>
      </c>
      <c r="I184" s="34" t="str">
        <f aca="false">IF($M184=0,"",IF(INDEX('Line Detail'!$O$6:$O$505,$M184)="","",INDEX('Line Detail'!$O$6:$O$505,$M184)))</f>
        <v/>
      </c>
      <c r="J184" s="34" t="str">
        <f aca="false">IF($M184=0,"",IF(INDEX('Line Detail'!$R$6:$R$505,$M184)="","",INDEX('Line Detail'!$R$6:$R$505,$M184)))</f>
        <v/>
      </c>
      <c r="K184" s="6" t="str">
        <f aca="false">IF($M184=0,"",IF(INDEX('Line Detail'!$S$6:$S$505,$M184)="","",INDEX('Line Detail'!$S$6:$S$505,$M184)))</f>
        <v/>
      </c>
      <c r="L184" s="1"/>
      <c r="M184" s="63" t="n">
        <f aca="false">IFERROR(MATCH(179,'Line Detail'!$W$6:$W$505,0),0)</f>
        <v>0</v>
      </c>
    </row>
    <row r="185" customFormat="false" ht="15" hidden="false" customHeight="false" outlineLevel="0" collapsed="false">
      <c r="A185" s="13" t="str">
        <f aca="false">IF($M185=0,"",180)</f>
        <v/>
      </c>
      <c r="B185" s="13" t="str">
        <f aca="false">IF($M185=0,"",IF(INDEX('Line Detail'!$B$6:$B$505,$M185)="","",INDEX('Line Detail'!$B$6:$B$505,$M185)))</f>
        <v/>
      </c>
      <c r="C185" s="13" t="str">
        <f aca="false">IF($M185=0,"",IF(INDEX('Line Detail'!$C$6:$C$505,$M185)="","",INDEX('Line Detail'!$C$6:$C$505,$M185)))</f>
        <v/>
      </c>
      <c r="D185" s="13" t="str">
        <f aca="false">IF($M185=0,"",IF(INDEX('Line Detail'!$D$6:$D$505,$M185)="","",INDEX('Line Detail'!$D$6:$D$505,$M185)))</f>
        <v/>
      </c>
      <c r="E185" s="13" t="str">
        <f aca="false">IF($M185=0,"",IF(INDEX('Line Detail'!$E$6:$E$505,$M185)="","",INDEX('Line Detail'!$E$6:$E$505,$M185)))</f>
        <v/>
      </c>
      <c r="F185" s="6" t="str">
        <f aca="false">IF($M185=0,"",IF(INDEX('Line Detail'!$F$6:$F$505,$M185)="","",INDEX('Line Detail'!$F$6:$F$505,$M185)))</f>
        <v/>
      </c>
      <c r="G185" s="62" t="str">
        <f aca="false">IF($M185=0,"",IF(INDEX('Line Detail'!$G$6:$G$505,$M185)="","",INDEX('Line Detail'!$G$6:$G$505,$M185)))</f>
        <v/>
      </c>
      <c r="H185" s="13" t="str">
        <f aca="false">IF($M185=0,"",IF(INDEX('Line Detail'!$H$6:$H$505,$M185)="","",INDEX('Line Detail'!$H$6:$H$505,$M185)))</f>
        <v/>
      </c>
      <c r="I185" s="34" t="str">
        <f aca="false">IF($M185=0,"",IF(INDEX('Line Detail'!$O$6:$O$505,$M185)="","",INDEX('Line Detail'!$O$6:$O$505,$M185)))</f>
        <v/>
      </c>
      <c r="J185" s="34" t="str">
        <f aca="false">IF($M185=0,"",IF(INDEX('Line Detail'!$R$6:$R$505,$M185)="","",INDEX('Line Detail'!$R$6:$R$505,$M185)))</f>
        <v/>
      </c>
      <c r="K185" s="6" t="str">
        <f aca="false">IF($M185=0,"",IF(INDEX('Line Detail'!$S$6:$S$505,$M185)="","",INDEX('Line Detail'!$S$6:$S$505,$M185)))</f>
        <v/>
      </c>
      <c r="L185" s="1"/>
      <c r="M185" s="63" t="n">
        <f aca="false">IFERROR(MATCH(180,'Line Detail'!$W$6:$W$505,0),0)</f>
        <v>0</v>
      </c>
    </row>
    <row r="186" customFormat="false" ht="15" hidden="false" customHeight="false" outlineLevel="0" collapsed="false">
      <c r="A186" s="13" t="str">
        <f aca="false">IF($M186=0,"",181)</f>
        <v/>
      </c>
      <c r="B186" s="13" t="str">
        <f aca="false">IF($M186=0,"",IF(INDEX('Line Detail'!$B$6:$B$505,$M186)="","",INDEX('Line Detail'!$B$6:$B$505,$M186)))</f>
        <v/>
      </c>
      <c r="C186" s="13" t="str">
        <f aca="false">IF($M186=0,"",IF(INDEX('Line Detail'!$C$6:$C$505,$M186)="","",INDEX('Line Detail'!$C$6:$C$505,$M186)))</f>
        <v/>
      </c>
      <c r="D186" s="13" t="str">
        <f aca="false">IF($M186=0,"",IF(INDEX('Line Detail'!$D$6:$D$505,$M186)="","",INDEX('Line Detail'!$D$6:$D$505,$M186)))</f>
        <v/>
      </c>
      <c r="E186" s="13" t="str">
        <f aca="false">IF($M186=0,"",IF(INDEX('Line Detail'!$E$6:$E$505,$M186)="","",INDEX('Line Detail'!$E$6:$E$505,$M186)))</f>
        <v/>
      </c>
      <c r="F186" s="6" t="str">
        <f aca="false">IF($M186=0,"",IF(INDEX('Line Detail'!$F$6:$F$505,$M186)="","",INDEX('Line Detail'!$F$6:$F$505,$M186)))</f>
        <v/>
      </c>
      <c r="G186" s="62" t="str">
        <f aca="false">IF($M186=0,"",IF(INDEX('Line Detail'!$G$6:$G$505,$M186)="","",INDEX('Line Detail'!$G$6:$G$505,$M186)))</f>
        <v/>
      </c>
      <c r="H186" s="13" t="str">
        <f aca="false">IF($M186=0,"",IF(INDEX('Line Detail'!$H$6:$H$505,$M186)="","",INDEX('Line Detail'!$H$6:$H$505,$M186)))</f>
        <v/>
      </c>
      <c r="I186" s="34" t="str">
        <f aca="false">IF($M186=0,"",IF(INDEX('Line Detail'!$O$6:$O$505,$M186)="","",INDEX('Line Detail'!$O$6:$O$505,$M186)))</f>
        <v/>
      </c>
      <c r="J186" s="34" t="str">
        <f aca="false">IF($M186=0,"",IF(INDEX('Line Detail'!$R$6:$R$505,$M186)="","",INDEX('Line Detail'!$R$6:$R$505,$M186)))</f>
        <v/>
      </c>
      <c r="K186" s="6" t="str">
        <f aca="false">IF($M186=0,"",IF(INDEX('Line Detail'!$S$6:$S$505,$M186)="","",INDEX('Line Detail'!$S$6:$S$505,$M186)))</f>
        <v/>
      </c>
      <c r="L186" s="1"/>
      <c r="M186" s="63" t="n">
        <f aca="false">IFERROR(MATCH(181,'Line Detail'!$W$6:$W$505,0),0)</f>
        <v>0</v>
      </c>
    </row>
    <row r="187" customFormat="false" ht="15" hidden="false" customHeight="false" outlineLevel="0" collapsed="false">
      <c r="A187" s="13" t="str">
        <f aca="false">IF($M187=0,"",182)</f>
        <v/>
      </c>
      <c r="B187" s="13" t="str">
        <f aca="false">IF($M187=0,"",IF(INDEX('Line Detail'!$B$6:$B$505,$M187)="","",INDEX('Line Detail'!$B$6:$B$505,$M187)))</f>
        <v/>
      </c>
      <c r="C187" s="13" t="str">
        <f aca="false">IF($M187=0,"",IF(INDEX('Line Detail'!$C$6:$C$505,$M187)="","",INDEX('Line Detail'!$C$6:$C$505,$M187)))</f>
        <v/>
      </c>
      <c r="D187" s="13" t="str">
        <f aca="false">IF($M187=0,"",IF(INDEX('Line Detail'!$D$6:$D$505,$M187)="","",INDEX('Line Detail'!$D$6:$D$505,$M187)))</f>
        <v/>
      </c>
      <c r="E187" s="13" t="str">
        <f aca="false">IF($M187=0,"",IF(INDEX('Line Detail'!$E$6:$E$505,$M187)="","",INDEX('Line Detail'!$E$6:$E$505,$M187)))</f>
        <v/>
      </c>
      <c r="F187" s="6" t="str">
        <f aca="false">IF($M187=0,"",IF(INDEX('Line Detail'!$F$6:$F$505,$M187)="","",INDEX('Line Detail'!$F$6:$F$505,$M187)))</f>
        <v/>
      </c>
      <c r="G187" s="62" t="str">
        <f aca="false">IF($M187=0,"",IF(INDEX('Line Detail'!$G$6:$G$505,$M187)="","",INDEX('Line Detail'!$G$6:$G$505,$M187)))</f>
        <v/>
      </c>
      <c r="H187" s="13" t="str">
        <f aca="false">IF($M187=0,"",IF(INDEX('Line Detail'!$H$6:$H$505,$M187)="","",INDEX('Line Detail'!$H$6:$H$505,$M187)))</f>
        <v/>
      </c>
      <c r="I187" s="34" t="str">
        <f aca="false">IF($M187=0,"",IF(INDEX('Line Detail'!$O$6:$O$505,$M187)="","",INDEX('Line Detail'!$O$6:$O$505,$M187)))</f>
        <v/>
      </c>
      <c r="J187" s="34" t="str">
        <f aca="false">IF($M187=0,"",IF(INDEX('Line Detail'!$R$6:$R$505,$M187)="","",INDEX('Line Detail'!$R$6:$R$505,$M187)))</f>
        <v/>
      </c>
      <c r="K187" s="6" t="str">
        <f aca="false">IF($M187=0,"",IF(INDEX('Line Detail'!$S$6:$S$505,$M187)="","",INDEX('Line Detail'!$S$6:$S$505,$M187)))</f>
        <v/>
      </c>
      <c r="L187" s="1"/>
      <c r="M187" s="63" t="n">
        <f aca="false">IFERROR(MATCH(182,'Line Detail'!$W$6:$W$505,0),0)</f>
        <v>0</v>
      </c>
    </row>
    <row r="188" customFormat="false" ht="15" hidden="false" customHeight="false" outlineLevel="0" collapsed="false">
      <c r="A188" s="13" t="str">
        <f aca="false">IF($M188=0,"",183)</f>
        <v/>
      </c>
      <c r="B188" s="13" t="str">
        <f aca="false">IF($M188=0,"",IF(INDEX('Line Detail'!$B$6:$B$505,$M188)="","",INDEX('Line Detail'!$B$6:$B$505,$M188)))</f>
        <v/>
      </c>
      <c r="C188" s="13" t="str">
        <f aca="false">IF($M188=0,"",IF(INDEX('Line Detail'!$C$6:$C$505,$M188)="","",INDEX('Line Detail'!$C$6:$C$505,$M188)))</f>
        <v/>
      </c>
      <c r="D188" s="13" t="str">
        <f aca="false">IF($M188=0,"",IF(INDEX('Line Detail'!$D$6:$D$505,$M188)="","",INDEX('Line Detail'!$D$6:$D$505,$M188)))</f>
        <v/>
      </c>
      <c r="E188" s="13" t="str">
        <f aca="false">IF($M188=0,"",IF(INDEX('Line Detail'!$E$6:$E$505,$M188)="","",INDEX('Line Detail'!$E$6:$E$505,$M188)))</f>
        <v/>
      </c>
      <c r="F188" s="6" t="str">
        <f aca="false">IF($M188=0,"",IF(INDEX('Line Detail'!$F$6:$F$505,$M188)="","",INDEX('Line Detail'!$F$6:$F$505,$M188)))</f>
        <v/>
      </c>
      <c r="G188" s="62" t="str">
        <f aca="false">IF($M188=0,"",IF(INDEX('Line Detail'!$G$6:$G$505,$M188)="","",INDEX('Line Detail'!$G$6:$G$505,$M188)))</f>
        <v/>
      </c>
      <c r="H188" s="13" t="str">
        <f aca="false">IF($M188=0,"",IF(INDEX('Line Detail'!$H$6:$H$505,$M188)="","",INDEX('Line Detail'!$H$6:$H$505,$M188)))</f>
        <v/>
      </c>
      <c r="I188" s="34" t="str">
        <f aca="false">IF($M188=0,"",IF(INDEX('Line Detail'!$O$6:$O$505,$M188)="","",INDEX('Line Detail'!$O$6:$O$505,$M188)))</f>
        <v/>
      </c>
      <c r="J188" s="34" t="str">
        <f aca="false">IF($M188=0,"",IF(INDEX('Line Detail'!$R$6:$R$505,$M188)="","",INDEX('Line Detail'!$R$6:$R$505,$M188)))</f>
        <v/>
      </c>
      <c r="K188" s="6" t="str">
        <f aca="false">IF($M188=0,"",IF(INDEX('Line Detail'!$S$6:$S$505,$M188)="","",INDEX('Line Detail'!$S$6:$S$505,$M188)))</f>
        <v/>
      </c>
      <c r="L188" s="1"/>
      <c r="M188" s="63" t="n">
        <f aca="false">IFERROR(MATCH(183,'Line Detail'!$W$6:$W$505,0),0)</f>
        <v>0</v>
      </c>
    </row>
    <row r="189" customFormat="false" ht="15" hidden="false" customHeight="false" outlineLevel="0" collapsed="false">
      <c r="A189" s="13" t="str">
        <f aca="false">IF($M189=0,"",184)</f>
        <v/>
      </c>
      <c r="B189" s="13" t="str">
        <f aca="false">IF($M189=0,"",IF(INDEX('Line Detail'!$B$6:$B$505,$M189)="","",INDEX('Line Detail'!$B$6:$B$505,$M189)))</f>
        <v/>
      </c>
      <c r="C189" s="13" t="str">
        <f aca="false">IF($M189=0,"",IF(INDEX('Line Detail'!$C$6:$C$505,$M189)="","",INDEX('Line Detail'!$C$6:$C$505,$M189)))</f>
        <v/>
      </c>
      <c r="D189" s="13" t="str">
        <f aca="false">IF($M189=0,"",IF(INDEX('Line Detail'!$D$6:$D$505,$M189)="","",INDEX('Line Detail'!$D$6:$D$505,$M189)))</f>
        <v/>
      </c>
      <c r="E189" s="13" t="str">
        <f aca="false">IF($M189=0,"",IF(INDEX('Line Detail'!$E$6:$E$505,$M189)="","",INDEX('Line Detail'!$E$6:$E$505,$M189)))</f>
        <v/>
      </c>
      <c r="F189" s="6" t="str">
        <f aca="false">IF($M189=0,"",IF(INDEX('Line Detail'!$F$6:$F$505,$M189)="","",INDEX('Line Detail'!$F$6:$F$505,$M189)))</f>
        <v/>
      </c>
      <c r="G189" s="62" t="str">
        <f aca="false">IF($M189=0,"",IF(INDEX('Line Detail'!$G$6:$G$505,$M189)="","",INDEX('Line Detail'!$G$6:$G$505,$M189)))</f>
        <v/>
      </c>
      <c r="H189" s="13" t="str">
        <f aca="false">IF($M189=0,"",IF(INDEX('Line Detail'!$H$6:$H$505,$M189)="","",INDEX('Line Detail'!$H$6:$H$505,$M189)))</f>
        <v/>
      </c>
      <c r="I189" s="34" t="str">
        <f aca="false">IF($M189=0,"",IF(INDEX('Line Detail'!$O$6:$O$505,$M189)="","",INDEX('Line Detail'!$O$6:$O$505,$M189)))</f>
        <v/>
      </c>
      <c r="J189" s="34" t="str">
        <f aca="false">IF($M189=0,"",IF(INDEX('Line Detail'!$R$6:$R$505,$M189)="","",INDEX('Line Detail'!$R$6:$R$505,$M189)))</f>
        <v/>
      </c>
      <c r="K189" s="6" t="str">
        <f aca="false">IF($M189=0,"",IF(INDEX('Line Detail'!$S$6:$S$505,$M189)="","",INDEX('Line Detail'!$S$6:$S$505,$M189)))</f>
        <v/>
      </c>
      <c r="L189" s="1"/>
      <c r="M189" s="63" t="n">
        <f aca="false">IFERROR(MATCH(184,'Line Detail'!$W$6:$W$505,0),0)</f>
        <v>0</v>
      </c>
    </row>
    <row r="190" customFormat="false" ht="15" hidden="false" customHeight="false" outlineLevel="0" collapsed="false">
      <c r="A190" s="13" t="str">
        <f aca="false">IF($M190=0,"",185)</f>
        <v/>
      </c>
      <c r="B190" s="13" t="str">
        <f aca="false">IF($M190=0,"",IF(INDEX('Line Detail'!$B$6:$B$505,$M190)="","",INDEX('Line Detail'!$B$6:$B$505,$M190)))</f>
        <v/>
      </c>
      <c r="C190" s="13" t="str">
        <f aca="false">IF($M190=0,"",IF(INDEX('Line Detail'!$C$6:$C$505,$M190)="","",INDEX('Line Detail'!$C$6:$C$505,$M190)))</f>
        <v/>
      </c>
      <c r="D190" s="13" t="str">
        <f aca="false">IF($M190=0,"",IF(INDEX('Line Detail'!$D$6:$D$505,$M190)="","",INDEX('Line Detail'!$D$6:$D$505,$M190)))</f>
        <v/>
      </c>
      <c r="E190" s="13" t="str">
        <f aca="false">IF($M190=0,"",IF(INDEX('Line Detail'!$E$6:$E$505,$M190)="","",INDEX('Line Detail'!$E$6:$E$505,$M190)))</f>
        <v/>
      </c>
      <c r="F190" s="6" t="str">
        <f aca="false">IF($M190=0,"",IF(INDEX('Line Detail'!$F$6:$F$505,$M190)="","",INDEX('Line Detail'!$F$6:$F$505,$M190)))</f>
        <v/>
      </c>
      <c r="G190" s="62" t="str">
        <f aca="false">IF($M190=0,"",IF(INDEX('Line Detail'!$G$6:$G$505,$M190)="","",INDEX('Line Detail'!$G$6:$G$505,$M190)))</f>
        <v/>
      </c>
      <c r="H190" s="13" t="str">
        <f aca="false">IF($M190=0,"",IF(INDEX('Line Detail'!$H$6:$H$505,$M190)="","",INDEX('Line Detail'!$H$6:$H$505,$M190)))</f>
        <v/>
      </c>
      <c r="I190" s="34" t="str">
        <f aca="false">IF($M190=0,"",IF(INDEX('Line Detail'!$O$6:$O$505,$M190)="","",INDEX('Line Detail'!$O$6:$O$505,$M190)))</f>
        <v/>
      </c>
      <c r="J190" s="34" t="str">
        <f aca="false">IF($M190=0,"",IF(INDEX('Line Detail'!$R$6:$R$505,$M190)="","",INDEX('Line Detail'!$R$6:$R$505,$M190)))</f>
        <v/>
      </c>
      <c r="K190" s="6" t="str">
        <f aca="false">IF($M190=0,"",IF(INDEX('Line Detail'!$S$6:$S$505,$M190)="","",INDEX('Line Detail'!$S$6:$S$505,$M190)))</f>
        <v/>
      </c>
      <c r="L190" s="1"/>
      <c r="M190" s="63" t="n">
        <f aca="false">IFERROR(MATCH(185,'Line Detail'!$W$6:$W$505,0),0)</f>
        <v>0</v>
      </c>
    </row>
    <row r="191" customFormat="false" ht="15" hidden="false" customHeight="false" outlineLevel="0" collapsed="false">
      <c r="A191" s="13" t="str">
        <f aca="false">IF($M191=0,"",186)</f>
        <v/>
      </c>
      <c r="B191" s="13" t="str">
        <f aca="false">IF($M191=0,"",IF(INDEX('Line Detail'!$B$6:$B$505,$M191)="","",INDEX('Line Detail'!$B$6:$B$505,$M191)))</f>
        <v/>
      </c>
      <c r="C191" s="13" t="str">
        <f aca="false">IF($M191=0,"",IF(INDEX('Line Detail'!$C$6:$C$505,$M191)="","",INDEX('Line Detail'!$C$6:$C$505,$M191)))</f>
        <v/>
      </c>
      <c r="D191" s="13" t="str">
        <f aca="false">IF($M191=0,"",IF(INDEX('Line Detail'!$D$6:$D$505,$M191)="","",INDEX('Line Detail'!$D$6:$D$505,$M191)))</f>
        <v/>
      </c>
      <c r="E191" s="13" t="str">
        <f aca="false">IF($M191=0,"",IF(INDEX('Line Detail'!$E$6:$E$505,$M191)="","",INDEX('Line Detail'!$E$6:$E$505,$M191)))</f>
        <v/>
      </c>
      <c r="F191" s="6" t="str">
        <f aca="false">IF($M191=0,"",IF(INDEX('Line Detail'!$F$6:$F$505,$M191)="","",INDEX('Line Detail'!$F$6:$F$505,$M191)))</f>
        <v/>
      </c>
      <c r="G191" s="62" t="str">
        <f aca="false">IF($M191=0,"",IF(INDEX('Line Detail'!$G$6:$G$505,$M191)="","",INDEX('Line Detail'!$G$6:$G$505,$M191)))</f>
        <v/>
      </c>
      <c r="H191" s="13" t="str">
        <f aca="false">IF($M191=0,"",IF(INDEX('Line Detail'!$H$6:$H$505,$M191)="","",INDEX('Line Detail'!$H$6:$H$505,$M191)))</f>
        <v/>
      </c>
      <c r="I191" s="34" t="str">
        <f aca="false">IF($M191=0,"",IF(INDEX('Line Detail'!$O$6:$O$505,$M191)="","",INDEX('Line Detail'!$O$6:$O$505,$M191)))</f>
        <v/>
      </c>
      <c r="J191" s="34" t="str">
        <f aca="false">IF($M191=0,"",IF(INDEX('Line Detail'!$R$6:$R$505,$M191)="","",INDEX('Line Detail'!$R$6:$R$505,$M191)))</f>
        <v/>
      </c>
      <c r="K191" s="6" t="str">
        <f aca="false">IF($M191=0,"",IF(INDEX('Line Detail'!$S$6:$S$505,$M191)="","",INDEX('Line Detail'!$S$6:$S$505,$M191)))</f>
        <v/>
      </c>
      <c r="L191" s="1"/>
      <c r="M191" s="63" t="n">
        <f aca="false">IFERROR(MATCH(186,'Line Detail'!$W$6:$W$505,0),0)</f>
        <v>0</v>
      </c>
    </row>
    <row r="192" customFormat="false" ht="15" hidden="false" customHeight="false" outlineLevel="0" collapsed="false">
      <c r="A192" s="13" t="str">
        <f aca="false">IF($M192=0,"",187)</f>
        <v/>
      </c>
      <c r="B192" s="13" t="str">
        <f aca="false">IF($M192=0,"",IF(INDEX('Line Detail'!$B$6:$B$505,$M192)="","",INDEX('Line Detail'!$B$6:$B$505,$M192)))</f>
        <v/>
      </c>
      <c r="C192" s="13" t="str">
        <f aca="false">IF($M192=0,"",IF(INDEX('Line Detail'!$C$6:$C$505,$M192)="","",INDEX('Line Detail'!$C$6:$C$505,$M192)))</f>
        <v/>
      </c>
      <c r="D192" s="13" t="str">
        <f aca="false">IF($M192=0,"",IF(INDEX('Line Detail'!$D$6:$D$505,$M192)="","",INDEX('Line Detail'!$D$6:$D$505,$M192)))</f>
        <v/>
      </c>
      <c r="E192" s="13" t="str">
        <f aca="false">IF($M192=0,"",IF(INDEX('Line Detail'!$E$6:$E$505,$M192)="","",INDEX('Line Detail'!$E$6:$E$505,$M192)))</f>
        <v/>
      </c>
      <c r="F192" s="6" t="str">
        <f aca="false">IF($M192=0,"",IF(INDEX('Line Detail'!$F$6:$F$505,$M192)="","",INDEX('Line Detail'!$F$6:$F$505,$M192)))</f>
        <v/>
      </c>
      <c r="G192" s="62" t="str">
        <f aca="false">IF($M192=0,"",IF(INDEX('Line Detail'!$G$6:$G$505,$M192)="","",INDEX('Line Detail'!$G$6:$G$505,$M192)))</f>
        <v/>
      </c>
      <c r="H192" s="13" t="str">
        <f aca="false">IF($M192=0,"",IF(INDEX('Line Detail'!$H$6:$H$505,$M192)="","",INDEX('Line Detail'!$H$6:$H$505,$M192)))</f>
        <v/>
      </c>
      <c r="I192" s="34" t="str">
        <f aca="false">IF($M192=0,"",IF(INDEX('Line Detail'!$O$6:$O$505,$M192)="","",INDEX('Line Detail'!$O$6:$O$505,$M192)))</f>
        <v/>
      </c>
      <c r="J192" s="34" t="str">
        <f aca="false">IF($M192=0,"",IF(INDEX('Line Detail'!$R$6:$R$505,$M192)="","",INDEX('Line Detail'!$R$6:$R$505,$M192)))</f>
        <v/>
      </c>
      <c r="K192" s="6" t="str">
        <f aca="false">IF($M192=0,"",IF(INDEX('Line Detail'!$S$6:$S$505,$M192)="","",INDEX('Line Detail'!$S$6:$S$505,$M192)))</f>
        <v/>
      </c>
      <c r="L192" s="1"/>
      <c r="M192" s="63" t="n">
        <f aca="false">IFERROR(MATCH(187,'Line Detail'!$W$6:$W$505,0),0)</f>
        <v>0</v>
      </c>
    </row>
    <row r="193" customFormat="false" ht="15" hidden="false" customHeight="false" outlineLevel="0" collapsed="false">
      <c r="A193" s="13" t="str">
        <f aca="false">IF($M193=0,"",188)</f>
        <v/>
      </c>
      <c r="B193" s="13" t="str">
        <f aca="false">IF($M193=0,"",IF(INDEX('Line Detail'!$B$6:$B$505,$M193)="","",INDEX('Line Detail'!$B$6:$B$505,$M193)))</f>
        <v/>
      </c>
      <c r="C193" s="13" t="str">
        <f aca="false">IF($M193=0,"",IF(INDEX('Line Detail'!$C$6:$C$505,$M193)="","",INDEX('Line Detail'!$C$6:$C$505,$M193)))</f>
        <v/>
      </c>
      <c r="D193" s="13" t="str">
        <f aca="false">IF($M193=0,"",IF(INDEX('Line Detail'!$D$6:$D$505,$M193)="","",INDEX('Line Detail'!$D$6:$D$505,$M193)))</f>
        <v/>
      </c>
      <c r="E193" s="13" t="str">
        <f aca="false">IF($M193=0,"",IF(INDEX('Line Detail'!$E$6:$E$505,$M193)="","",INDEX('Line Detail'!$E$6:$E$505,$M193)))</f>
        <v/>
      </c>
      <c r="F193" s="6" t="str">
        <f aca="false">IF($M193=0,"",IF(INDEX('Line Detail'!$F$6:$F$505,$M193)="","",INDEX('Line Detail'!$F$6:$F$505,$M193)))</f>
        <v/>
      </c>
      <c r="G193" s="62" t="str">
        <f aca="false">IF($M193=0,"",IF(INDEX('Line Detail'!$G$6:$G$505,$M193)="","",INDEX('Line Detail'!$G$6:$G$505,$M193)))</f>
        <v/>
      </c>
      <c r="H193" s="13" t="str">
        <f aca="false">IF($M193=0,"",IF(INDEX('Line Detail'!$H$6:$H$505,$M193)="","",INDEX('Line Detail'!$H$6:$H$505,$M193)))</f>
        <v/>
      </c>
      <c r="I193" s="34" t="str">
        <f aca="false">IF($M193=0,"",IF(INDEX('Line Detail'!$O$6:$O$505,$M193)="","",INDEX('Line Detail'!$O$6:$O$505,$M193)))</f>
        <v/>
      </c>
      <c r="J193" s="34" t="str">
        <f aca="false">IF($M193=0,"",IF(INDEX('Line Detail'!$R$6:$R$505,$M193)="","",INDEX('Line Detail'!$R$6:$R$505,$M193)))</f>
        <v/>
      </c>
      <c r="K193" s="6" t="str">
        <f aca="false">IF($M193=0,"",IF(INDEX('Line Detail'!$S$6:$S$505,$M193)="","",INDEX('Line Detail'!$S$6:$S$505,$M193)))</f>
        <v/>
      </c>
      <c r="L193" s="1"/>
      <c r="M193" s="63" t="n">
        <f aca="false">IFERROR(MATCH(188,'Line Detail'!$W$6:$W$505,0),0)</f>
        <v>0</v>
      </c>
    </row>
    <row r="194" customFormat="false" ht="15" hidden="false" customHeight="false" outlineLevel="0" collapsed="false">
      <c r="A194" s="13" t="str">
        <f aca="false">IF($M194=0,"",189)</f>
        <v/>
      </c>
      <c r="B194" s="13" t="str">
        <f aca="false">IF($M194=0,"",IF(INDEX('Line Detail'!$B$6:$B$505,$M194)="","",INDEX('Line Detail'!$B$6:$B$505,$M194)))</f>
        <v/>
      </c>
      <c r="C194" s="13" t="str">
        <f aca="false">IF($M194=0,"",IF(INDEX('Line Detail'!$C$6:$C$505,$M194)="","",INDEX('Line Detail'!$C$6:$C$505,$M194)))</f>
        <v/>
      </c>
      <c r="D194" s="13" t="str">
        <f aca="false">IF($M194=0,"",IF(INDEX('Line Detail'!$D$6:$D$505,$M194)="","",INDEX('Line Detail'!$D$6:$D$505,$M194)))</f>
        <v/>
      </c>
      <c r="E194" s="13" t="str">
        <f aca="false">IF($M194=0,"",IF(INDEX('Line Detail'!$E$6:$E$505,$M194)="","",INDEX('Line Detail'!$E$6:$E$505,$M194)))</f>
        <v/>
      </c>
      <c r="F194" s="6" t="str">
        <f aca="false">IF($M194=0,"",IF(INDEX('Line Detail'!$F$6:$F$505,$M194)="","",INDEX('Line Detail'!$F$6:$F$505,$M194)))</f>
        <v/>
      </c>
      <c r="G194" s="62" t="str">
        <f aca="false">IF($M194=0,"",IF(INDEX('Line Detail'!$G$6:$G$505,$M194)="","",INDEX('Line Detail'!$G$6:$G$505,$M194)))</f>
        <v/>
      </c>
      <c r="H194" s="13" t="str">
        <f aca="false">IF($M194=0,"",IF(INDEX('Line Detail'!$H$6:$H$505,$M194)="","",INDEX('Line Detail'!$H$6:$H$505,$M194)))</f>
        <v/>
      </c>
      <c r="I194" s="34" t="str">
        <f aca="false">IF($M194=0,"",IF(INDEX('Line Detail'!$O$6:$O$505,$M194)="","",INDEX('Line Detail'!$O$6:$O$505,$M194)))</f>
        <v/>
      </c>
      <c r="J194" s="34" t="str">
        <f aca="false">IF($M194=0,"",IF(INDEX('Line Detail'!$R$6:$R$505,$M194)="","",INDEX('Line Detail'!$R$6:$R$505,$M194)))</f>
        <v/>
      </c>
      <c r="K194" s="6" t="str">
        <f aca="false">IF($M194=0,"",IF(INDEX('Line Detail'!$S$6:$S$505,$M194)="","",INDEX('Line Detail'!$S$6:$S$505,$M194)))</f>
        <v/>
      </c>
      <c r="L194" s="1"/>
      <c r="M194" s="63" t="n">
        <f aca="false">IFERROR(MATCH(189,'Line Detail'!$W$6:$W$505,0),0)</f>
        <v>0</v>
      </c>
    </row>
    <row r="195" customFormat="false" ht="15" hidden="false" customHeight="false" outlineLevel="0" collapsed="false">
      <c r="A195" s="13" t="str">
        <f aca="false">IF($M195=0,"",190)</f>
        <v/>
      </c>
      <c r="B195" s="13" t="str">
        <f aca="false">IF($M195=0,"",IF(INDEX('Line Detail'!$B$6:$B$505,$M195)="","",INDEX('Line Detail'!$B$6:$B$505,$M195)))</f>
        <v/>
      </c>
      <c r="C195" s="13" t="str">
        <f aca="false">IF($M195=0,"",IF(INDEX('Line Detail'!$C$6:$C$505,$M195)="","",INDEX('Line Detail'!$C$6:$C$505,$M195)))</f>
        <v/>
      </c>
      <c r="D195" s="13" t="str">
        <f aca="false">IF($M195=0,"",IF(INDEX('Line Detail'!$D$6:$D$505,$M195)="","",INDEX('Line Detail'!$D$6:$D$505,$M195)))</f>
        <v/>
      </c>
      <c r="E195" s="13" t="str">
        <f aca="false">IF($M195=0,"",IF(INDEX('Line Detail'!$E$6:$E$505,$M195)="","",INDEX('Line Detail'!$E$6:$E$505,$M195)))</f>
        <v/>
      </c>
      <c r="F195" s="6" t="str">
        <f aca="false">IF($M195=0,"",IF(INDEX('Line Detail'!$F$6:$F$505,$M195)="","",INDEX('Line Detail'!$F$6:$F$505,$M195)))</f>
        <v/>
      </c>
      <c r="G195" s="62" t="str">
        <f aca="false">IF($M195=0,"",IF(INDEX('Line Detail'!$G$6:$G$505,$M195)="","",INDEX('Line Detail'!$G$6:$G$505,$M195)))</f>
        <v/>
      </c>
      <c r="H195" s="13" t="str">
        <f aca="false">IF($M195=0,"",IF(INDEX('Line Detail'!$H$6:$H$505,$M195)="","",INDEX('Line Detail'!$H$6:$H$505,$M195)))</f>
        <v/>
      </c>
      <c r="I195" s="34" t="str">
        <f aca="false">IF($M195=0,"",IF(INDEX('Line Detail'!$O$6:$O$505,$M195)="","",INDEX('Line Detail'!$O$6:$O$505,$M195)))</f>
        <v/>
      </c>
      <c r="J195" s="34" t="str">
        <f aca="false">IF($M195=0,"",IF(INDEX('Line Detail'!$R$6:$R$505,$M195)="","",INDEX('Line Detail'!$R$6:$R$505,$M195)))</f>
        <v/>
      </c>
      <c r="K195" s="6" t="str">
        <f aca="false">IF($M195=0,"",IF(INDEX('Line Detail'!$S$6:$S$505,$M195)="","",INDEX('Line Detail'!$S$6:$S$505,$M195)))</f>
        <v/>
      </c>
      <c r="L195" s="1"/>
      <c r="M195" s="63" t="n">
        <f aca="false">IFERROR(MATCH(190,'Line Detail'!$W$6:$W$505,0),0)</f>
        <v>0</v>
      </c>
    </row>
    <row r="196" customFormat="false" ht="15" hidden="false" customHeight="false" outlineLevel="0" collapsed="false">
      <c r="A196" s="13" t="str">
        <f aca="false">IF($M196=0,"",191)</f>
        <v/>
      </c>
      <c r="B196" s="13" t="str">
        <f aca="false">IF($M196=0,"",IF(INDEX('Line Detail'!$B$6:$B$505,$M196)="","",INDEX('Line Detail'!$B$6:$B$505,$M196)))</f>
        <v/>
      </c>
      <c r="C196" s="13" t="str">
        <f aca="false">IF($M196=0,"",IF(INDEX('Line Detail'!$C$6:$C$505,$M196)="","",INDEX('Line Detail'!$C$6:$C$505,$M196)))</f>
        <v/>
      </c>
      <c r="D196" s="13" t="str">
        <f aca="false">IF($M196=0,"",IF(INDEX('Line Detail'!$D$6:$D$505,$M196)="","",INDEX('Line Detail'!$D$6:$D$505,$M196)))</f>
        <v/>
      </c>
      <c r="E196" s="13" t="str">
        <f aca="false">IF($M196=0,"",IF(INDEX('Line Detail'!$E$6:$E$505,$M196)="","",INDEX('Line Detail'!$E$6:$E$505,$M196)))</f>
        <v/>
      </c>
      <c r="F196" s="6" t="str">
        <f aca="false">IF($M196=0,"",IF(INDEX('Line Detail'!$F$6:$F$505,$M196)="","",INDEX('Line Detail'!$F$6:$F$505,$M196)))</f>
        <v/>
      </c>
      <c r="G196" s="62" t="str">
        <f aca="false">IF($M196=0,"",IF(INDEX('Line Detail'!$G$6:$G$505,$M196)="","",INDEX('Line Detail'!$G$6:$G$505,$M196)))</f>
        <v/>
      </c>
      <c r="H196" s="13" t="str">
        <f aca="false">IF($M196=0,"",IF(INDEX('Line Detail'!$H$6:$H$505,$M196)="","",INDEX('Line Detail'!$H$6:$H$505,$M196)))</f>
        <v/>
      </c>
      <c r="I196" s="34" t="str">
        <f aca="false">IF($M196=0,"",IF(INDEX('Line Detail'!$O$6:$O$505,$M196)="","",INDEX('Line Detail'!$O$6:$O$505,$M196)))</f>
        <v/>
      </c>
      <c r="J196" s="34" t="str">
        <f aca="false">IF($M196=0,"",IF(INDEX('Line Detail'!$R$6:$R$505,$M196)="","",INDEX('Line Detail'!$R$6:$R$505,$M196)))</f>
        <v/>
      </c>
      <c r="K196" s="6" t="str">
        <f aca="false">IF($M196=0,"",IF(INDEX('Line Detail'!$S$6:$S$505,$M196)="","",INDEX('Line Detail'!$S$6:$S$505,$M196)))</f>
        <v/>
      </c>
      <c r="L196" s="1"/>
      <c r="M196" s="63" t="n">
        <f aca="false">IFERROR(MATCH(191,'Line Detail'!$W$6:$W$505,0),0)</f>
        <v>0</v>
      </c>
    </row>
    <row r="197" customFormat="false" ht="15" hidden="false" customHeight="false" outlineLevel="0" collapsed="false">
      <c r="A197" s="13" t="str">
        <f aca="false">IF($M197=0,"",192)</f>
        <v/>
      </c>
      <c r="B197" s="13" t="str">
        <f aca="false">IF($M197=0,"",IF(INDEX('Line Detail'!$B$6:$B$505,$M197)="","",INDEX('Line Detail'!$B$6:$B$505,$M197)))</f>
        <v/>
      </c>
      <c r="C197" s="13" t="str">
        <f aca="false">IF($M197=0,"",IF(INDEX('Line Detail'!$C$6:$C$505,$M197)="","",INDEX('Line Detail'!$C$6:$C$505,$M197)))</f>
        <v/>
      </c>
      <c r="D197" s="13" t="str">
        <f aca="false">IF($M197=0,"",IF(INDEX('Line Detail'!$D$6:$D$505,$M197)="","",INDEX('Line Detail'!$D$6:$D$505,$M197)))</f>
        <v/>
      </c>
      <c r="E197" s="13" t="str">
        <f aca="false">IF($M197=0,"",IF(INDEX('Line Detail'!$E$6:$E$505,$M197)="","",INDEX('Line Detail'!$E$6:$E$505,$M197)))</f>
        <v/>
      </c>
      <c r="F197" s="6" t="str">
        <f aca="false">IF($M197=0,"",IF(INDEX('Line Detail'!$F$6:$F$505,$M197)="","",INDEX('Line Detail'!$F$6:$F$505,$M197)))</f>
        <v/>
      </c>
      <c r="G197" s="62" t="str">
        <f aca="false">IF($M197=0,"",IF(INDEX('Line Detail'!$G$6:$G$505,$M197)="","",INDEX('Line Detail'!$G$6:$G$505,$M197)))</f>
        <v/>
      </c>
      <c r="H197" s="13" t="str">
        <f aca="false">IF($M197=0,"",IF(INDEX('Line Detail'!$H$6:$H$505,$M197)="","",INDEX('Line Detail'!$H$6:$H$505,$M197)))</f>
        <v/>
      </c>
      <c r="I197" s="34" t="str">
        <f aca="false">IF($M197=0,"",IF(INDEX('Line Detail'!$O$6:$O$505,$M197)="","",INDEX('Line Detail'!$O$6:$O$505,$M197)))</f>
        <v/>
      </c>
      <c r="J197" s="34" t="str">
        <f aca="false">IF($M197=0,"",IF(INDEX('Line Detail'!$R$6:$R$505,$M197)="","",INDEX('Line Detail'!$R$6:$R$505,$M197)))</f>
        <v/>
      </c>
      <c r="K197" s="6" t="str">
        <f aca="false">IF($M197=0,"",IF(INDEX('Line Detail'!$S$6:$S$505,$M197)="","",INDEX('Line Detail'!$S$6:$S$505,$M197)))</f>
        <v/>
      </c>
      <c r="L197" s="1"/>
      <c r="M197" s="63" t="n">
        <f aca="false">IFERROR(MATCH(192,'Line Detail'!$W$6:$W$505,0),0)</f>
        <v>0</v>
      </c>
    </row>
    <row r="198" customFormat="false" ht="15" hidden="false" customHeight="false" outlineLevel="0" collapsed="false">
      <c r="A198" s="13" t="str">
        <f aca="false">IF($M198=0,"",193)</f>
        <v/>
      </c>
      <c r="B198" s="13" t="str">
        <f aca="false">IF($M198=0,"",IF(INDEX('Line Detail'!$B$6:$B$505,$M198)="","",INDEX('Line Detail'!$B$6:$B$505,$M198)))</f>
        <v/>
      </c>
      <c r="C198" s="13" t="str">
        <f aca="false">IF($M198=0,"",IF(INDEX('Line Detail'!$C$6:$C$505,$M198)="","",INDEX('Line Detail'!$C$6:$C$505,$M198)))</f>
        <v/>
      </c>
      <c r="D198" s="13" t="str">
        <f aca="false">IF($M198=0,"",IF(INDEX('Line Detail'!$D$6:$D$505,$M198)="","",INDEX('Line Detail'!$D$6:$D$505,$M198)))</f>
        <v/>
      </c>
      <c r="E198" s="13" t="str">
        <f aca="false">IF($M198=0,"",IF(INDEX('Line Detail'!$E$6:$E$505,$M198)="","",INDEX('Line Detail'!$E$6:$E$505,$M198)))</f>
        <v/>
      </c>
      <c r="F198" s="6" t="str">
        <f aca="false">IF($M198=0,"",IF(INDEX('Line Detail'!$F$6:$F$505,$M198)="","",INDEX('Line Detail'!$F$6:$F$505,$M198)))</f>
        <v/>
      </c>
      <c r="G198" s="62" t="str">
        <f aca="false">IF($M198=0,"",IF(INDEX('Line Detail'!$G$6:$G$505,$M198)="","",INDEX('Line Detail'!$G$6:$G$505,$M198)))</f>
        <v/>
      </c>
      <c r="H198" s="13" t="str">
        <f aca="false">IF($M198=0,"",IF(INDEX('Line Detail'!$H$6:$H$505,$M198)="","",INDEX('Line Detail'!$H$6:$H$505,$M198)))</f>
        <v/>
      </c>
      <c r="I198" s="34" t="str">
        <f aca="false">IF($M198=0,"",IF(INDEX('Line Detail'!$O$6:$O$505,$M198)="","",INDEX('Line Detail'!$O$6:$O$505,$M198)))</f>
        <v/>
      </c>
      <c r="J198" s="34" t="str">
        <f aca="false">IF($M198=0,"",IF(INDEX('Line Detail'!$R$6:$R$505,$M198)="","",INDEX('Line Detail'!$R$6:$R$505,$M198)))</f>
        <v/>
      </c>
      <c r="K198" s="6" t="str">
        <f aca="false">IF($M198=0,"",IF(INDEX('Line Detail'!$S$6:$S$505,$M198)="","",INDEX('Line Detail'!$S$6:$S$505,$M198)))</f>
        <v/>
      </c>
      <c r="L198" s="1"/>
      <c r="M198" s="63" t="n">
        <f aca="false">IFERROR(MATCH(193,'Line Detail'!$W$6:$W$505,0),0)</f>
        <v>0</v>
      </c>
    </row>
    <row r="199" customFormat="false" ht="15" hidden="false" customHeight="false" outlineLevel="0" collapsed="false">
      <c r="A199" s="13" t="str">
        <f aca="false">IF($M199=0,"",194)</f>
        <v/>
      </c>
      <c r="B199" s="13" t="str">
        <f aca="false">IF($M199=0,"",IF(INDEX('Line Detail'!$B$6:$B$505,$M199)="","",INDEX('Line Detail'!$B$6:$B$505,$M199)))</f>
        <v/>
      </c>
      <c r="C199" s="13" t="str">
        <f aca="false">IF($M199=0,"",IF(INDEX('Line Detail'!$C$6:$C$505,$M199)="","",INDEX('Line Detail'!$C$6:$C$505,$M199)))</f>
        <v/>
      </c>
      <c r="D199" s="13" t="str">
        <f aca="false">IF($M199=0,"",IF(INDEX('Line Detail'!$D$6:$D$505,$M199)="","",INDEX('Line Detail'!$D$6:$D$505,$M199)))</f>
        <v/>
      </c>
      <c r="E199" s="13" t="str">
        <f aca="false">IF($M199=0,"",IF(INDEX('Line Detail'!$E$6:$E$505,$M199)="","",INDEX('Line Detail'!$E$6:$E$505,$M199)))</f>
        <v/>
      </c>
      <c r="F199" s="6" t="str">
        <f aca="false">IF($M199=0,"",IF(INDEX('Line Detail'!$F$6:$F$505,$M199)="","",INDEX('Line Detail'!$F$6:$F$505,$M199)))</f>
        <v/>
      </c>
      <c r="G199" s="62" t="str">
        <f aca="false">IF($M199=0,"",IF(INDEX('Line Detail'!$G$6:$G$505,$M199)="","",INDEX('Line Detail'!$G$6:$G$505,$M199)))</f>
        <v/>
      </c>
      <c r="H199" s="13" t="str">
        <f aca="false">IF($M199=0,"",IF(INDEX('Line Detail'!$H$6:$H$505,$M199)="","",INDEX('Line Detail'!$H$6:$H$505,$M199)))</f>
        <v/>
      </c>
      <c r="I199" s="34" t="str">
        <f aca="false">IF($M199=0,"",IF(INDEX('Line Detail'!$O$6:$O$505,$M199)="","",INDEX('Line Detail'!$O$6:$O$505,$M199)))</f>
        <v/>
      </c>
      <c r="J199" s="34" t="str">
        <f aca="false">IF($M199=0,"",IF(INDEX('Line Detail'!$R$6:$R$505,$M199)="","",INDEX('Line Detail'!$R$6:$R$505,$M199)))</f>
        <v/>
      </c>
      <c r="K199" s="6" t="str">
        <f aca="false">IF($M199=0,"",IF(INDEX('Line Detail'!$S$6:$S$505,$M199)="","",INDEX('Line Detail'!$S$6:$S$505,$M199)))</f>
        <v/>
      </c>
      <c r="L199" s="1"/>
      <c r="M199" s="63" t="n">
        <f aca="false">IFERROR(MATCH(194,'Line Detail'!$W$6:$W$505,0),0)</f>
        <v>0</v>
      </c>
    </row>
    <row r="200" customFormat="false" ht="15" hidden="false" customHeight="false" outlineLevel="0" collapsed="false">
      <c r="A200" s="13" t="str">
        <f aca="false">IF($M200=0,"",195)</f>
        <v/>
      </c>
      <c r="B200" s="13" t="str">
        <f aca="false">IF($M200=0,"",IF(INDEX('Line Detail'!$B$6:$B$505,$M200)="","",INDEX('Line Detail'!$B$6:$B$505,$M200)))</f>
        <v/>
      </c>
      <c r="C200" s="13" t="str">
        <f aca="false">IF($M200=0,"",IF(INDEX('Line Detail'!$C$6:$C$505,$M200)="","",INDEX('Line Detail'!$C$6:$C$505,$M200)))</f>
        <v/>
      </c>
      <c r="D200" s="13" t="str">
        <f aca="false">IF($M200=0,"",IF(INDEX('Line Detail'!$D$6:$D$505,$M200)="","",INDEX('Line Detail'!$D$6:$D$505,$M200)))</f>
        <v/>
      </c>
      <c r="E200" s="13" t="str">
        <f aca="false">IF($M200=0,"",IF(INDEX('Line Detail'!$E$6:$E$505,$M200)="","",INDEX('Line Detail'!$E$6:$E$505,$M200)))</f>
        <v/>
      </c>
      <c r="F200" s="6" t="str">
        <f aca="false">IF($M200=0,"",IF(INDEX('Line Detail'!$F$6:$F$505,$M200)="","",INDEX('Line Detail'!$F$6:$F$505,$M200)))</f>
        <v/>
      </c>
      <c r="G200" s="62" t="str">
        <f aca="false">IF($M200=0,"",IF(INDEX('Line Detail'!$G$6:$G$505,$M200)="","",INDEX('Line Detail'!$G$6:$G$505,$M200)))</f>
        <v/>
      </c>
      <c r="H200" s="13" t="str">
        <f aca="false">IF($M200=0,"",IF(INDEX('Line Detail'!$H$6:$H$505,$M200)="","",INDEX('Line Detail'!$H$6:$H$505,$M200)))</f>
        <v/>
      </c>
      <c r="I200" s="34" t="str">
        <f aca="false">IF($M200=0,"",IF(INDEX('Line Detail'!$O$6:$O$505,$M200)="","",INDEX('Line Detail'!$O$6:$O$505,$M200)))</f>
        <v/>
      </c>
      <c r="J200" s="34" t="str">
        <f aca="false">IF($M200=0,"",IF(INDEX('Line Detail'!$R$6:$R$505,$M200)="","",INDEX('Line Detail'!$R$6:$R$505,$M200)))</f>
        <v/>
      </c>
      <c r="K200" s="6" t="str">
        <f aca="false">IF($M200=0,"",IF(INDEX('Line Detail'!$S$6:$S$505,$M200)="","",INDEX('Line Detail'!$S$6:$S$505,$M200)))</f>
        <v/>
      </c>
      <c r="L200" s="1"/>
      <c r="M200" s="63" t="n">
        <f aca="false">IFERROR(MATCH(195,'Line Detail'!$W$6:$W$505,0),0)</f>
        <v>0</v>
      </c>
    </row>
    <row r="201" customFormat="false" ht="15" hidden="false" customHeight="false" outlineLevel="0" collapsed="false">
      <c r="A201" s="13" t="str">
        <f aca="false">IF($M201=0,"",196)</f>
        <v/>
      </c>
      <c r="B201" s="13" t="str">
        <f aca="false">IF($M201=0,"",IF(INDEX('Line Detail'!$B$6:$B$505,$M201)="","",INDEX('Line Detail'!$B$6:$B$505,$M201)))</f>
        <v/>
      </c>
      <c r="C201" s="13" t="str">
        <f aca="false">IF($M201=0,"",IF(INDEX('Line Detail'!$C$6:$C$505,$M201)="","",INDEX('Line Detail'!$C$6:$C$505,$M201)))</f>
        <v/>
      </c>
      <c r="D201" s="13" t="str">
        <f aca="false">IF($M201=0,"",IF(INDEX('Line Detail'!$D$6:$D$505,$M201)="","",INDEX('Line Detail'!$D$6:$D$505,$M201)))</f>
        <v/>
      </c>
      <c r="E201" s="13" t="str">
        <f aca="false">IF($M201=0,"",IF(INDEX('Line Detail'!$E$6:$E$505,$M201)="","",INDEX('Line Detail'!$E$6:$E$505,$M201)))</f>
        <v/>
      </c>
      <c r="F201" s="6" t="str">
        <f aca="false">IF($M201=0,"",IF(INDEX('Line Detail'!$F$6:$F$505,$M201)="","",INDEX('Line Detail'!$F$6:$F$505,$M201)))</f>
        <v/>
      </c>
      <c r="G201" s="62" t="str">
        <f aca="false">IF($M201=0,"",IF(INDEX('Line Detail'!$G$6:$G$505,$M201)="","",INDEX('Line Detail'!$G$6:$G$505,$M201)))</f>
        <v/>
      </c>
      <c r="H201" s="13" t="str">
        <f aca="false">IF($M201=0,"",IF(INDEX('Line Detail'!$H$6:$H$505,$M201)="","",INDEX('Line Detail'!$H$6:$H$505,$M201)))</f>
        <v/>
      </c>
      <c r="I201" s="34" t="str">
        <f aca="false">IF($M201=0,"",IF(INDEX('Line Detail'!$O$6:$O$505,$M201)="","",INDEX('Line Detail'!$O$6:$O$505,$M201)))</f>
        <v/>
      </c>
      <c r="J201" s="34" t="str">
        <f aca="false">IF($M201=0,"",IF(INDEX('Line Detail'!$R$6:$R$505,$M201)="","",INDEX('Line Detail'!$R$6:$R$505,$M201)))</f>
        <v/>
      </c>
      <c r="K201" s="6" t="str">
        <f aca="false">IF($M201=0,"",IF(INDEX('Line Detail'!$S$6:$S$505,$M201)="","",INDEX('Line Detail'!$S$6:$S$505,$M201)))</f>
        <v/>
      </c>
      <c r="L201" s="1"/>
      <c r="M201" s="63" t="n">
        <f aca="false">IFERROR(MATCH(196,'Line Detail'!$W$6:$W$505,0),0)</f>
        <v>0</v>
      </c>
    </row>
    <row r="202" customFormat="false" ht="15" hidden="false" customHeight="false" outlineLevel="0" collapsed="false">
      <c r="A202" s="13" t="str">
        <f aca="false">IF($M202=0,"",197)</f>
        <v/>
      </c>
      <c r="B202" s="13" t="str">
        <f aca="false">IF($M202=0,"",IF(INDEX('Line Detail'!$B$6:$B$505,$M202)="","",INDEX('Line Detail'!$B$6:$B$505,$M202)))</f>
        <v/>
      </c>
      <c r="C202" s="13" t="str">
        <f aca="false">IF($M202=0,"",IF(INDEX('Line Detail'!$C$6:$C$505,$M202)="","",INDEX('Line Detail'!$C$6:$C$505,$M202)))</f>
        <v/>
      </c>
      <c r="D202" s="13" t="str">
        <f aca="false">IF($M202=0,"",IF(INDEX('Line Detail'!$D$6:$D$505,$M202)="","",INDEX('Line Detail'!$D$6:$D$505,$M202)))</f>
        <v/>
      </c>
      <c r="E202" s="13" t="str">
        <f aca="false">IF($M202=0,"",IF(INDEX('Line Detail'!$E$6:$E$505,$M202)="","",INDEX('Line Detail'!$E$6:$E$505,$M202)))</f>
        <v/>
      </c>
      <c r="F202" s="6" t="str">
        <f aca="false">IF($M202=0,"",IF(INDEX('Line Detail'!$F$6:$F$505,$M202)="","",INDEX('Line Detail'!$F$6:$F$505,$M202)))</f>
        <v/>
      </c>
      <c r="G202" s="62" t="str">
        <f aca="false">IF($M202=0,"",IF(INDEX('Line Detail'!$G$6:$G$505,$M202)="","",INDEX('Line Detail'!$G$6:$G$505,$M202)))</f>
        <v/>
      </c>
      <c r="H202" s="13" t="str">
        <f aca="false">IF($M202=0,"",IF(INDEX('Line Detail'!$H$6:$H$505,$M202)="","",INDEX('Line Detail'!$H$6:$H$505,$M202)))</f>
        <v/>
      </c>
      <c r="I202" s="34" t="str">
        <f aca="false">IF($M202=0,"",IF(INDEX('Line Detail'!$O$6:$O$505,$M202)="","",INDEX('Line Detail'!$O$6:$O$505,$M202)))</f>
        <v/>
      </c>
      <c r="J202" s="34" t="str">
        <f aca="false">IF($M202=0,"",IF(INDEX('Line Detail'!$R$6:$R$505,$M202)="","",INDEX('Line Detail'!$R$6:$R$505,$M202)))</f>
        <v/>
      </c>
      <c r="K202" s="6" t="str">
        <f aca="false">IF($M202=0,"",IF(INDEX('Line Detail'!$S$6:$S$505,$M202)="","",INDEX('Line Detail'!$S$6:$S$505,$M202)))</f>
        <v/>
      </c>
      <c r="L202" s="1"/>
      <c r="M202" s="63" t="n">
        <f aca="false">IFERROR(MATCH(197,'Line Detail'!$W$6:$W$505,0),0)</f>
        <v>0</v>
      </c>
    </row>
    <row r="203" customFormat="false" ht="15" hidden="false" customHeight="false" outlineLevel="0" collapsed="false">
      <c r="A203" s="13" t="str">
        <f aca="false">IF($M203=0,"",198)</f>
        <v/>
      </c>
      <c r="B203" s="13" t="str">
        <f aca="false">IF($M203=0,"",IF(INDEX('Line Detail'!$B$6:$B$505,$M203)="","",INDEX('Line Detail'!$B$6:$B$505,$M203)))</f>
        <v/>
      </c>
      <c r="C203" s="13" t="str">
        <f aca="false">IF($M203=0,"",IF(INDEX('Line Detail'!$C$6:$C$505,$M203)="","",INDEX('Line Detail'!$C$6:$C$505,$M203)))</f>
        <v/>
      </c>
      <c r="D203" s="13" t="str">
        <f aca="false">IF($M203=0,"",IF(INDEX('Line Detail'!$D$6:$D$505,$M203)="","",INDEX('Line Detail'!$D$6:$D$505,$M203)))</f>
        <v/>
      </c>
      <c r="E203" s="13" t="str">
        <f aca="false">IF($M203=0,"",IF(INDEX('Line Detail'!$E$6:$E$505,$M203)="","",INDEX('Line Detail'!$E$6:$E$505,$M203)))</f>
        <v/>
      </c>
      <c r="F203" s="6" t="str">
        <f aca="false">IF($M203=0,"",IF(INDEX('Line Detail'!$F$6:$F$505,$M203)="","",INDEX('Line Detail'!$F$6:$F$505,$M203)))</f>
        <v/>
      </c>
      <c r="G203" s="62" t="str">
        <f aca="false">IF($M203=0,"",IF(INDEX('Line Detail'!$G$6:$G$505,$M203)="","",INDEX('Line Detail'!$G$6:$G$505,$M203)))</f>
        <v/>
      </c>
      <c r="H203" s="13" t="str">
        <f aca="false">IF($M203=0,"",IF(INDEX('Line Detail'!$H$6:$H$505,$M203)="","",INDEX('Line Detail'!$H$6:$H$505,$M203)))</f>
        <v/>
      </c>
      <c r="I203" s="34" t="str">
        <f aca="false">IF($M203=0,"",IF(INDEX('Line Detail'!$O$6:$O$505,$M203)="","",INDEX('Line Detail'!$O$6:$O$505,$M203)))</f>
        <v/>
      </c>
      <c r="J203" s="34" t="str">
        <f aca="false">IF($M203=0,"",IF(INDEX('Line Detail'!$R$6:$R$505,$M203)="","",INDEX('Line Detail'!$R$6:$R$505,$M203)))</f>
        <v/>
      </c>
      <c r="K203" s="6" t="str">
        <f aca="false">IF($M203=0,"",IF(INDEX('Line Detail'!$S$6:$S$505,$M203)="","",INDEX('Line Detail'!$S$6:$S$505,$M203)))</f>
        <v/>
      </c>
      <c r="L203" s="1"/>
      <c r="M203" s="63" t="n">
        <f aca="false">IFERROR(MATCH(198,'Line Detail'!$W$6:$W$505,0),0)</f>
        <v>0</v>
      </c>
    </row>
    <row r="204" customFormat="false" ht="15" hidden="false" customHeight="false" outlineLevel="0" collapsed="false">
      <c r="A204" s="13" t="str">
        <f aca="false">IF($M204=0,"",199)</f>
        <v/>
      </c>
      <c r="B204" s="13" t="str">
        <f aca="false">IF($M204=0,"",IF(INDEX('Line Detail'!$B$6:$B$505,$M204)="","",INDEX('Line Detail'!$B$6:$B$505,$M204)))</f>
        <v/>
      </c>
      <c r="C204" s="13" t="str">
        <f aca="false">IF($M204=0,"",IF(INDEX('Line Detail'!$C$6:$C$505,$M204)="","",INDEX('Line Detail'!$C$6:$C$505,$M204)))</f>
        <v/>
      </c>
      <c r="D204" s="13" t="str">
        <f aca="false">IF($M204=0,"",IF(INDEX('Line Detail'!$D$6:$D$505,$M204)="","",INDEX('Line Detail'!$D$6:$D$505,$M204)))</f>
        <v/>
      </c>
      <c r="E204" s="13" t="str">
        <f aca="false">IF($M204=0,"",IF(INDEX('Line Detail'!$E$6:$E$505,$M204)="","",INDEX('Line Detail'!$E$6:$E$505,$M204)))</f>
        <v/>
      </c>
      <c r="F204" s="6" t="str">
        <f aca="false">IF($M204=0,"",IF(INDEX('Line Detail'!$F$6:$F$505,$M204)="","",INDEX('Line Detail'!$F$6:$F$505,$M204)))</f>
        <v/>
      </c>
      <c r="G204" s="62" t="str">
        <f aca="false">IF($M204=0,"",IF(INDEX('Line Detail'!$G$6:$G$505,$M204)="","",INDEX('Line Detail'!$G$6:$G$505,$M204)))</f>
        <v/>
      </c>
      <c r="H204" s="13" t="str">
        <f aca="false">IF($M204=0,"",IF(INDEX('Line Detail'!$H$6:$H$505,$M204)="","",INDEX('Line Detail'!$H$6:$H$505,$M204)))</f>
        <v/>
      </c>
      <c r="I204" s="34" t="str">
        <f aca="false">IF($M204=0,"",IF(INDEX('Line Detail'!$O$6:$O$505,$M204)="","",INDEX('Line Detail'!$O$6:$O$505,$M204)))</f>
        <v/>
      </c>
      <c r="J204" s="34" t="str">
        <f aca="false">IF($M204=0,"",IF(INDEX('Line Detail'!$R$6:$R$505,$M204)="","",INDEX('Line Detail'!$R$6:$R$505,$M204)))</f>
        <v/>
      </c>
      <c r="K204" s="6" t="str">
        <f aca="false">IF($M204=0,"",IF(INDEX('Line Detail'!$S$6:$S$505,$M204)="","",INDEX('Line Detail'!$S$6:$S$505,$M204)))</f>
        <v/>
      </c>
      <c r="L204" s="1"/>
      <c r="M204" s="63" t="n">
        <f aca="false">IFERROR(MATCH(199,'Line Detail'!$W$6:$W$505,0),0)</f>
        <v>0</v>
      </c>
    </row>
    <row r="205" customFormat="false" ht="15" hidden="false" customHeight="false" outlineLevel="0" collapsed="false">
      <c r="A205" s="13" t="str">
        <f aca="false">IF($M205=0,"",200)</f>
        <v/>
      </c>
      <c r="B205" s="13" t="str">
        <f aca="false">IF($M205=0,"",IF(INDEX('Line Detail'!$B$6:$B$505,$M205)="","",INDEX('Line Detail'!$B$6:$B$505,$M205)))</f>
        <v/>
      </c>
      <c r="C205" s="13" t="str">
        <f aca="false">IF($M205=0,"",IF(INDEX('Line Detail'!$C$6:$C$505,$M205)="","",INDEX('Line Detail'!$C$6:$C$505,$M205)))</f>
        <v/>
      </c>
      <c r="D205" s="13" t="str">
        <f aca="false">IF($M205=0,"",IF(INDEX('Line Detail'!$D$6:$D$505,$M205)="","",INDEX('Line Detail'!$D$6:$D$505,$M205)))</f>
        <v/>
      </c>
      <c r="E205" s="13" t="str">
        <f aca="false">IF($M205=0,"",IF(INDEX('Line Detail'!$E$6:$E$505,$M205)="","",INDEX('Line Detail'!$E$6:$E$505,$M205)))</f>
        <v/>
      </c>
      <c r="F205" s="6" t="str">
        <f aca="false">IF($M205=0,"",IF(INDEX('Line Detail'!$F$6:$F$505,$M205)="","",INDEX('Line Detail'!$F$6:$F$505,$M205)))</f>
        <v/>
      </c>
      <c r="G205" s="62" t="str">
        <f aca="false">IF($M205=0,"",IF(INDEX('Line Detail'!$G$6:$G$505,$M205)="","",INDEX('Line Detail'!$G$6:$G$505,$M205)))</f>
        <v/>
      </c>
      <c r="H205" s="13" t="str">
        <f aca="false">IF($M205=0,"",IF(INDEX('Line Detail'!$H$6:$H$505,$M205)="","",INDEX('Line Detail'!$H$6:$H$505,$M205)))</f>
        <v/>
      </c>
      <c r="I205" s="34" t="str">
        <f aca="false">IF($M205=0,"",IF(INDEX('Line Detail'!$O$6:$O$505,$M205)="","",INDEX('Line Detail'!$O$6:$O$505,$M205)))</f>
        <v/>
      </c>
      <c r="J205" s="34" t="str">
        <f aca="false">IF($M205=0,"",IF(INDEX('Line Detail'!$R$6:$R$505,$M205)="","",INDEX('Line Detail'!$R$6:$R$505,$M205)))</f>
        <v/>
      </c>
      <c r="K205" s="6" t="str">
        <f aca="false">IF($M205=0,"",IF(INDEX('Line Detail'!$S$6:$S$505,$M205)="","",INDEX('Line Detail'!$S$6:$S$505,$M205)))</f>
        <v/>
      </c>
      <c r="L205" s="1"/>
      <c r="M205" s="63" t="n">
        <f aca="false">IFERROR(MATCH(200,'Line Detail'!$W$6:$W$505,0),0)</f>
        <v>0</v>
      </c>
    </row>
    <row r="206" customFormat="false" ht="15" hidden="false" customHeight="false" outlineLevel="0" collapsed="false">
      <c r="A206" s="13" t="str">
        <f aca="false">IF($M206=0,"",201)</f>
        <v/>
      </c>
      <c r="B206" s="13" t="str">
        <f aca="false">IF($M206=0,"",IF(INDEX('Line Detail'!$B$6:$B$505,$M206)="","",INDEX('Line Detail'!$B$6:$B$505,$M206)))</f>
        <v/>
      </c>
      <c r="C206" s="13" t="str">
        <f aca="false">IF($M206=0,"",IF(INDEX('Line Detail'!$C$6:$C$505,$M206)="","",INDEX('Line Detail'!$C$6:$C$505,$M206)))</f>
        <v/>
      </c>
      <c r="D206" s="13" t="str">
        <f aca="false">IF($M206=0,"",IF(INDEX('Line Detail'!$D$6:$D$505,$M206)="","",INDEX('Line Detail'!$D$6:$D$505,$M206)))</f>
        <v/>
      </c>
      <c r="E206" s="13" t="str">
        <f aca="false">IF($M206=0,"",IF(INDEX('Line Detail'!$E$6:$E$505,$M206)="","",INDEX('Line Detail'!$E$6:$E$505,$M206)))</f>
        <v/>
      </c>
      <c r="F206" s="6" t="str">
        <f aca="false">IF($M206=0,"",IF(INDEX('Line Detail'!$F$6:$F$505,$M206)="","",INDEX('Line Detail'!$F$6:$F$505,$M206)))</f>
        <v/>
      </c>
      <c r="G206" s="62" t="str">
        <f aca="false">IF($M206=0,"",IF(INDEX('Line Detail'!$G$6:$G$505,$M206)="","",INDEX('Line Detail'!$G$6:$G$505,$M206)))</f>
        <v/>
      </c>
      <c r="H206" s="13" t="str">
        <f aca="false">IF($M206=0,"",IF(INDEX('Line Detail'!$H$6:$H$505,$M206)="","",INDEX('Line Detail'!$H$6:$H$505,$M206)))</f>
        <v/>
      </c>
      <c r="I206" s="34" t="str">
        <f aca="false">IF($M206=0,"",IF(INDEX('Line Detail'!$O$6:$O$505,$M206)="","",INDEX('Line Detail'!$O$6:$O$505,$M206)))</f>
        <v/>
      </c>
      <c r="J206" s="34" t="str">
        <f aca="false">IF($M206=0,"",IF(INDEX('Line Detail'!$R$6:$R$505,$M206)="","",INDEX('Line Detail'!$R$6:$R$505,$M206)))</f>
        <v/>
      </c>
      <c r="K206" s="6" t="str">
        <f aca="false">IF($M206=0,"",IF(INDEX('Line Detail'!$S$6:$S$505,$M206)="","",INDEX('Line Detail'!$S$6:$S$505,$M206)))</f>
        <v/>
      </c>
      <c r="L206" s="1"/>
      <c r="M206" s="63" t="n">
        <f aca="false">IFERROR(MATCH(201,'Line Detail'!$W$6:$W$505,0),0)</f>
        <v>0</v>
      </c>
    </row>
    <row r="207" customFormat="false" ht="15" hidden="false" customHeight="false" outlineLevel="0" collapsed="false">
      <c r="A207" s="13" t="str">
        <f aca="false">IF($M207=0,"",202)</f>
        <v/>
      </c>
      <c r="B207" s="13" t="str">
        <f aca="false">IF($M207=0,"",IF(INDEX('Line Detail'!$B$6:$B$505,$M207)="","",INDEX('Line Detail'!$B$6:$B$505,$M207)))</f>
        <v/>
      </c>
      <c r="C207" s="13" t="str">
        <f aca="false">IF($M207=0,"",IF(INDEX('Line Detail'!$C$6:$C$505,$M207)="","",INDEX('Line Detail'!$C$6:$C$505,$M207)))</f>
        <v/>
      </c>
      <c r="D207" s="13" t="str">
        <f aca="false">IF($M207=0,"",IF(INDEX('Line Detail'!$D$6:$D$505,$M207)="","",INDEX('Line Detail'!$D$6:$D$505,$M207)))</f>
        <v/>
      </c>
      <c r="E207" s="13" t="str">
        <f aca="false">IF($M207=0,"",IF(INDEX('Line Detail'!$E$6:$E$505,$M207)="","",INDEX('Line Detail'!$E$6:$E$505,$M207)))</f>
        <v/>
      </c>
      <c r="F207" s="6" t="str">
        <f aca="false">IF($M207=0,"",IF(INDEX('Line Detail'!$F$6:$F$505,$M207)="","",INDEX('Line Detail'!$F$6:$F$505,$M207)))</f>
        <v/>
      </c>
      <c r="G207" s="62" t="str">
        <f aca="false">IF($M207=0,"",IF(INDEX('Line Detail'!$G$6:$G$505,$M207)="","",INDEX('Line Detail'!$G$6:$G$505,$M207)))</f>
        <v/>
      </c>
      <c r="H207" s="13" t="str">
        <f aca="false">IF($M207=0,"",IF(INDEX('Line Detail'!$H$6:$H$505,$M207)="","",INDEX('Line Detail'!$H$6:$H$505,$M207)))</f>
        <v/>
      </c>
      <c r="I207" s="34" t="str">
        <f aca="false">IF($M207=0,"",IF(INDEX('Line Detail'!$O$6:$O$505,$M207)="","",INDEX('Line Detail'!$O$6:$O$505,$M207)))</f>
        <v/>
      </c>
      <c r="J207" s="34" t="str">
        <f aca="false">IF($M207=0,"",IF(INDEX('Line Detail'!$R$6:$R$505,$M207)="","",INDEX('Line Detail'!$R$6:$R$505,$M207)))</f>
        <v/>
      </c>
      <c r="K207" s="6" t="str">
        <f aca="false">IF($M207=0,"",IF(INDEX('Line Detail'!$S$6:$S$505,$M207)="","",INDEX('Line Detail'!$S$6:$S$505,$M207)))</f>
        <v/>
      </c>
      <c r="L207" s="1"/>
      <c r="M207" s="63" t="n">
        <f aca="false">IFERROR(MATCH(202,'Line Detail'!$W$6:$W$505,0),0)</f>
        <v>0</v>
      </c>
    </row>
    <row r="208" customFormat="false" ht="15" hidden="false" customHeight="false" outlineLevel="0" collapsed="false">
      <c r="A208" s="13" t="str">
        <f aca="false">IF($M208=0,"",203)</f>
        <v/>
      </c>
      <c r="B208" s="13" t="str">
        <f aca="false">IF($M208=0,"",IF(INDEX('Line Detail'!$B$6:$B$505,$M208)="","",INDEX('Line Detail'!$B$6:$B$505,$M208)))</f>
        <v/>
      </c>
      <c r="C208" s="13" t="str">
        <f aca="false">IF($M208=0,"",IF(INDEX('Line Detail'!$C$6:$C$505,$M208)="","",INDEX('Line Detail'!$C$6:$C$505,$M208)))</f>
        <v/>
      </c>
      <c r="D208" s="13" t="str">
        <f aca="false">IF($M208=0,"",IF(INDEX('Line Detail'!$D$6:$D$505,$M208)="","",INDEX('Line Detail'!$D$6:$D$505,$M208)))</f>
        <v/>
      </c>
      <c r="E208" s="13" t="str">
        <f aca="false">IF($M208=0,"",IF(INDEX('Line Detail'!$E$6:$E$505,$M208)="","",INDEX('Line Detail'!$E$6:$E$505,$M208)))</f>
        <v/>
      </c>
      <c r="F208" s="6" t="str">
        <f aca="false">IF($M208=0,"",IF(INDEX('Line Detail'!$F$6:$F$505,$M208)="","",INDEX('Line Detail'!$F$6:$F$505,$M208)))</f>
        <v/>
      </c>
      <c r="G208" s="62" t="str">
        <f aca="false">IF($M208=0,"",IF(INDEX('Line Detail'!$G$6:$G$505,$M208)="","",INDEX('Line Detail'!$G$6:$G$505,$M208)))</f>
        <v/>
      </c>
      <c r="H208" s="13" t="str">
        <f aca="false">IF($M208=0,"",IF(INDEX('Line Detail'!$H$6:$H$505,$M208)="","",INDEX('Line Detail'!$H$6:$H$505,$M208)))</f>
        <v/>
      </c>
      <c r="I208" s="34" t="str">
        <f aca="false">IF($M208=0,"",IF(INDEX('Line Detail'!$O$6:$O$505,$M208)="","",INDEX('Line Detail'!$O$6:$O$505,$M208)))</f>
        <v/>
      </c>
      <c r="J208" s="34" t="str">
        <f aca="false">IF($M208=0,"",IF(INDEX('Line Detail'!$R$6:$R$505,$M208)="","",INDEX('Line Detail'!$R$6:$R$505,$M208)))</f>
        <v/>
      </c>
      <c r="K208" s="6" t="str">
        <f aca="false">IF($M208=0,"",IF(INDEX('Line Detail'!$S$6:$S$505,$M208)="","",INDEX('Line Detail'!$S$6:$S$505,$M208)))</f>
        <v/>
      </c>
      <c r="L208" s="1"/>
      <c r="M208" s="63" t="n">
        <f aca="false">IFERROR(MATCH(203,'Line Detail'!$W$6:$W$505,0),0)</f>
        <v>0</v>
      </c>
    </row>
    <row r="209" customFormat="false" ht="15" hidden="false" customHeight="false" outlineLevel="0" collapsed="false">
      <c r="A209" s="13" t="str">
        <f aca="false">IF($M209=0,"",204)</f>
        <v/>
      </c>
      <c r="B209" s="13" t="str">
        <f aca="false">IF($M209=0,"",IF(INDEX('Line Detail'!$B$6:$B$505,$M209)="","",INDEX('Line Detail'!$B$6:$B$505,$M209)))</f>
        <v/>
      </c>
      <c r="C209" s="13" t="str">
        <f aca="false">IF($M209=0,"",IF(INDEX('Line Detail'!$C$6:$C$505,$M209)="","",INDEX('Line Detail'!$C$6:$C$505,$M209)))</f>
        <v/>
      </c>
      <c r="D209" s="13" t="str">
        <f aca="false">IF($M209=0,"",IF(INDEX('Line Detail'!$D$6:$D$505,$M209)="","",INDEX('Line Detail'!$D$6:$D$505,$M209)))</f>
        <v/>
      </c>
      <c r="E209" s="13" t="str">
        <f aca="false">IF($M209=0,"",IF(INDEX('Line Detail'!$E$6:$E$505,$M209)="","",INDEX('Line Detail'!$E$6:$E$505,$M209)))</f>
        <v/>
      </c>
      <c r="F209" s="6" t="str">
        <f aca="false">IF($M209=0,"",IF(INDEX('Line Detail'!$F$6:$F$505,$M209)="","",INDEX('Line Detail'!$F$6:$F$505,$M209)))</f>
        <v/>
      </c>
      <c r="G209" s="62" t="str">
        <f aca="false">IF($M209=0,"",IF(INDEX('Line Detail'!$G$6:$G$505,$M209)="","",INDEX('Line Detail'!$G$6:$G$505,$M209)))</f>
        <v/>
      </c>
      <c r="H209" s="13" t="str">
        <f aca="false">IF($M209=0,"",IF(INDEX('Line Detail'!$H$6:$H$505,$M209)="","",INDEX('Line Detail'!$H$6:$H$505,$M209)))</f>
        <v/>
      </c>
      <c r="I209" s="34" t="str">
        <f aca="false">IF($M209=0,"",IF(INDEX('Line Detail'!$O$6:$O$505,$M209)="","",INDEX('Line Detail'!$O$6:$O$505,$M209)))</f>
        <v/>
      </c>
      <c r="J209" s="34" t="str">
        <f aca="false">IF($M209=0,"",IF(INDEX('Line Detail'!$R$6:$R$505,$M209)="","",INDEX('Line Detail'!$R$6:$R$505,$M209)))</f>
        <v/>
      </c>
      <c r="K209" s="6" t="str">
        <f aca="false">IF($M209=0,"",IF(INDEX('Line Detail'!$S$6:$S$505,$M209)="","",INDEX('Line Detail'!$S$6:$S$505,$M209)))</f>
        <v/>
      </c>
      <c r="L209" s="1"/>
      <c r="M209" s="63" t="n">
        <f aca="false">IFERROR(MATCH(204,'Line Detail'!$W$6:$W$505,0),0)</f>
        <v>0</v>
      </c>
    </row>
    <row r="210" customFormat="false" ht="15" hidden="false" customHeight="false" outlineLevel="0" collapsed="false">
      <c r="A210" s="13" t="str">
        <f aca="false">IF($M210=0,"",205)</f>
        <v/>
      </c>
      <c r="B210" s="13" t="str">
        <f aca="false">IF($M210=0,"",IF(INDEX('Line Detail'!$B$6:$B$505,$M210)="","",INDEX('Line Detail'!$B$6:$B$505,$M210)))</f>
        <v/>
      </c>
      <c r="C210" s="13" t="str">
        <f aca="false">IF($M210=0,"",IF(INDEX('Line Detail'!$C$6:$C$505,$M210)="","",INDEX('Line Detail'!$C$6:$C$505,$M210)))</f>
        <v/>
      </c>
      <c r="D210" s="13" t="str">
        <f aca="false">IF($M210=0,"",IF(INDEX('Line Detail'!$D$6:$D$505,$M210)="","",INDEX('Line Detail'!$D$6:$D$505,$M210)))</f>
        <v/>
      </c>
      <c r="E210" s="13" t="str">
        <f aca="false">IF($M210=0,"",IF(INDEX('Line Detail'!$E$6:$E$505,$M210)="","",INDEX('Line Detail'!$E$6:$E$505,$M210)))</f>
        <v/>
      </c>
      <c r="F210" s="6" t="str">
        <f aca="false">IF($M210=0,"",IF(INDEX('Line Detail'!$F$6:$F$505,$M210)="","",INDEX('Line Detail'!$F$6:$F$505,$M210)))</f>
        <v/>
      </c>
      <c r="G210" s="62" t="str">
        <f aca="false">IF($M210=0,"",IF(INDEX('Line Detail'!$G$6:$G$505,$M210)="","",INDEX('Line Detail'!$G$6:$G$505,$M210)))</f>
        <v/>
      </c>
      <c r="H210" s="13" t="str">
        <f aca="false">IF($M210=0,"",IF(INDEX('Line Detail'!$H$6:$H$505,$M210)="","",INDEX('Line Detail'!$H$6:$H$505,$M210)))</f>
        <v/>
      </c>
      <c r="I210" s="34" t="str">
        <f aca="false">IF($M210=0,"",IF(INDEX('Line Detail'!$O$6:$O$505,$M210)="","",INDEX('Line Detail'!$O$6:$O$505,$M210)))</f>
        <v/>
      </c>
      <c r="J210" s="34" t="str">
        <f aca="false">IF($M210=0,"",IF(INDEX('Line Detail'!$R$6:$R$505,$M210)="","",INDEX('Line Detail'!$R$6:$R$505,$M210)))</f>
        <v/>
      </c>
      <c r="K210" s="6" t="str">
        <f aca="false">IF($M210=0,"",IF(INDEX('Line Detail'!$S$6:$S$505,$M210)="","",INDEX('Line Detail'!$S$6:$S$505,$M210)))</f>
        <v/>
      </c>
      <c r="L210" s="1"/>
      <c r="M210" s="63" t="n">
        <f aca="false">IFERROR(MATCH(205,'Line Detail'!$W$6:$W$505,0),0)</f>
        <v>0</v>
      </c>
    </row>
    <row r="211" customFormat="false" ht="15" hidden="false" customHeight="false" outlineLevel="0" collapsed="false">
      <c r="A211" s="13" t="str">
        <f aca="false">IF($M211=0,"",206)</f>
        <v/>
      </c>
      <c r="B211" s="13" t="str">
        <f aca="false">IF($M211=0,"",IF(INDEX('Line Detail'!$B$6:$B$505,$M211)="","",INDEX('Line Detail'!$B$6:$B$505,$M211)))</f>
        <v/>
      </c>
      <c r="C211" s="13" t="str">
        <f aca="false">IF($M211=0,"",IF(INDEX('Line Detail'!$C$6:$C$505,$M211)="","",INDEX('Line Detail'!$C$6:$C$505,$M211)))</f>
        <v/>
      </c>
      <c r="D211" s="13" t="str">
        <f aca="false">IF($M211=0,"",IF(INDEX('Line Detail'!$D$6:$D$505,$M211)="","",INDEX('Line Detail'!$D$6:$D$505,$M211)))</f>
        <v/>
      </c>
      <c r="E211" s="13" t="str">
        <f aca="false">IF($M211=0,"",IF(INDEX('Line Detail'!$E$6:$E$505,$M211)="","",INDEX('Line Detail'!$E$6:$E$505,$M211)))</f>
        <v/>
      </c>
      <c r="F211" s="6" t="str">
        <f aca="false">IF($M211=0,"",IF(INDEX('Line Detail'!$F$6:$F$505,$M211)="","",INDEX('Line Detail'!$F$6:$F$505,$M211)))</f>
        <v/>
      </c>
      <c r="G211" s="62" t="str">
        <f aca="false">IF($M211=0,"",IF(INDEX('Line Detail'!$G$6:$G$505,$M211)="","",INDEX('Line Detail'!$G$6:$G$505,$M211)))</f>
        <v/>
      </c>
      <c r="H211" s="13" t="str">
        <f aca="false">IF($M211=0,"",IF(INDEX('Line Detail'!$H$6:$H$505,$M211)="","",INDEX('Line Detail'!$H$6:$H$505,$M211)))</f>
        <v/>
      </c>
      <c r="I211" s="34" t="str">
        <f aca="false">IF($M211=0,"",IF(INDEX('Line Detail'!$O$6:$O$505,$M211)="","",INDEX('Line Detail'!$O$6:$O$505,$M211)))</f>
        <v/>
      </c>
      <c r="J211" s="34" t="str">
        <f aca="false">IF($M211=0,"",IF(INDEX('Line Detail'!$R$6:$R$505,$M211)="","",INDEX('Line Detail'!$R$6:$R$505,$M211)))</f>
        <v/>
      </c>
      <c r="K211" s="6" t="str">
        <f aca="false">IF($M211=0,"",IF(INDEX('Line Detail'!$S$6:$S$505,$M211)="","",INDEX('Line Detail'!$S$6:$S$505,$M211)))</f>
        <v/>
      </c>
      <c r="L211" s="1"/>
      <c r="M211" s="63" t="n">
        <f aca="false">IFERROR(MATCH(206,'Line Detail'!$W$6:$W$505,0),0)</f>
        <v>0</v>
      </c>
    </row>
    <row r="212" customFormat="false" ht="15" hidden="false" customHeight="false" outlineLevel="0" collapsed="false">
      <c r="A212" s="13" t="str">
        <f aca="false">IF($M212=0,"",207)</f>
        <v/>
      </c>
      <c r="B212" s="13" t="str">
        <f aca="false">IF($M212=0,"",IF(INDEX('Line Detail'!$B$6:$B$505,$M212)="","",INDEX('Line Detail'!$B$6:$B$505,$M212)))</f>
        <v/>
      </c>
      <c r="C212" s="13" t="str">
        <f aca="false">IF($M212=0,"",IF(INDEX('Line Detail'!$C$6:$C$505,$M212)="","",INDEX('Line Detail'!$C$6:$C$505,$M212)))</f>
        <v/>
      </c>
      <c r="D212" s="13" t="str">
        <f aca="false">IF($M212=0,"",IF(INDEX('Line Detail'!$D$6:$D$505,$M212)="","",INDEX('Line Detail'!$D$6:$D$505,$M212)))</f>
        <v/>
      </c>
      <c r="E212" s="13" t="str">
        <f aca="false">IF($M212=0,"",IF(INDEX('Line Detail'!$E$6:$E$505,$M212)="","",INDEX('Line Detail'!$E$6:$E$505,$M212)))</f>
        <v/>
      </c>
      <c r="F212" s="6" t="str">
        <f aca="false">IF($M212=0,"",IF(INDEX('Line Detail'!$F$6:$F$505,$M212)="","",INDEX('Line Detail'!$F$6:$F$505,$M212)))</f>
        <v/>
      </c>
      <c r="G212" s="62" t="str">
        <f aca="false">IF($M212=0,"",IF(INDEX('Line Detail'!$G$6:$G$505,$M212)="","",INDEX('Line Detail'!$G$6:$G$505,$M212)))</f>
        <v/>
      </c>
      <c r="H212" s="13" t="str">
        <f aca="false">IF($M212=0,"",IF(INDEX('Line Detail'!$H$6:$H$505,$M212)="","",INDEX('Line Detail'!$H$6:$H$505,$M212)))</f>
        <v/>
      </c>
      <c r="I212" s="34" t="str">
        <f aca="false">IF($M212=0,"",IF(INDEX('Line Detail'!$O$6:$O$505,$M212)="","",INDEX('Line Detail'!$O$6:$O$505,$M212)))</f>
        <v/>
      </c>
      <c r="J212" s="34" t="str">
        <f aca="false">IF($M212=0,"",IF(INDEX('Line Detail'!$R$6:$R$505,$M212)="","",INDEX('Line Detail'!$R$6:$R$505,$M212)))</f>
        <v/>
      </c>
      <c r="K212" s="6" t="str">
        <f aca="false">IF($M212=0,"",IF(INDEX('Line Detail'!$S$6:$S$505,$M212)="","",INDEX('Line Detail'!$S$6:$S$505,$M212)))</f>
        <v/>
      </c>
      <c r="L212" s="1"/>
      <c r="M212" s="63" t="n">
        <f aca="false">IFERROR(MATCH(207,'Line Detail'!$W$6:$W$505,0),0)</f>
        <v>0</v>
      </c>
    </row>
    <row r="213" customFormat="false" ht="15" hidden="false" customHeight="false" outlineLevel="0" collapsed="false">
      <c r="A213" s="13" t="str">
        <f aca="false">IF($M213=0,"",208)</f>
        <v/>
      </c>
      <c r="B213" s="13" t="str">
        <f aca="false">IF($M213=0,"",IF(INDEX('Line Detail'!$B$6:$B$505,$M213)="","",INDEX('Line Detail'!$B$6:$B$505,$M213)))</f>
        <v/>
      </c>
      <c r="C213" s="13" t="str">
        <f aca="false">IF($M213=0,"",IF(INDEX('Line Detail'!$C$6:$C$505,$M213)="","",INDEX('Line Detail'!$C$6:$C$505,$M213)))</f>
        <v/>
      </c>
      <c r="D213" s="13" t="str">
        <f aca="false">IF($M213=0,"",IF(INDEX('Line Detail'!$D$6:$D$505,$M213)="","",INDEX('Line Detail'!$D$6:$D$505,$M213)))</f>
        <v/>
      </c>
      <c r="E213" s="13" t="str">
        <f aca="false">IF($M213=0,"",IF(INDEX('Line Detail'!$E$6:$E$505,$M213)="","",INDEX('Line Detail'!$E$6:$E$505,$M213)))</f>
        <v/>
      </c>
      <c r="F213" s="6" t="str">
        <f aca="false">IF($M213=0,"",IF(INDEX('Line Detail'!$F$6:$F$505,$M213)="","",INDEX('Line Detail'!$F$6:$F$505,$M213)))</f>
        <v/>
      </c>
      <c r="G213" s="62" t="str">
        <f aca="false">IF($M213=0,"",IF(INDEX('Line Detail'!$G$6:$G$505,$M213)="","",INDEX('Line Detail'!$G$6:$G$505,$M213)))</f>
        <v/>
      </c>
      <c r="H213" s="13" t="str">
        <f aca="false">IF($M213=0,"",IF(INDEX('Line Detail'!$H$6:$H$505,$M213)="","",INDEX('Line Detail'!$H$6:$H$505,$M213)))</f>
        <v/>
      </c>
      <c r="I213" s="34" t="str">
        <f aca="false">IF($M213=0,"",IF(INDEX('Line Detail'!$O$6:$O$505,$M213)="","",INDEX('Line Detail'!$O$6:$O$505,$M213)))</f>
        <v/>
      </c>
      <c r="J213" s="34" t="str">
        <f aca="false">IF($M213=0,"",IF(INDEX('Line Detail'!$R$6:$R$505,$M213)="","",INDEX('Line Detail'!$R$6:$R$505,$M213)))</f>
        <v/>
      </c>
      <c r="K213" s="6" t="str">
        <f aca="false">IF($M213=0,"",IF(INDEX('Line Detail'!$S$6:$S$505,$M213)="","",INDEX('Line Detail'!$S$6:$S$505,$M213)))</f>
        <v/>
      </c>
      <c r="L213" s="1"/>
      <c r="M213" s="63" t="n">
        <f aca="false">IFERROR(MATCH(208,'Line Detail'!$W$6:$W$505,0),0)</f>
        <v>0</v>
      </c>
    </row>
    <row r="214" customFormat="false" ht="15" hidden="false" customHeight="false" outlineLevel="0" collapsed="false">
      <c r="A214" s="13" t="str">
        <f aca="false">IF($M214=0,"",209)</f>
        <v/>
      </c>
      <c r="B214" s="13" t="str">
        <f aca="false">IF($M214=0,"",IF(INDEX('Line Detail'!$B$6:$B$505,$M214)="","",INDEX('Line Detail'!$B$6:$B$505,$M214)))</f>
        <v/>
      </c>
      <c r="C214" s="13" t="str">
        <f aca="false">IF($M214=0,"",IF(INDEX('Line Detail'!$C$6:$C$505,$M214)="","",INDEX('Line Detail'!$C$6:$C$505,$M214)))</f>
        <v/>
      </c>
      <c r="D214" s="13" t="str">
        <f aca="false">IF($M214=0,"",IF(INDEX('Line Detail'!$D$6:$D$505,$M214)="","",INDEX('Line Detail'!$D$6:$D$505,$M214)))</f>
        <v/>
      </c>
      <c r="E214" s="13" t="str">
        <f aca="false">IF($M214=0,"",IF(INDEX('Line Detail'!$E$6:$E$505,$M214)="","",INDEX('Line Detail'!$E$6:$E$505,$M214)))</f>
        <v/>
      </c>
      <c r="F214" s="6" t="str">
        <f aca="false">IF($M214=0,"",IF(INDEX('Line Detail'!$F$6:$F$505,$M214)="","",INDEX('Line Detail'!$F$6:$F$505,$M214)))</f>
        <v/>
      </c>
      <c r="G214" s="62" t="str">
        <f aca="false">IF($M214=0,"",IF(INDEX('Line Detail'!$G$6:$G$505,$M214)="","",INDEX('Line Detail'!$G$6:$G$505,$M214)))</f>
        <v/>
      </c>
      <c r="H214" s="13" t="str">
        <f aca="false">IF($M214=0,"",IF(INDEX('Line Detail'!$H$6:$H$505,$M214)="","",INDEX('Line Detail'!$H$6:$H$505,$M214)))</f>
        <v/>
      </c>
      <c r="I214" s="34" t="str">
        <f aca="false">IF($M214=0,"",IF(INDEX('Line Detail'!$O$6:$O$505,$M214)="","",INDEX('Line Detail'!$O$6:$O$505,$M214)))</f>
        <v/>
      </c>
      <c r="J214" s="34" t="str">
        <f aca="false">IF($M214=0,"",IF(INDEX('Line Detail'!$R$6:$R$505,$M214)="","",INDEX('Line Detail'!$R$6:$R$505,$M214)))</f>
        <v/>
      </c>
      <c r="K214" s="6" t="str">
        <f aca="false">IF($M214=0,"",IF(INDEX('Line Detail'!$S$6:$S$505,$M214)="","",INDEX('Line Detail'!$S$6:$S$505,$M214)))</f>
        <v/>
      </c>
      <c r="L214" s="1"/>
      <c r="M214" s="63" t="n">
        <f aca="false">IFERROR(MATCH(209,'Line Detail'!$W$6:$W$505,0),0)</f>
        <v>0</v>
      </c>
    </row>
    <row r="215" customFormat="false" ht="15" hidden="false" customHeight="false" outlineLevel="0" collapsed="false">
      <c r="A215" s="13" t="str">
        <f aca="false">IF($M215=0,"",210)</f>
        <v/>
      </c>
      <c r="B215" s="13" t="str">
        <f aca="false">IF($M215=0,"",IF(INDEX('Line Detail'!$B$6:$B$505,$M215)="","",INDEX('Line Detail'!$B$6:$B$505,$M215)))</f>
        <v/>
      </c>
      <c r="C215" s="13" t="str">
        <f aca="false">IF($M215=0,"",IF(INDEX('Line Detail'!$C$6:$C$505,$M215)="","",INDEX('Line Detail'!$C$6:$C$505,$M215)))</f>
        <v/>
      </c>
      <c r="D215" s="13" t="str">
        <f aca="false">IF($M215=0,"",IF(INDEX('Line Detail'!$D$6:$D$505,$M215)="","",INDEX('Line Detail'!$D$6:$D$505,$M215)))</f>
        <v/>
      </c>
      <c r="E215" s="13" t="str">
        <f aca="false">IF($M215=0,"",IF(INDEX('Line Detail'!$E$6:$E$505,$M215)="","",INDEX('Line Detail'!$E$6:$E$505,$M215)))</f>
        <v/>
      </c>
      <c r="F215" s="6" t="str">
        <f aca="false">IF($M215=0,"",IF(INDEX('Line Detail'!$F$6:$F$505,$M215)="","",INDEX('Line Detail'!$F$6:$F$505,$M215)))</f>
        <v/>
      </c>
      <c r="G215" s="62" t="str">
        <f aca="false">IF($M215=0,"",IF(INDEX('Line Detail'!$G$6:$G$505,$M215)="","",INDEX('Line Detail'!$G$6:$G$505,$M215)))</f>
        <v/>
      </c>
      <c r="H215" s="13" t="str">
        <f aca="false">IF($M215=0,"",IF(INDEX('Line Detail'!$H$6:$H$505,$M215)="","",INDEX('Line Detail'!$H$6:$H$505,$M215)))</f>
        <v/>
      </c>
      <c r="I215" s="34" t="str">
        <f aca="false">IF($M215=0,"",IF(INDEX('Line Detail'!$O$6:$O$505,$M215)="","",INDEX('Line Detail'!$O$6:$O$505,$M215)))</f>
        <v/>
      </c>
      <c r="J215" s="34" t="str">
        <f aca="false">IF($M215=0,"",IF(INDEX('Line Detail'!$R$6:$R$505,$M215)="","",INDEX('Line Detail'!$R$6:$R$505,$M215)))</f>
        <v/>
      </c>
      <c r="K215" s="6" t="str">
        <f aca="false">IF($M215=0,"",IF(INDEX('Line Detail'!$S$6:$S$505,$M215)="","",INDEX('Line Detail'!$S$6:$S$505,$M215)))</f>
        <v/>
      </c>
      <c r="L215" s="1"/>
      <c r="M215" s="63" t="n">
        <f aca="false">IFERROR(MATCH(210,'Line Detail'!$W$6:$W$505,0),0)</f>
        <v>0</v>
      </c>
    </row>
    <row r="216" customFormat="false" ht="15" hidden="false" customHeight="false" outlineLevel="0" collapsed="false">
      <c r="A216" s="13" t="str">
        <f aca="false">IF($M216=0,"",211)</f>
        <v/>
      </c>
      <c r="B216" s="13" t="str">
        <f aca="false">IF($M216=0,"",IF(INDEX('Line Detail'!$B$6:$B$505,$M216)="","",INDEX('Line Detail'!$B$6:$B$505,$M216)))</f>
        <v/>
      </c>
      <c r="C216" s="13" t="str">
        <f aca="false">IF($M216=0,"",IF(INDEX('Line Detail'!$C$6:$C$505,$M216)="","",INDEX('Line Detail'!$C$6:$C$505,$M216)))</f>
        <v/>
      </c>
      <c r="D216" s="13" t="str">
        <f aca="false">IF($M216=0,"",IF(INDEX('Line Detail'!$D$6:$D$505,$M216)="","",INDEX('Line Detail'!$D$6:$D$505,$M216)))</f>
        <v/>
      </c>
      <c r="E216" s="13" t="str">
        <f aca="false">IF($M216=0,"",IF(INDEX('Line Detail'!$E$6:$E$505,$M216)="","",INDEX('Line Detail'!$E$6:$E$505,$M216)))</f>
        <v/>
      </c>
      <c r="F216" s="6" t="str">
        <f aca="false">IF($M216=0,"",IF(INDEX('Line Detail'!$F$6:$F$505,$M216)="","",INDEX('Line Detail'!$F$6:$F$505,$M216)))</f>
        <v/>
      </c>
      <c r="G216" s="62" t="str">
        <f aca="false">IF($M216=0,"",IF(INDEX('Line Detail'!$G$6:$G$505,$M216)="","",INDEX('Line Detail'!$G$6:$G$505,$M216)))</f>
        <v/>
      </c>
      <c r="H216" s="13" t="str">
        <f aca="false">IF($M216=0,"",IF(INDEX('Line Detail'!$H$6:$H$505,$M216)="","",INDEX('Line Detail'!$H$6:$H$505,$M216)))</f>
        <v/>
      </c>
      <c r="I216" s="34" t="str">
        <f aca="false">IF($M216=0,"",IF(INDEX('Line Detail'!$O$6:$O$505,$M216)="","",INDEX('Line Detail'!$O$6:$O$505,$M216)))</f>
        <v/>
      </c>
      <c r="J216" s="34" t="str">
        <f aca="false">IF($M216=0,"",IF(INDEX('Line Detail'!$R$6:$R$505,$M216)="","",INDEX('Line Detail'!$R$6:$R$505,$M216)))</f>
        <v/>
      </c>
      <c r="K216" s="6" t="str">
        <f aca="false">IF($M216=0,"",IF(INDEX('Line Detail'!$S$6:$S$505,$M216)="","",INDEX('Line Detail'!$S$6:$S$505,$M216)))</f>
        <v/>
      </c>
      <c r="L216" s="1"/>
      <c r="M216" s="63" t="n">
        <f aca="false">IFERROR(MATCH(211,'Line Detail'!$W$6:$W$505,0),0)</f>
        <v>0</v>
      </c>
    </row>
    <row r="217" customFormat="false" ht="15" hidden="false" customHeight="false" outlineLevel="0" collapsed="false">
      <c r="A217" s="13" t="str">
        <f aca="false">IF($M217=0,"",212)</f>
        <v/>
      </c>
      <c r="B217" s="13" t="str">
        <f aca="false">IF($M217=0,"",IF(INDEX('Line Detail'!$B$6:$B$505,$M217)="","",INDEX('Line Detail'!$B$6:$B$505,$M217)))</f>
        <v/>
      </c>
      <c r="C217" s="13" t="str">
        <f aca="false">IF($M217=0,"",IF(INDEX('Line Detail'!$C$6:$C$505,$M217)="","",INDEX('Line Detail'!$C$6:$C$505,$M217)))</f>
        <v/>
      </c>
      <c r="D217" s="13" t="str">
        <f aca="false">IF($M217=0,"",IF(INDEX('Line Detail'!$D$6:$D$505,$M217)="","",INDEX('Line Detail'!$D$6:$D$505,$M217)))</f>
        <v/>
      </c>
      <c r="E217" s="13" t="str">
        <f aca="false">IF($M217=0,"",IF(INDEX('Line Detail'!$E$6:$E$505,$M217)="","",INDEX('Line Detail'!$E$6:$E$505,$M217)))</f>
        <v/>
      </c>
      <c r="F217" s="6" t="str">
        <f aca="false">IF($M217=0,"",IF(INDEX('Line Detail'!$F$6:$F$505,$M217)="","",INDEX('Line Detail'!$F$6:$F$505,$M217)))</f>
        <v/>
      </c>
      <c r="G217" s="62" t="str">
        <f aca="false">IF($M217=0,"",IF(INDEX('Line Detail'!$G$6:$G$505,$M217)="","",INDEX('Line Detail'!$G$6:$G$505,$M217)))</f>
        <v/>
      </c>
      <c r="H217" s="13" t="str">
        <f aca="false">IF($M217=0,"",IF(INDEX('Line Detail'!$H$6:$H$505,$M217)="","",INDEX('Line Detail'!$H$6:$H$505,$M217)))</f>
        <v/>
      </c>
      <c r="I217" s="34" t="str">
        <f aca="false">IF($M217=0,"",IF(INDEX('Line Detail'!$O$6:$O$505,$M217)="","",INDEX('Line Detail'!$O$6:$O$505,$M217)))</f>
        <v/>
      </c>
      <c r="J217" s="34" t="str">
        <f aca="false">IF($M217=0,"",IF(INDEX('Line Detail'!$R$6:$R$505,$M217)="","",INDEX('Line Detail'!$R$6:$R$505,$M217)))</f>
        <v/>
      </c>
      <c r="K217" s="6" t="str">
        <f aca="false">IF($M217=0,"",IF(INDEX('Line Detail'!$S$6:$S$505,$M217)="","",INDEX('Line Detail'!$S$6:$S$505,$M217)))</f>
        <v/>
      </c>
      <c r="L217" s="1"/>
      <c r="M217" s="63" t="n">
        <f aca="false">IFERROR(MATCH(212,'Line Detail'!$W$6:$W$505,0),0)</f>
        <v>0</v>
      </c>
    </row>
    <row r="218" customFormat="false" ht="15" hidden="false" customHeight="false" outlineLevel="0" collapsed="false">
      <c r="A218" s="13" t="str">
        <f aca="false">IF($M218=0,"",213)</f>
        <v/>
      </c>
      <c r="B218" s="13" t="str">
        <f aca="false">IF($M218=0,"",IF(INDEX('Line Detail'!$B$6:$B$505,$M218)="","",INDEX('Line Detail'!$B$6:$B$505,$M218)))</f>
        <v/>
      </c>
      <c r="C218" s="13" t="str">
        <f aca="false">IF($M218=0,"",IF(INDEX('Line Detail'!$C$6:$C$505,$M218)="","",INDEX('Line Detail'!$C$6:$C$505,$M218)))</f>
        <v/>
      </c>
      <c r="D218" s="13" t="str">
        <f aca="false">IF($M218=0,"",IF(INDEX('Line Detail'!$D$6:$D$505,$M218)="","",INDEX('Line Detail'!$D$6:$D$505,$M218)))</f>
        <v/>
      </c>
      <c r="E218" s="13" t="str">
        <f aca="false">IF($M218=0,"",IF(INDEX('Line Detail'!$E$6:$E$505,$M218)="","",INDEX('Line Detail'!$E$6:$E$505,$M218)))</f>
        <v/>
      </c>
      <c r="F218" s="6" t="str">
        <f aca="false">IF($M218=0,"",IF(INDEX('Line Detail'!$F$6:$F$505,$M218)="","",INDEX('Line Detail'!$F$6:$F$505,$M218)))</f>
        <v/>
      </c>
      <c r="G218" s="62" t="str">
        <f aca="false">IF($M218=0,"",IF(INDEX('Line Detail'!$G$6:$G$505,$M218)="","",INDEX('Line Detail'!$G$6:$G$505,$M218)))</f>
        <v/>
      </c>
      <c r="H218" s="13" t="str">
        <f aca="false">IF($M218=0,"",IF(INDEX('Line Detail'!$H$6:$H$505,$M218)="","",INDEX('Line Detail'!$H$6:$H$505,$M218)))</f>
        <v/>
      </c>
      <c r="I218" s="34" t="str">
        <f aca="false">IF($M218=0,"",IF(INDEX('Line Detail'!$O$6:$O$505,$M218)="","",INDEX('Line Detail'!$O$6:$O$505,$M218)))</f>
        <v/>
      </c>
      <c r="J218" s="34" t="str">
        <f aca="false">IF($M218=0,"",IF(INDEX('Line Detail'!$R$6:$R$505,$M218)="","",INDEX('Line Detail'!$R$6:$R$505,$M218)))</f>
        <v/>
      </c>
      <c r="K218" s="6" t="str">
        <f aca="false">IF($M218=0,"",IF(INDEX('Line Detail'!$S$6:$S$505,$M218)="","",INDEX('Line Detail'!$S$6:$S$505,$M218)))</f>
        <v/>
      </c>
      <c r="L218" s="1"/>
      <c r="M218" s="63" t="n">
        <f aca="false">IFERROR(MATCH(213,'Line Detail'!$W$6:$W$505,0),0)</f>
        <v>0</v>
      </c>
    </row>
    <row r="219" customFormat="false" ht="15" hidden="false" customHeight="false" outlineLevel="0" collapsed="false">
      <c r="A219" s="13" t="str">
        <f aca="false">IF($M219=0,"",214)</f>
        <v/>
      </c>
      <c r="B219" s="13" t="str">
        <f aca="false">IF($M219=0,"",IF(INDEX('Line Detail'!$B$6:$B$505,$M219)="","",INDEX('Line Detail'!$B$6:$B$505,$M219)))</f>
        <v/>
      </c>
      <c r="C219" s="13" t="str">
        <f aca="false">IF($M219=0,"",IF(INDEX('Line Detail'!$C$6:$C$505,$M219)="","",INDEX('Line Detail'!$C$6:$C$505,$M219)))</f>
        <v/>
      </c>
      <c r="D219" s="13" t="str">
        <f aca="false">IF($M219=0,"",IF(INDEX('Line Detail'!$D$6:$D$505,$M219)="","",INDEX('Line Detail'!$D$6:$D$505,$M219)))</f>
        <v/>
      </c>
      <c r="E219" s="13" t="str">
        <f aca="false">IF($M219=0,"",IF(INDEX('Line Detail'!$E$6:$E$505,$M219)="","",INDEX('Line Detail'!$E$6:$E$505,$M219)))</f>
        <v/>
      </c>
      <c r="F219" s="6" t="str">
        <f aca="false">IF($M219=0,"",IF(INDEX('Line Detail'!$F$6:$F$505,$M219)="","",INDEX('Line Detail'!$F$6:$F$505,$M219)))</f>
        <v/>
      </c>
      <c r="G219" s="62" t="str">
        <f aca="false">IF($M219=0,"",IF(INDEX('Line Detail'!$G$6:$G$505,$M219)="","",INDEX('Line Detail'!$G$6:$G$505,$M219)))</f>
        <v/>
      </c>
      <c r="H219" s="13" t="str">
        <f aca="false">IF($M219=0,"",IF(INDEX('Line Detail'!$H$6:$H$505,$M219)="","",INDEX('Line Detail'!$H$6:$H$505,$M219)))</f>
        <v/>
      </c>
      <c r="I219" s="34" t="str">
        <f aca="false">IF($M219=0,"",IF(INDEX('Line Detail'!$O$6:$O$505,$M219)="","",INDEX('Line Detail'!$O$6:$O$505,$M219)))</f>
        <v/>
      </c>
      <c r="J219" s="34" t="str">
        <f aca="false">IF($M219=0,"",IF(INDEX('Line Detail'!$R$6:$R$505,$M219)="","",INDEX('Line Detail'!$R$6:$R$505,$M219)))</f>
        <v/>
      </c>
      <c r="K219" s="6" t="str">
        <f aca="false">IF($M219=0,"",IF(INDEX('Line Detail'!$S$6:$S$505,$M219)="","",INDEX('Line Detail'!$S$6:$S$505,$M219)))</f>
        <v/>
      </c>
      <c r="L219" s="1"/>
      <c r="M219" s="63" t="n">
        <f aca="false">IFERROR(MATCH(214,'Line Detail'!$W$6:$W$505,0),0)</f>
        <v>0</v>
      </c>
    </row>
    <row r="220" customFormat="false" ht="15" hidden="false" customHeight="false" outlineLevel="0" collapsed="false">
      <c r="A220" s="13" t="str">
        <f aca="false">IF($M220=0,"",215)</f>
        <v/>
      </c>
      <c r="B220" s="13" t="str">
        <f aca="false">IF($M220=0,"",IF(INDEX('Line Detail'!$B$6:$B$505,$M220)="","",INDEX('Line Detail'!$B$6:$B$505,$M220)))</f>
        <v/>
      </c>
      <c r="C220" s="13" t="str">
        <f aca="false">IF($M220=0,"",IF(INDEX('Line Detail'!$C$6:$C$505,$M220)="","",INDEX('Line Detail'!$C$6:$C$505,$M220)))</f>
        <v/>
      </c>
      <c r="D220" s="13" t="str">
        <f aca="false">IF($M220=0,"",IF(INDEX('Line Detail'!$D$6:$D$505,$M220)="","",INDEX('Line Detail'!$D$6:$D$505,$M220)))</f>
        <v/>
      </c>
      <c r="E220" s="13" t="str">
        <f aca="false">IF($M220=0,"",IF(INDEX('Line Detail'!$E$6:$E$505,$M220)="","",INDEX('Line Detail'!$E$6:$E$505,$M220)))</f>
        <v/>
      </c>
      <c r="F220" s="6" t="str">
        <f aca="false">IF($M220=0,"",IF(INDEX('Line Detail'!$F$6:$F$505,$M220)="","",INDEX('Line Detail'!$F$6:$F$505,$M220)))</f>
        <v/>
      </c>
      <c r="G220" s="62" t="str">
        <f aca="false">IF($M220=0,"",IF(INDEX('Line Detail'!$G$6:$G$505,$M220)="","",INDEX('Line Detail'!$G$6:$G$505,$M220)))</f>
        <v/>
      </c>
      <c r="H220" s="13" t="str">
        <f aca="false">IF($M220=0,"",IF(INDEX('Line Detail'!$H$6:$H$505,$M220)="","",INDEX('Line Detail'!$H$6:$H$505,$M220)))</f>
        <v/>
      </c>
      <c r="I220" s="34" t="str">
        <f aca="false">IF($M220=0,"",IF(INDEX('Line Detail'!$O$6:$O$505,$M220)="","",INDEX('Line Detail'!$O$6:$O$505,$M220)))</f>
        <v/>
      </c>
      <c r="J220" s="34" t="str">
        <f aca="false">IF($M220=0,"",IF(INDEX('Line Detail'!$R$6:$R$505,$M220)="","",INDEX('Line Detail'!$R$6:$R$505,$M220)))</f>
        <v/>
      </c>
      <c r="K220" s="6" t="str">
        <f aca="false">IF($M220=0,"",IF(INDEX('Line Detail'!$S$6:$S$505,$M220)="","",INDEX('Line Detail'!$S$6:$S$505,$M220)))</f>
        <v/>
      </c>
      <c r="L220" s="1"/>
      <c r="M220" s="63" t="n">
        <f aca="false">IFERROR(MATCH(215,'Line Detail'!$W$6:$W$505,0),0)</f>
        <v>0</v>
      </c>
    </row>
    <row r="221" customFormat="false" ht="15" hidden="false" customHeight="false" outlineLevel="0" collapsed="false">
      <c r="A221" s="13" t="str">
        <f aca="false">IF($M221=0,"",216)</f>
        <v/>
      </c>
      <c r="B221" s="13" t="str">
        <f aca="false">IF($M221=0,"",IF(INDEX('Line Detail'!$B$6:$B$505,$M221)="","",INDEX('Line Detail'!$B$6:$B$505,$M221)))</f>
        <v/>
      </c>
      <c r="C221" s="13" t="str">
        <f aca="false">IF($M221=0,"",IF(INDEX('Line Detail'!$C$6:$C$505,$M221)="","",INDEX('Line Detail'!$C$6:$C$505,$M221)))</f>
        <v/>
      </c>
      <c r="D221" s="13" t="str">
        <f aca="false">IF($M221=0,"",IF(INDEX('Line Detail'!$D$6:$D$505,$M221)="","",INDEX('Line Detail'!$D$6:$D$505,$M221)))</f>
        <v/>
      </c>
      <c r="E221" s="13" t="str">
        <f aca="false">IF($M221=0,"",IF(INDEX('Line Detail'!$E$6:$E$505,$M221)="","",INDEX('Line Detail'!$E$6:$E$505,$M221)))</f>
        <v/>
      </c>
      <c r="F221" s="6" t="str">
        <f aca="false">IF($M221=0,"",IF(INDEX('Line Detail'!$F$6:$F$505,$M221)="","",INDEX('Line Detail'!$F$6:$F$505,$M221)))</f>
        <v/>
      </c>
      <c r="G221" s="62" t="str">
        <f aca="false">IF($M221=0,"",IF(INDEX('Line Detail'!$G$6:$G$505,$M221)="","",INDEX('Line Detail'!$G$6:$G$505,$M221)))</f>
        <v/>
      </c>
      <c r="H221" s="13" t="str">
        <f aca="false">IF($M221=0,"",IF(INDEX('Line Detail'!$H$6:$H$505,$M221)="","",INDEX('Line Detail'!$H$6:$H$505,$M221)))</f>
        <v/>
      </c>
      <c r="I221" s="34" t="str">
        <f aca="false">IF($M221=0,"",IF(INDEX('Line Detail'!$O$6:$O$505,$M221)="","",INDEX('Line Detail'!$O$6:$O$505,$M221)))</f>
        <v/>
      </c>
      <c r="J221" s="34" t="str">
        <f aca="false">IF($M221=0,"",IF(INDEX('Line Detail'!$R$6:$R$505,$M221)="","",INDEX('Line Detail'!$R$6:$R$505,$M221)))</f>
        <v/>
      </c>
      <c r="K221" s="6" t="str">
        <f aca="false">IF($M221=0,"",IF(INDEX('Line Detail'!$S$6:$S$505,$M221)="","",INDEX('Line Detail'!$S$6:$S$505,$M221)))</f>
        <v/>
      </c>
      <c r="L221" s="1"/>
      <c r="M221" s="63" t="n">
        <f aca="false">IFERROR(MATCH(216,'Line Detail'!$W$6:$W$505,0),0)</f>
        <v>0</v>
      </c>
    </row>
    <row r="222" customFormat="false" ht="15" hidden="false" customHeight="false" outlineLevel="0" collapsed="false">
      <c r="A222" s="13" t="str">
        <f aca="false">IF($M222=0,"",217)</f>
        <v/>
      </c>
      <c r="B222" s="13" t="str">
        <f aca="false">IF($M222=0,"",IF(INDEX('Line Detail'!$B$6:$B$505,$M222)="","",INDEX('Line Detail'!$B$6:$B$505,$M222)))</f>
        <v/>
      </c>
      <c r="C222" s="13" t="str">
        <f aca="false">IF($M222=0,"",IF(INDEX('Line Detail'!$C$6:$C$505,$M222)="","",INDEX('Line Detail'!$C$6:$C$505,$M222)))</f>
        <v/>
      </c>
      <c r="D222" s="13" t="str">
        <f aca="false">IF($M222=0,"",IF(INDEX('Line Detail'!$D$6:$D$505,$M222)="","",INDEX('Line Detail'!$D$6:$D$505,$M222)))</f>
        <v/>
      </c>
      <c r="E222" s="13" t="str">
        <f aca="false">IF($M222=0,"",IF(INDEX('Line Detail'!$E$6:$E$505,$M222)="","",INDEX('Line Detail'!$E$6:$E$505,$M222)))</f>
        <v/>
      </c>
      <c r="F222" s="6" t="str">
        <f aca="false">IF($M222=0,"",IF(INDEX('Line Detail'!$F$6:$F$505,$M222)="","",INDEX('Line Detail'!$F$6:$F$505,$M222)))</f>
        <v/>
      </c>
      <c r="G222" s="62" t="str">
        <f aca="false">IF($M222=0,"",IF(INDEX('Line Detail'!$G$6:$G$505,$M222)="","",INDEX('Line Detail'!$G$6:$G$505,$M222)))</f>
        <v/>
      </c>
      <c r="H222" s="13" t="str">
        <f aca="false">IF($M222=0,"",IF(INDEX('Line Detail'!$H$6:$H$505,$M222)="","",INDEX('Line Detail'!$H$6:$H$505,$M222)))</f>
        <v/>
      </c>
      <c r="I222" s="34" t="str">
        <f aca="false">IF($M222=0,"",IF(INDEX('Line Detail'!$O$6:$O$505,$M222)="","",INDEX('Line Detail'!$O$6:$O$505,$M222)))</f>
        <v/>
      </c>
      <c r="J222" s="34" t="str">
        <f aca="false">IF($M222=0,"",IF(INDEX('Line Detail'!$R$6:$R$505,$M222)="","",INDEX('Line Detail'!$R$6:$R$505,$M222)))</f>
        <v/>
      </c>
      <c r="K222" s="6" t="str">
        <f aca="false">IF($M222=0,"",IF(INDEX('Line Detail'!$S$6:$S$505,$M222)="","",INDEX('Line Detail'!$S$6:$S$505,$M222)))</f>
        <v/>
      </c>
      <c r="L222" s="1"/>
      <c r="M222" s="63" t="n">
        <f aca="false">IFERROR(MATCH(217,'Line Detail'!$W$6:$W$505,0),0)</f>
        <v>0</v>
      </c>
    </row>
    <row r="223" customFormat="false" ht="15" hidden="false" customHeight="false" outlineLevel="0" collapsed="false">
      <c r="A223" s="13" t="str">
        <f aca="false">IF($M223=0,"",218)</f>
        <v/>
      </c>
      <c r="B223" s="13" t="str">
        <f aca="false">IF($M223=0,"",IF(INDEX('Line Detail'!$B$6:$B$505,$M223)="","",INDEX('Line Detail'!$B$6:$B$505,$M223)))</f>
        <v/>
      </c>
      <c r="C223" s="13" t="str">
        <f aca="false">IF($M223=0,"",IF(INDEX('Line Detail'!$C$6:$C$505,$M223)="","",INDEX('Line Detail'!$C$6:$C$505,$M223)))</f>
        <v/>
      </c>
      <c r="D223" s="13" t="str">
        <f aca="false">IF($M223=0,"",IF(INDEX('Line Detail'!$D$6:$D$505,$M223)="","",INDEX('Line Detail'!$D$6:$D$505,$M223)))</f>
        <v/>
      </c>
      <c r="E223" s="13" t="str">
        <f aca="false">IF($M223=0,"",IF(INDEX('Line Detail'!$E$6:$E$505,$M223)="","",INDEX('Line Detail'!$E$6:$E$505,$M223)))</f>
        <v/>
      </c>
      <c r="F223" s="6" t="str">
        <f aca="false">IF($M223=0,"",IF(INDEX('Line Detail'!$F$6:$F$505,$M223)="","",INDEX('Line Detail'!$F$6:$F$505,$M223)))</f>
        <v/>
      </c>
      <c r="G223" s="62" t="str">
        <f aca="false">IF($M223=0,"",IF(INDEX('Line Detail'!$G$6:$G$505,$M223)="","",INDEX('Line Detail'!$G$6:$G$505,$M223)))</f>
        <v/>
      </c>
      <c r="H223" s="13" t="str">
        <f aca="false">IF($M223=0,"",IF(INDEX('Line Detail'!$H$6:$H$505,$M223)="","",INDEX('Line Detail'!$H$6:$H$505,$M223)))</f>
        <v/>
      </c>
      <c r="I223" s="34" t="str">
        <f aca="false">IF($M223=0,"",IF(INDEX('Line Detail'!$O$6:$O$505,$M223)="","",INDEX('Line Detail'!$O$6:$O$505,$M223)))</f>
        <v/>
      </c>
      <c r="J223" s="34" t="str">
        <f aca="false">IF($M223=0,"",IF(INDEX('Line Detail'!$R$6:$R$505,$M223)="","",INDEX('Line Detail'!$R$6:$R$505,$M223)))</f>
        <v/>
      </c>
      <c r="K223" s="6" t="str">
        <f aca="false">IF($M223=0,"",IF(INDEX('Line Detail'!$S$6:$S$505,$M223)="","",INDEX('Line Detail'!$S$6:$S$505,$M223)))</f>
        <v/>
      </c>
      <c r="L223" s="1"/>
      <c r="M223" s="63" t="n">
        <f aca="false">IFERROR(MATCH(218,'Line Detail'!$W$6:$W$505,0),0)</f>
        <v>0</v>
      </c>
    </row>
    <row r="224" customFormat="false" ht="15" hidden="false" customHeight="false" outlineLevel="0" collapsed="false">
      <c r="A224" s="13" t="str">
        <f aca="false">IF($M224=0,"",219)</f>
        <v/>
      </c>
      <c r="B224" s="13" t="str">
        <f aca="false">IF($M224=0,"",IF(INDEX('Line Detail'!$B$6:$B$505,$M224)="","",INDEX('Line Detail'!$B$6:$B$505,$M224)))</f>
        <v/>
      </c>
      <c r="C224" s="13" t="str">
        <f aca="false">IF($M224=0,"",IF(INDEX('Line Detail'!$C$6:$C$505,$M224)="","",INDEX('Line Detail'!$C$6:$C$505,$M224)))</f>
        <v/>
      </c>
      <c r="D224" s="13" t="str">
        <f aca="false">IF($M224=0,"",IF(INDEX('Line Detail'!$D$6:$D$505,$M224)="","",INDEX('Line Detail'!$D$6:$D$505,$M224)))</f>
        <v/>
      </c>
      <c r="E224" s="13" t="str">
        <f aca="false">IF($M224=0,"",IF(INDEX('Line Detail'!$E$6:$E$505,$M224)="","",INDEX('Line Detail'!$E$6:$E$505,$M224)))</f>
        <v/>
      </c>
      <c r="F224" s="6" t="str">
        <f aca="false">IF($M224=0,"",IF(INDEX('Line Detail'!$F$6:$F$505,$M224)="","",INDEX('Line Detail'!$F$6:$F$505,$M224)))</f>
        <v/>
      </c>
      <c r="G224" s="62" t="str">
        <f aca="false">IF($M224=0,"",IF(INDEX('Line Detail'!$G$6:$G$505,$M224)="","",INDEX('Line Detail'!$G$6:$G$505,$M224)))</f>
        <v/>
      </c>
      <c r="H224" s="13" t="str">
        <f aca="false">IF($M224=0,"",IF(INDEX('Line Detail'!$H$6:$H$505,$M224)="","",INDEX('Line Detail'!$H$6:$H$505,$M224)))</f>
        <v/>
      </c>
      <c r="I224" s="34" t="str">
        <f aca="false">IF($M224=0,"",IF(INDEX('Line Detail'!$O$6:$O$505,$M224)="","",INDEX('Line Detail'!$O$6:$O$505,$M224)))</f>
        <v/>
      </c>
      <c r="J224" s="34" t="str">
        <f aca="false">IF($M224=0,"",IF(INDEX('Line Detail'!$R$6:$R$505,$M224)="","",INDEX('Line Detail'!$R$6:$R$505,$M224)))</f>
        <v/>
      </c>
      <c r="K224" s="6" t="str">
        <f aca="false">IF($M224=0,"",IF(INDEX('Line Detail'!$S$6:$S$505,$M224)="","",INDEX('Line Detail'!$S$6:$S$505,$M224)))</f>
        <v/>
      </c>
      <c r="L224" s="1"/>
      <c r="M224" s="63" t="n">
        <f aca="false">IFERROR(MATCH(219,'Line Detail'!$W$6:$W$505,0),0)</f>
        <v>0</v>
      </c>
    </row>
    <row r="225" customFormat="false" ht="15" hidden="false" customHeight="false" outlineLevel="0" collapsed="false">
      <c r="A225" s="13" t="str">
        <f aca="false">IF($M225=0,"",220)</f>
        <v/>
      </c>
      <c r="B225" s="13" t="str">
        <f aca="false">IF($M225=0,"",IF(INDEX('Line Detail'!$B$6:$B$505,$M225)="","",INDEX('Line Detail'!$B$6:$B$505,$M225)))</f>
        <v/>
      </c>
      <c r="C225" s="13" t="str">
        <f aca="false">IF($M225=0,"",IF(INDEX('Line Detail'!$C$6:$C$505,$M225)="","",INDEX('Line Detail'!$C$6:$C$505,$M225)))</f>
        <v/>
      </c>
      <c r="D225" s="13" t="str">
        <f aca="false">IF($M225=0,"",IF(INDEX('Line Detail'!$D$6:$D$505,$M225)="","",INDEX('Line Detail'!$D$6:$D$505,$M225)))</f>
        <v/>
      </c>
      <c r="E225" s="13" t="str">
        <f aca="false">IF($M225=0,"",IF(INDEX('Line Detail'!$E$6:$E$505,$M225)="","",INDEX('Line Detail'!$E$6:$E$505,$M225)))</f>
        <v/>
      </c>
      <c r="F225" s="6" t="str">
        <f aca="false">IF($M225=0,"",IF(INDEX('Line Detail'!$F$6:$F$505,$M225)="","",INDEX('Line Detail'!$F$6:$F$505,$M225)))</f>
        <v/>
      </c>
      <c r="G225" s="62" t="str">
        <f aca="false">IF($M225=0,"",IF(INDEX('Line Detail'!$G$6:$G$505,$M225)="","",INDEX('Line Detail'!$G$6:$G$505,$M225)))</f>
        <v/>
      </c>
      <c r="H225" s="13" t="str">
        <f aca="false">IF($M225=0,"",IF(INDEX('Line Detail'!$H$6:$H$505,$M225)="","",INDEX('Line Detail'!$H$6:$H$505,$M225)))</f>
        <v/>
      </c>
      <c r="I225" s="34" t="str">
        <f aca="false">IF($M225=0,"",IF(INDEX('Line Detail'!$O$6:$O$505,$M225)="","",INDEX('Line Detail'!$O$6:$O$505,$M225)))</f>
        <v/>
      </c>
      <c r="J225" s="34" t="str">
        <f aca="false">IF($M225=0,"",IF(INDEX('Line Detail'!$R$6:$R$505,$M225)="","",INDEX('Line Detail'!$R$6:$R$505,$M225)))</f>
        <v/>
      </c>
      <c r="K225" s="6" t="str">
        <f aca="false">IF($M225=0,"",IF(INDEX('Line Detail'!$S$6:$S$505,$M225)="","",INDEX('Line Detail'!$S$6:$S$505,$M225)))</f>
        <v/>
      </c>
      <c r="L225" s="1"/>
      <c r="M225" s="63" t="n">
        <f aca="false">IFERROR(MATCH(220,'Line Detail'!$W$6:$W$505,0),0)</f>
        <v>0</v>
      </c>
    </row>
    <row r="226" customFormat="false" ht="15" hidden="false" customHeight="false" outlineLevel="0" collapsed="false">
      <c r="A226" s="13" t="str">
        <f aca="false">IF($M226=0,"",221)</f>
        <v/>
      </c>
      <c r="B226" s="13" t="str">
        <f aca="false">IF($M226=0,"",IF(INDEX('Line Detail'!$B$6:$B$505,$M226)="","",INDEX('Line Detail'!$B$6:$B$505,$M226)))</f>
        <v/>
      </c>
      <c r="C226" s="13" t="str">
        <f aca="false">IF($M226=0,"",IF(INDEX('Line Detail'!$C$6:$C$505,$M226)="","",INDEX('Line Detail'!$C$6:$C$505,$M226)))</f>
        <v/>
      </c>
      <c r="D226" s="13" t="str">
        <f aca="false">IF($M226=0,"",IF(INDEX('Line Detail'!$D$6:$D$505,$M226)="","",INDEX('Line Detail'!$D$6:$D$505,$M226)))</f>
        <v/>
      </c>
      <c r="E226" s="13" t="str">
        <f aca="false">IF($M226=0,"",IF(INDEX('Line Detail'!$E$6:$E$505,$M226)="","",INDEX('Line Detail'!$E$6:$E$505,$M226)))</f>
        <v/>
      </c>
      <c r="F226" s="6" t="str">
        <f aca="false">IF($M226=0,"",IF(INDEX('Line Detail'!$F$6:$F$505,$M226)="","",INDEX('Line Detail'!$F$6:$F$505,$M226)))</f>
        <v/>
      </c>
      <c r="G226" s="62" t="str">
        <f aca="false">IF($M226=0,"",IF(INDEX('Line Detail'!$G$6:$G$505,$M226)="","",INDEX('Line Detail'!$G$6:$G$505,$M226)))</f>
        <v/>
      </c>
      <c r="H226" s="13" t="str">
        <f aca="false">IF($M226=0,"",IF(INDEX('Line Detail'!$H$6:$H$505,$M226)="","",INDEX('Line Detail'!$H$6:$H$505,$M226)))</f>
        <v/>
      </c>
      <c r="I226" s="34" t="str">
        <f aca="false">IF($M226=0,"",IF(INDEX('Line Detail'!$O$6:$O$505,$M226)="","",INDEX('Line Detail'!$O$6:$O$505,$M226)))</f>
        <v/>
      </c>
      <c r="J226" s="34" t="str">
        <f aca="false">IF($M226=0,"",IF(INDEX('Line Detail'!$R$6:$R$505,$M226)="","",INDEX('Line Detail'!$R$6:$R$505,$M226)))</f>
        <v/>
      </c>
      <c r="K226" s="6" t="str">
        <f aca="false">IF($M226=0,"",IF(INDEX('Line Detail'!$S$6:$S$505,$M226)="","",INDEX('Line Detail'!$S$6:$S$505,$M226)))</f>
        <v/>
      </c>
      <c r="L226" s="1"/>
      <c r="M226" s="63" t="n">
        <f aca="false">IFERROR(MATCH(221,'Line Detail'!$W$6:$W$505,0),0)</f>
        <v>0</v>
      </c>
    </row>
    <row r="227" customFormat="false" ht="15" hidden="false" customHeight="false" outlineLevel="0" collapsed="false">
      <c r="A227" s="13" t="str">
        <f aca="false">IF($M227=0,"",222)</f>
        <v/>
      </c>
      <c r="B227" s="13" t="str">
        <f aca="false">IF($M227=0,"",IF(INDEX('Line Detail'!$B$6:$B$505,$M227)="","",INDEX('Line Detail'!$B$6:$B$505,$M227)))</f>
        <v/>
      </c>
      <c r="C227" s="13" t="str">
        <f aca="false">IF($M227=0,"",IF(INDEX('Line Detail'!$C$6:$C$505,$M227)="","",INDEX('Line Detail'!$C$6:$C$505,$M227)))</f>
        <v/>
      </c>
      <c r="D227" s="13" t="str">
        <f aca="false">IF($M227=0,"",IF(INDEX('Line Detail'!$D$6:$D$505,$M227)="","",INDEX('Line Detail'!$D$6:$D$505,$M227)))</f>
        <v/>
      </c>
      <c r="E227" s="13" t="str">
        <f aca="false">IF($M227=0,"",IF(INDEX('Line Detail'!$E$6:$E$505,$M227)="","",INDEX('Line Detail'!$E$6:$E$505,$M227)))</f>
        <v/>
      </c>
      <c r="F227" s="6" t="str">
        <f aca="false">IF($M227=0,"",IF(INDEX('Line Detail'!$F$6:$F$505,$M227)="","",INDEX('Line Detail'!$F$6:$F$505,$M227)))</f>
        <v/>
      </c>
      <c r="G227" s="62" t="str">
        <f aca="false">IF($M227=0,"",IF(INDEX('Line Detail'!$G$6:$G$505,$M227)="","",INDEX('Line Detail'!$G$6:$G$505,$M227)))</f>
        <v/>
      </c>
      <c r="H227" s="13" t="str">
        <f aca="false">IF($M227=0,"",IF(INDEX('Line Detail'!$H$6:$H$505,$M227)="","",INDEX('Line Detail'!$H$6:$H$505,$M227)))</f>
        <v/>
      </c>
      <c r="I227" s="34" t="str">
        <f aca="false">IF($M227=0,"",IF(INDEX('Line Detail'!$O$6:$O$505,$M227)="","",INDEX('Line Detail'!$O$6:$O$505,$M227)))</f>
        <v/>
      </c>
      <c r="J227" s="34" t="str">
        <f aca="false">IF($M227=0,"",IF(INDEX('Line Detail'!$R$6:$R$505,$M227)="","",INDEX('Line Detail'!$R$6:$R$505,$M227)))</f>
        <v/>
      </c>
      <c r="K227" s="6" t="str">
        <f aca="false">IF($M227=0,"",IF(INDEX('Line Detail'!$S$6:$S$505,$M227)="","",INDEX('Line Detail'!$S$6:$S$505,$M227)))</f>
        <v/>
      </c>
      <c r="L227" s="1"/>
      <c r="M227" s="63" t="n">
        <f aca="false">IFERROR(MATCH(222,'Line Detail'!$W$6:$W$505,0),0)</f>
        <v>0</v>
      </c>
    </row>
    <row r="228" customFormat="false" ht="15" hidden="false" customHeight="false" outlineLevel="0" collapsed="false">
      <c r="A228" s="13" t="str">
        <f aca="false">IF($M228=0,"",223)</f>
        <v/>
      </c>
      <c r="B228" s="13" t="str">
        <f aca="false">IF($M228=0,"",IF(INDEX('Line Detail'!$B$6:$B$505,$M228)="","",INDEX('Line Detail'!$B$6:$B$505,$M228)))</f>
        <v/>
      </c>
      <c r="C228" s="13" t="str">
        <f aca="false">IF($M228=0,"",IF(INDEX('Line Detail'!$C$6:$C$505,$M228)="","",INDEX('Line Detail'!$C$6:$C$505,$M228)))</f>
        <v/>
      </c>
      <c r="D228" s="13" t="str">
        <f aca="false">IF($M228=0,"",IF(INDEX('Line Detail'!$D$6:$D$505,$M228)="","",INDEX('Line Detail'!$D$6:$D$505,$M228)))</f>
        <v/>
      </c>
      <c r="E228" s="13" t="str">
        <f aca="false">IF($M228=0,"",IF(INDEX('Line Detail'!$E$6:$E$505,$M228)="","",INDEX('Line Detail'!$E$6:$E$505,$M228)))</f>
        <v/>
      </c>
      <c r="F228" s="6" t="str">
        <f aca="false">IF($M228=0,"",IF(INDEX('Line Detail'!$F$6:$F$505,$M228)="","",INDEX('Line Detail'!$F$6:$F$505,$M228)))</f>
        <v/>
      </c>
      <c r="G228" s="62" t="str">
        <f aca="false">IF($M228=0,"",IF(INDEX('Line Detail'!$G$6:$G$505,$M228)="","",INDEX('Line Detail'!$G$6:$G$505,$M228)))</f>
        <v/>
      </c>
      <c r="H228" s="13" t="str">
        <f aca="false">IF($M228=0,"",IF(INDEX('Line Detail'!$H$6:$H$505,$M228)="","",INDEX('Line Detail'!$H$6:$H$505,$M228)))</f>
        <v/>
      </c>
      <c r="I228" s="34" t="str">
        <f aca="false">IF($M228=0,"",IF(INDEX('Line Detail'!$O$6:$O$505,$M228)="","",INDEX('Line Detail'!$O$6:$O$505,$M228)))</f>
        <v/>
      </c>
      <c r="J228" s="34" t="str">
        <f aca="false">IF($M228=0,"",IF(INDEX('Line Detail'!$R$6:$R$505,$M228)="","",INDEX('Line Detail'!$R$6:$R$505,$M228)))</f>
        <v/>
      </c>
      <c r="K228" s="6" t="str">
        <f aca="false">IF($M228=0,"",IF(INDEX('Line Detail'!$S$6:$S$505,$M228)="","",INDEX('Line Detail'!$S$6:$S$505,$M228)))</f>
        <v/>
      </c>
      <c r="L228" s="1"/>
      <c r="M228" s="63" t="n">
        <f aca="false">IFERROR(MATCH(223,'Line Detail'!$W$6:$W$505,0),0)</f>
        <v>0</v>
      </c>
    </row>
    <row r="229" customFormat="false" ht="15" hidden="false" customHeight="false" outlineLevel="0" collapsed="false">
      <c r="A229" s="13" t="str">
        <f aca="false">IF($M229=0,"",224)</f>
        <v/>
      </c>
      <c r="B229" s="13" t="str">
        <f aca="false">IF($M229=0,"",IF(INDEX('Line Detail'!$B$6:$B$505,$M229)="","",INDEX('Line Detail'!$B$6:$B$505,$M229)))</f>
        <v/>
      </c>
      <c r="C229" s="13" t="str">
        <f aca="false">IF($M229=0,"",IF(INDEX('Line Detail'!$C$6:$C$505,$M229)="","",INDEX('Line Detail'!$C$6:$C$505,$M229)))</f>
        <v/>
      </c>
      <c r="D229" s="13" t="str">
        <f aca="false">IF($M229=0,"",IF(INDEX('Line Detail'!$D$6:$D$505,$M229)="","",INDEX('Line Detail'!$D$6:$D$505,$M229)))</f>
        <v/>
      </c>
      <c r="E229" s="13" t="str">
        <f aca="false">IF($M229=0,"",IF(INDEX('Line Detail'!$E$6:$E$505,$M229)="","",INDEX('Line Detail'!$E$6:$E$505,$M229)))</f>
        <v/>
      </c>
      <c r="F229" s="6" t="str">
        <f aca="false">IF($M229=0,"",IF(INDEX('Line Detail'!$F$6:$F$505,$M229)="","",INDEX('Line Detail'!$F$6:$F$505,$M229)))</f>
        <v/>
      </c>
      <c r="G229" s="62" t="str">
        <f aca="false">IF($M229=0,"",IF(INDEX('Line Detail'!$G$6:$G$505,$M229)="","",INDEX('Line Detail'!$G$6:$G$505,$M229)))</f>
        <v/>
      </c>
      <c r="H229" s="13" t="str">
        <f aca="false">IF($M229=0,"",IF(INDEX('Line Detail'!$H$6:$H$505,$M229)="","",INDEX('Line Detail'!$H$6:$H$505,$M229)))</f>
        <v/>
      </c>
      <c r="I229" s="34" t="str">
        <f aca="false">IF($M229=0,"",IF(INDEX('Line Detail'!$O$6:$O$505,$M229)="","",INDEX('Line Detail'!$O$6:$O$505,$M229)))</f>
        <v/>
      </c>
      <c r="J229" s="34" t="str">
        <f aca="false">IF($M229=0,"",IF(INDEX('Line Detail'!$R$6:$R$505,$M229)="","",INDEX('Line Detail'!$R$6:$R$505,$M229)))</f>
        <v/>
      </c>
      <c r="K229" s="6" t="str">
        <f aca="false">IF($M229=0,"",IF(INDEX('Line Detail'!$S$6:$S$505,$M229)="","",INDEX('Line Detail'!$S$6:$S$505,$M229)))</f>
        <v/>
      </c>
      <c r="L229" s="1"/>
      <c r="M229" s="63" t="n">
        <f aca="false">IFERROR(MATCH(224,'Line Detail'!$W$6:$W$505,0),0)</f>
        <v>0</v>
      </c>
    </row>
    <row r="230" customFormat="false" ht="15" hidden="false" customHeight="false" outlineLevel="0" collapsed="false">
      <c r="A230" s="13" t="str">
        <f aca="false">IF($M230=0,"",225)</f>
        <v/>
      </c>
      <c r="B230" s="13" t="str">
        <f aca="false">IF($M230=0,"",IF(INDEX('Line Detail'!$B$6:$B$505,$M230)="","",INDEX('Line Detail'!$B$6:$B$505,$M230)))</f>
        <v/>
      </c>
      <c r="C230" s="13" t="str">
        <f aca="false">IF($M230=0,"",IF(INDEX('Line Detail'!$C$6:$C$505,$M230)="","",INDEX('Line Detail'!$C$6:$C$505,$M230)))</f>
        <v/>
      </c>
      <c r="D230" s="13" t="str">
        <f aca="false">IF($M230=0,"",IF(INDEX('Line Detail'!$D$6:$D$505,$M230)="","",INDEX('Line Detail'!$D$6:$D$505,$M230)))</f>
        <v/>
      </c>
      <c r="E230" s="13" t="str">
        <f aca="false">IF($M230=0,"",IF(INDEX('Line Detail'!$E$6:$E$505,$M230)="","",INDEX('Line Detail'!$E$6:$E$505,$M230)))</f>
        <v/>
      </c>
      <c r="F230" s="6" t="str">
        <f aca="false">IF($M230=0,"",IF(INDEX('Line Detail'!$F$6:$F$505,$M230)="","",INDEX('Line Detail'!$F$6:$F$505,$M230)))</f>
        <v/>
      </c>
      <c r="G230" s="62" t="str">
        <f aca="false">IF($M230=0,"",IF(INDEX('Line Detail'!$G$6:$G$505,$M230)="","",INDEX('Line Detail'!$G$6:$G$505,$M230)))</f>
        <v/>
      </c>
      <c r="H230" s="13" t="str">
        <f aca="false">IF($M230=0,"",IF(INDEX('Line Detail'!$H$6:$H$505,$M230)="","",INDEX('Line Detail'!$H$6:$H$505,$M230)))</f>
        <v/>
      </c>
      <c r="I230" s="34" t="str">
        <f aca="false">IF($M230=0,"",IF(INDEX('Line Detail'!$O$6:$O$505,$M230)="","",INDEX('Line Detail'!$O$6:$O$505,$M230)))</f>
        <v/>
      </c>
      <c r="J230" s="34" t="str">
        <f aca="false">IF($M230=0,"",IF(INDEX('Line Detail'!$R$6:$R$505,$M230)="","",INDEX('Line Detail'!$R$6:$R$505,$M230)))</f>
        <v/>
      </c>
      <c r="K230" s="6" t="str">
        <f aca="false">IF($M230=0,"",IF(INDEX('Line Detail'!$S$6:$S$505,$M230)="","",INDEX('Line Detail'!$S$6:$S$505,$M230)))</f>
        <v/>
      </c>
      <c r="L230" s="1"/>
      <c r="M230" s="63" t="n">
        <f aca="false">IFERROR(MATCH(225,'Line Detail'!$W$6:$W$505,0),0)</f>
        <v>0</v>
      </c>
    </row>
    <row r="231" customFormat="false" ht="15" hidden="false" customHeight="false" outlineLevel="0" collapsed="false">
      <c r="A231" s="13" t="str">
        <f aca="false">IF($M231=0,"",226)</f>
        <v/>
      </c>
      <c r="B231" s="13" t="str">
        <f aca="false">IF($M231=0,"",IF(INDEX('Line Detail'!$B$6:$B$505,$M231)="","",INDEX('Line Detail'!$B$6:$B$505,$M231)))</f>
        <v/>
      </c>
      <c r="C231" s="13" t="str">
        <f aca="false">IF($M231=0,"",IF(INDEX('Line Detail'!$C$6:$C$505,$M231)="","",INDEX('Line Detail'!$C$6:$C$505,$M231)))</f>
        <v/>
      </c>
      <c r="D231" s="13" t="str">
        <f aca="false">IF($M231=0,"",IF(INDEX('Line Detail'!$D$6:$D$505,$M231)="","",INDEX('Line Detail'!$D$6:$D$505,$M231)))</f>
        <v/>
      </c>
      <c r="E231" s="13" t="str">
        <f aca="false">IF($M231=0,"",IF(INDEX('Line Detail'!$E$6:$E$505,$M231)="","",INDEX('Line Detail'!$E$6:$E$505,$M231)))</f>
        <v/>
      </c>
      <c r="F231" s="6" t="str">
        <f aca="false">IF($M231=0,"",IF(INDEX('Line Detail'!$F$6:$F$505,$M231)="","",INDEX('Line Detail'!$F$6:$F$505,$M231)))</f>
        <v/>
      </c>
      <c r="G231" s="62" t="str">
        <f aca="false">IF($M231=0,"",IF(INDEX('Line Detail'!$G$6:$G$505,$M231)="","",INDEX('Line Detail'!$G$6:$G$505,$M231)))</f>
        <v/>
      </c>
      <c r="H231" s="13" t="str">
        <f aca="false">IF($M231=0,"",IF(INDEX('Line Detail'!$H$6:$H$505,$M231)="","",INDEX('Line Detail'!$H$6:$H$505,$M231)))</f>
        <v/>
      </c>
      <c r="I231" s="34" t="str">
        <f aca="false">IF($M231=0,"",IF(INDEX('Line Detail'!$O$6:$O$505,$M231)="","",INDEX('Line Detail'!$O$6:$O$505,$M231)))</f>
        <v/>
      </c>
      <c r="J231" s="34" t="str">
        <f aca="false">IF($M231=0,"",IF(INDEX('Line Detail'!$R$6:$R$505,$M231)="","",INDEX('Line Detail'!$R$6:$R$505,$M231)))</f>
        <v/>
      </c>
      <c r="K231" s="6" t="str">
        <f aca="false">IF($M231=0,"",IF(INDEX('Line Detail'!$S$6:$S$505,$M231)="","",INDEX('Line Detail'!$S$6:$S$505,$M231)))</f>
        <v/>
      </c>
      <c r="L231" s="1"/>
      <c r="M231" s="63" t="n">
        <f aca="false">IFERROR(MATCH(226,'Line Detail'!$W$6:$W$505,0),0)</f>
        <v>0</v>
      </c>
    </row>
    <row r="232" customFormat="false" ht="15" hidden="false" customHeight="false" outlineLevel="0" collapsed="false">
      <c r="A232" s="13" t="str">
        <f aca="false">IF($M232=0,"",227)</f>
        <v/>
      </c>
      <c r="B232" s="13" t="str">
        <f aca="false">IF($M232=0,"",IF(INDEX('Line Detail'!$B$6:$B$505,$M232)="","",INDEX('Line Detail'!$B$6:$B$505,$M232)))</f>
        <v/>
      </c>
      <c r="C232" s="13" t="str">
        <f aca="false">IF($M232=0,"",IF(INDEX('Line Detail'!$C$6:$C$505,$M232)="","",INDEX('Line Detail'!$C$6:$C$505,$M232)))</f>
        <v/>
      </c>
      <c r="D232" s="13" t="str">
        <f aca="false">IF($M232=0,"",IF(INDEX('Line Detail'!$D$6:$D$505,$M232)="","",INDEX('Line Detail'!$D$6:$D$505,$M232)))</f>
        <v/>
      </c>
      <c r="E232" s="13" t="str">
        <f aca="false">IF($M232=0,"",IF(INDEX('Line Detail'!$E$6:$E$505,$M232)="","",INDEX('Line Detail'!$E$6:$E$505,$M232)))</f>
        <v/>
      </c>
      <c r="F232" s="6" t="str">
        <f aca="false">IF($M232=0,"",IF(INDEX('Line Detail'!$F$6:$F$505,$M232)="","",INDEX('Line Detail'!$F$6:$F$505,$M232)))</f>
        <v/>
      </c>
      <c r="G232" s="62" t="str">
        <f aca="false">IF($M232=0,"",IF(INDEX('Line Detail'!$G$6:$G$505,$M232)="","",INDEX('Line Detail'!$G$6:$G$505,$M232)))</f>
        <v/>
      </c>
      <c r="H232" s="13" t="str">
        <f aca="false">IF($M232=0,"",IF(INDEX('Line Detail'!$H$6:$H$505,$M232)="","",INDEX('Line Detail'!$H$6:$H$505,$M232)))</f>
        <v/>
      </c>
      <c r="I232" s="34" t="str">
        <f aca="false">IF($M232=0,"",IF(INDEX('Line Detail'!$O$6:$O$505,$M232)="","",INDEX('Line Detail'!$O$6:$O$505,$M232)))</f>
        <v/>
      </c>
      <c r="J232" s="34" t="str">
        <f aca="false">IF($M232=0,"",IF(INDEX('Line Detail'!$R$6:$R$505,$M232)="","",INDEX('Line Detail'!$R$6:$R$505,$M232)))</f>
        <v/>
      </c>
      <c r="K232" s="6" t="str">
        <f aca="false">IF($M232=0,"",IF(INDEX('Line Detail'!$S$6:$S$505,$M232)="","",INDEX('Line Detail'!$S$6:$S$505,$M232)))</f>
        <v/>
      </c>
      <c r="L232" s="1"/>
      <c r="M232" s="63" t="n">
        <f aca="false">IFERROR(MATCH(227,'Line Detail'!$W$6:$W$505,0),0)</f>
        <v>0</v>
      </c>
    </row>
    <row r="233" customFormat="false" ht="15" hidden="false" customHeight="false" outlineLevel="0" collapsed="false">
      <c r="A233" s="13" t="str">
        <f aca="false">IF($M233=0,"",228)</f>
        <v/>
      </c>
      <c r="B233" s="13" t="str">
        <f aca="false">IF($M233=0,"",IF(INDEX('Line Detail'!$B$6:$B$505,$M233)="","",INDEX('Line Detail'!$B$6:$B$505,$M233)))</f>
        <v/>
      </c>
      <c r="C233" s="13" t="str">
        <f aca="false">IF($M233=0,"",IF(INDEX('Line Detail'!$C$6:$C$505,$M233)="","",INDEX('Line Detail'!$C$6:$C$505,$M233)))</f>
        <v/>
      </c>
      <c r="D233" s="13" t="str">
        <f aca="false">IF($M233=0,"",IF(INDEX('Line Detail'!$D$6:$D$505,$M233)="","",INDEX('Line Detail'!$D$6:$D$505,$M233)))</f>
        <v/>
      </c>
      <c r="E233" s="13" t="str">
        <f aca="false">IF($M233=0,"",IF(INDEX('Line Detail'!$E$6:$E$505,$M233)="","",INDEX('Line Detail'!$E$6:$E$505,$M233)))</f>
        <v/>
      </c>
      <c r="F233" s="6" t="str">
        <f aca="false">IF($M233=0,"",IF(INDEX('Line Detail'!$F$6:$F$505,$M233)="","",INDEX('Line Detail'!$F$6:$F$505,$M233)))</f>
        <v/>
      </c>
      <c r="G233" s="62" t="str">
        <f aca="false">IF($M233=0,"",IF(INDEX('Line Detail'!$G$6:$G$505,$M233)="","",INDEX('Line Detail'!$G$6:$G$505,$M233)))</f>
        <v/>
      </c>
      <c r="H233" s="13" t="str">
        <f aca="false">IF($M233=0,"",IF(INDEX('Line Detail'!$H$6:$H$505,$M233)="","",INDEX('Line Detail'!$H$6:$H$505,$M233)))</f>
        <v/>
      </c>
      <c r="I233" s="34" t="str">
        <f aca="false">IF($M233=0,"",IF(INDEX('Line Detail'!$O$6:$O$505,$M233)="","",INDEX('Line Detail'!$O$6:$O$505,$M233)))</f>
        <v/>
      </c>
      <c r="J233" s="34" t="str">
        <f aca="false">IF($M233=0,"",IF(INDEX('Line Detail'!$R$6:$R$505,$M233)="","",INDEX('Line Detail'!$R$6:$R$505,$M233)))</f>
        <v/>
      </c>
      <c r="K233" s="6" t="str">
        <f aca="false">IF($M233=0,"",IF(INDEX('Line Detail'!$S$6:$S$505,$M233)="","",INDEX('Line Detail'!$S$6:$S$505,$M233)))</f>
        <v/>
      </c>
      <c r="L233" s="1"/>
      <c r="M233" s="63" t="n">
        <f aca="false">IFERROR(MATCH(228,'Line Detail'!$W$6:$W$505,0),0)</f>
        <v>0</v>
      </c>
    </row>
    <row r="234" customFormat="false" ht="15" hidden="false" customHeight="false" outlineLevel="0" collapsed="false">
      <c r="A234" s="13" t="str">
        <f aca="false">IF($M234=0,"",229)</f>
        <v/>
      </c>
      <c r="B234" s="13" t="str">
        <f aca="false">IF($M234=0,"",IF(INDEX('Line Detail'!$B$6:$B$505,$M234)="","",INDEX('Line Detail'!$B$6:$B$505,$M234)))</f>
        <v/>
      </c>
      <c r="C234" s="13" t="str">
        <f aca="false">IF($M234=0,"",IF(INDEX('Line Detail'!$C$6:$C$505,$M234)="","",INDEX('Line Detail'!$C$6:$C$505,$M234)))</f>
        <v/>
      </c>
      <c r="D234" s="13" t="str">
        <f aca="false">IF($M234=0,"",IF(INDEX('Line Detail'!$D$6:$D$505,$M234)="","",INDEX('Line Detail'!$D$6:$D$505,$M234)))</f>
        <v/>
      </c>
      <c r="E234" s="13" t="str">
        <f aca="false">IF($M234=0,"",IF(INDEX('Line Detail'!$E$6:$E$505,$M234)="","",INDEX('Line Detail'!$E$6:$E$505,$M234)))</f>
        <v/>
      </c>
      <c r="F234" s="6" t="str">
        <f aca="false">IF($M234=0,"",IF(INDEX('Line Detail'!$F$6:$F$505,$M234)="","",INDEX('Line Detail'!$F$6:$F$505,$M234)))</f>
        <v/>
      </c>
      <c r="G234" s="62" t="str">
        <f aca="false">IF($M234=0,"",IF(INDEX('Line Detail'!$G$6:$G$505,$M234)="","",INDEX('Line Detail'!$G$6:$G$505,$M234)))</f>
        <v/>
      </c>
      <c r="H234" s="13" t="str">
        <f aca="false">IF($M234=0,"",IF(INDEX('Line Detail'!$H$6:$H$505,$M234)="","",INDEX('Line Detail'!$H$6:$H$505,$M234)))</f>
        <v/>
      </c>
      <c r="I234" s="34" t="str">
        <f aca="false">IF($M234=0,"",IF(INDEX('Line Detail'!$O$6:$O$505,$M234)="","",INDEX('Line Detail'!$O$6:$O$505,$M234)))</f>
        <v/>
      </c>
      <c r="J234" s="34" t="str">
        <f aca="false">IF($M234=0,"",IF(INDEX('Line Detail'!$R$6:$R$505,$M234)="","",INDEX('Line Detail'!$R$6:$R$505,$M234)))</f>
        <v/>
      </c>
      <c r="K234" s="6" t="str">
        <f aca="false">IF($M234=0,"",IF(INDEX('Line Detail'!$S$6:$S$505,$M234)="","",INDEX('Line Detail'!$S$6:$S$505,$M234)))</f>
        <v/>
      </c>
      <c r="L234" s="1"/>
      <c r="M234" s="63" t="n">
        <f aca="false">IFERROR(MATCH(229,'Line Detail'!$W$6:$W$505,0),0)</f>
        <v>0</v>
      </c>
    </row>
    <row r="235" customFormat="false" ht="15" hidden="false" customHeight="false" outlineLevel="0" collapsed="false">
      <c r="A235" s="13" t="str">
        <f aca="false">IF($M235=0,"",230)</f>
        <v/>
      </c>
      <c r="B235" s="13" t="str">
        <f aca="false">IF($M235=0,"",IF(INDEX('Line Detail'!$B$6:$B$505,$M235)="","",INDEX('Line Detail'!$B$6:$B$505,$M235)))</f>
        <v/>
      </c>
      <c r="C235" s="13" t="str">
        <f aca="false">IF($M235=0,"",IF(INDEX('Line Detail'!$C$6:$C$505,$M235)="","",INDEX('Line Detail'!$C$6:$C$505,$M235)))</f>
        <v/>
      </c>
      <c r="D235" s="13" t="str">
        <f aca="false">IF($M235=0,"",IF(INDEX('Line Detail'!$D$6:$D$505,$M235)="","",INDEX('Line Detail'!$D$6:$D$505,$M235)))</f>
        <v/>
      </c>
      <c r="E235" s="13" t="str">
        <f aca="false">IF($M235=0,"",IF(INDEX('Line Detail'!$E$6:$E$505,$M235)="","",INDEX('Line Detail'!$E$6:$E$505,$M235)))</f>
        <v/>
      </c>
      <c r="F235" s="6" t="str">
        <f aca="false">IF($M235=0,"",IF(INDEX('Line Detail'!$F$6:$F$505,$M235)="","",INDEX('Line Detail'!$F$6:$F$505,$M235)))</f>
        <v/>
      </c>
      <c r="G235" s="62" t="str">
        <f aca="false">IF($M235=0,"",IF(INDEX('Line Detail'!$G$6:$G$505,$M235)="","",INDEX('Line Detail'!$G$6:$G$505,$M235)))</f>
        <v/>
      </c>
      <c r="H235" s="13" t="str">
        <f aca="false">IF($M235=0,"",IF(INDEX('Line Detail'!$H$6:$H$505,$M235)="","",INDEX('Line Detail'!$H$6:$H$505,$M235)))</f>
        <v/>
      </c>
      <c r="I235" s="34" t="str">
        <f aca="false">IF($M235=0,"",IF(INDEX('Line Detail'!$O$6:$O$505,$M235)="","",INDEX('Line Detail'!$O$6:$O$505,$M235)))</f>
        <v/>
      </c>
      <c r="J235" s="34" t="str">
        <f aca="false">IF($M235=0,"",IF(INDEX('Line Detail'!$R$6:$R$505,$M235)="","",INDEX('Line Detail'!$R$6:$R$505,$M235)))</f>
        <v/>
      </c>
      <c r="K235" s="6" t="str">
        <f aca="false">IF($M235=0,"",IF(INDEX('Line Detail'!$S$6:$S$505,$M235)="","",INDEX('Line Detail'!$S$6:$S$505,$M235)))</f>
        <v/>
      </c>
      <c r="L235" s="1"/>
      <c r="M235" s="63" t="n">
        <f aca="false">IFERROR(MATCH(230,'Line Detail'!$W$6:$W$505,0),0)</f>
        <v>0</v>
      </c>
    </row>
    <row r="236" customFormat="false" ht="15" hidden="false" customHeight="false" outlineLevel="0" collapsed="false">
      <c r="A236" s="13" t="str">
        <f aca="false">IF($M236=0,"",231)</f>
        <v/>
      </c>
      <c r="B236" s="13" t="str">
        <f aca="false">IF($M236=0,"",IF(INDEX('Line Detail'!$B$6:$B$505,$M236)="","",INDEX('Line Detail'!$B$6:$B$505,$M236)))</f>
        <v/>
      </c>
      <c r="C236" s="13" t="str">
        <f aca="false">IF($M236=0,"",IF(INDEX('Line Detail'!$C$6:$C$505,$M236)="","",INDEX('Line Detail'!$C$6:$C$505,$M236)))</f>
        <v/>
      </c>
      <c r="D236" s="13" t="str">
        <f aca="false">IF($M236=0,"",IF(INDEX('Line Detail'!$D$6:$D$505,$M236)="","",INDEX('Line Detail'!$D$6:$D$505,$M236)))</f>
        <v/>
      </c>
      <c r="E236" s="13" t="str">
        <f aca="false">IF($M236=0,"",IF(INDEX('Line Detail'!$E$6:$E$505,$M236)="","",INDEX('Line Detail'!$E$6:$E$505,$M236)))</f>
        <v/>
      </c>
      <c r="F236" s="6" t="str">
        <f aca="false">IF($M236=0,"",IF(INDEX('Line Detail'!$F$6:$F$505,$M236)="","",INDEX('Line Detail'!$F$6:$F$505,$M236)))</f>
        <v/>
      </c>
      <c r="G236" s="62" t="str">
        <f aca="false">IF($M236=0,"",IF(INDEX('Line Detail'!$G$6:$G$505,$M236)="","",INDEX('Line Detail'!$G$6:$G$505,$M236)))</f>
        <v/>
      </c>
      <c r="H236" s="13" t="str">
        <f aca="false">IF($M236=0,"",IF(INDEX('Line Detail'!$H$6:$H$505,$M236)="","",INDEX('Line Detail'!$H$6:$H$505,$M236)))</f>
        <v/>
      </c>
      <c r="I236" s="34" t="str">
        <f aca="false">IF($M236=0,"",IF(INDEX('Line Detail'!$O$6:$O$505,$M236)="","",INDEX('Line Detail'!$O$6:$O$505,$M236)))</f>
        <v/>
      </c>
      <c r="J236" s="34" t="str">
        <f aca="false">IF($M236=0,"",IF(INDEX('Line Detail'!$R$6:$R$505,$M236)="","",INDEX('Line Detail'!$R$6:$R$505,$M236)))</f>
        <v/>
      </c>
      <c r="K236" s="6" t="str">
        <f aca="false">IF($M236=0,"",IF(INDEX('Line Detail'!$S$6:$S$505,$M236)="","",INDEX('Line Detail'!$S$6:$S$505,$M236)))</f>
        <v/>
      </c>
      <c r="L236" s="1"/>
      <c r="M236" s="63" t="n">
        <f aca="false">IFERROR(MATCH(231,'Line Detail'!$W$6:$W$505,0),0)</f>
        <v>0</v>
      </c>
    </row>
    <row r="237" customFormat="false" ht="15" hidden="false" customHeight="false" outlineLevel="0" collapsed="false">
      <c r="A237" s="13" t="str">
        <f aca="false">IF($M237=0,"",232)</f>
        <v/>
      </c>
      <c r="B237" s="13" t="str">
        <f aca="false">IF($M237=0,"",IF(INDEX('Line Detail'!$B$6:$B$505,$M237)="","",INDEX('Line Detail'!$B$6:$B$505,$M237)))</f>
        <v/>
      </c>
      <c r="C237" s="13" t="str">
        <f aca="false">IF($M237=0,"",IF(INDEX('Line Detail'!$C$6:$C$505,$M237)="","",INDEX('Line Detail'!$C$6:$C$505,$M237)))</f>
        <v/>
      </c>
      <c r="D237" s="13" t="str">
        <f aca="false">IF($M237=0,"",IF(INDEX('Line Detail'!$D$6:$D$505,$M237)="","",INDEX('Line Detail'!$D$6:$D$505,$M237)))</f>
        <v/>
      </c>
      <c r="E237" s="13" t="str">
        <f aca="false">IF($M237=0,"",IF(INDEX('Line Detail'!$E$6:$E$505,$M237)="","",INDEX('Line Detail'!$E$6:$E$505,$M237)))</f>
        <v/>
      </c>
      <c r="F237" s="6" t="str">
        <f aca="false">IF($M237=0,"",IF(INDEX('Line Detail'!$F$6:$F$505,$M237)="","",INDEX('Line Detail'!$F$6:$F$505,$M237)))</f>
        <v/>
      </c>
      <c r="G237" s="62" t="str">
        <f aca="false">IF($M237=0,"",IF(INDEX('Line Detail'!$G$6:$G$505,$M237)="","",INDEX('Line Detail'!$G$6:$G$505,$M237)))</f>
        <v/>
      </c>
      <c r="H237" s="13" t="str">
        <f aca="false">IF($M237=0,"",IF(INDEX('Line Detail'!$H$6:$H$505,$M237)="","",INDEX('Line Detail'!$H$6:$H$505,$M237)))</f>
        <v/>
      </c>
      <c r="I237" s="34" t="str">
        <f aca="false">IF($M237=0,"",IF(INDEX('Line Detail'!$O$6:$O$505,$M237)="","",INDEX('Line Detail'!$O$6:$O$505,$M237)))</f>
        <v/>
      </c>
      <c r="J237" s="34" t="str">
        <f aca="false">IF($M237=0,"",IF(INDEX('Line Detail'!$R$6:$R$505,$M237)="","",INDEX('Line Detail'!$R$6:$R$505,$M237)))</f>
        <v/>
      </c>
      <c r="K237" s="6" t="str">
        <f aca="false">IF($M237=0,"",IF(INDEX('Line Detail'!$S$6:$S$505,$M237)="","",INDEX('Line Detail'!$S$6:$S$505,$M237)))</f>
        <v/>
      </c>
      <c r="L237" s="1"/>
      <c r="M237" s="63" t="n">
        <f aca="false">IFERROR(MATCH(232,'Line Detail'!$W$6:$W$505,0),0)</f>
        <v>0</v>
      </c>
    </row>
    <row r="238" customFormat="false" ht="15" hidden="false" customHeight="false" outlineLevel="0" collapsed="false">
      <c r="A238" s="13" t="str">
        <f aca="false">IF($M238=0,"",233)</f>
        <v/>
      </c>
      <c r="B238" s="13" t="str">
        <f aca="false">IF($M238=0,"",IF(INDEX('Line Detail'!$B$6:$B$505,$M238)="","",INDEX('Line Detail'!$B$6:$B$505,$M238)))</f>
        <v/>
      </c>
      <c r="C238" s="13" t="str">
        <f aca="false">IF($M238=0,"",IF(INDEX('Line Detail'!$C$6:$C$505,$M238)="","",INDEX('Line Detail'!$C$6:$C$505,$M238)))</f>
        <v/>
      </c>
      <c r="D238" s="13" t="str">
        <f aca="false">IF($M238=0,"",IF(INDEX('Line Detail'!$D$6:$D$505,$M238)="","",INDEX('Line Detail'!$D$6:$D$505,$M238)))</f>
        <v/>
      </c>
      <c r="E238" s="13" t="str">
        <f aca="false">IF($M238=0,"",IF(INDEX('Line Detail'!$E$6:$E$505,$M238)="","",INDEX('Line Detail'!$E$6:$E$505,$M238)))</f>
        <v/>
      </c>
      <c r="F238" s="6" t="str">
        <f aca="false">IF($M238=0,"",IF(INDEX('Line Detail'!$F$6:$F$505,$M238)="","",INDEX('Line Detail'!$F$6:$F$505,$M238)))</f>
        <v/>
      </c>
      <c r="G238" s="62" t="str">
        <f aca="false">IF($M238=0,"",IF(INDEX('Line Detail'!$G$6:$G$505,$M238)="","",INDEX('Line Detail'!$G$6:$G$505,$M238)))</f>
        <v/>
      </c>
      <c r="H238" s="13" t="str">
        <f aca="false">IF($M238=0,"",IF(INDEX('Line Detail'!$H$6:$H$505,$M238)="","",INDEX('Line Detail'!$H$6:$H$505,$M238)))</f>
        <v/>
      </c>
      <c r="I238" s="34" t="str">
        <f aca="false">IF($M238=0,"",IF(INDEX('Line Detail'!$O$6:$O$505,$M238)="","",INDEX('Line Detail'!$O$6:$O$505,$M238)))</f>
        <v/>
      </c>
      <c r="J238" s="34" t="str">
        <f aca="false">IF($M238=0,"",IF(INDEX('Line Detail'!$R$6:$R$505,$M238)="","",INDEX('Line Detail'!$R$6:$R$505,$M238)))</f>
        <v/>
      </c>
      <c r="K238" s="6" t="str">
        <f aca="false">IF($M238=0,"",IF(INDEX('Line Detail'!$S$6:$S$505,$M238)="","",INDEX('Line Detail'!$S$6:$S$505,$M238)))</f>
        <v/>
      </c>
      <c r="L238" s="1"/>
      <c r="M238" s="63" t="n">
        <f aca="false">IFERROR(MATCH(233,'Line Detail'!$W$6:$W$505,0),0)</f>
        <v>0</v>
      </c>
    </row>
    <row r="239" customFormat="false" ht="15" hidden="false" customHeight="false" outlineLevel="0" collapsed="false">
      <c r="A239" s="13" t="str">
        <f aca="false">IF($M239=0,"",234)</f>
        <v/>
      </c>
      <c r="B239" s="13" t="str">
        <f aca="false">IF($M239=0,"",IF(INDEX('Line Detail'!$B$6:$B$505,$M239)="","",INDEX('Line Detail'!$B$6:$B$505,$M239)))</f>
        <v/>
      </c>
      <c r="C239" s="13" t="str">
        <f aca="false">IF($M239=0,"",IF(INDEX('Line Detail'!$C$6:$C$505,$M239)="","",INDEX('Line Detail'!$C$6:$C$505,$M239)))</f>
        <v/>
      </c>
      <c r="D239" s="13" t="str">
        <f aca="false">IF($M239=0,"",IF(INDEX('Line Detail'!$D$6:$D$505,$M239)="","",INDEX('Line Detail'!$D$6:$D$505,$M239)))</f>
        <v/>
      </c>
      <c r="E239" s="13" t="str">
        <f aca="false">IF($M239=0,"",IF(INDEX('Line Detail'!$E$6:$E$505,$M239)="","",INDEX('Line Detail'!$E$6:$E$505,$M239)))</f>
        <v/>
      </c>
      <c r="F239" s="6" t="str">
        <f aca="false">IF($M239=0,"",IF(INDEX('Line Detail'!$F$6:$F$505,$M239)="","",INDEX('Line Detail'!$F$6:$F$505,$M239)))</f>
        <v/>
      </c>
      <c r="G239" s="62" t="str">
        <f aca="false">IF($M239=0,"",IF(INDEX('Line Detail'!$G$6:$G$505,$M239)="","",INDEX('Line Detail'!$G$6:$G$505,$M239)))</f>
        <v/>
      </c>
      <c r="H239" s="13" t="str">
        <f aca="false">IF($M239=0,"",IF(INDEX('Line Detail'!$H$6:$H$505,$M239)="","",INDEX('Line Detail'!$H$6:$H$505,$M239)))</f>
        <v/>
      </c>
      <c r="I239" s="34" t="str">
        <f aca="false">IF($M239=0,"",IF(INDEX('Line Detail'!$O$6:$O$505,$M239)="","",INDEX('Line Detail'!$O$6:$O$505,$M239)))</f>
        <v/>
      </c>
      <c r="J239" s="34" t="str">
        <f aca="false">IF($M239=0,"",IF(INDEX('Line Detail'!$R$6:$R$505,$M239)="","",INDEX('Line Detail'!$R$6:$R$505,$M239)))</f>
        <v/>
      </c>
      <c r="K239" s="6" t="str">
        <f aca="false">IF($M239=0,"",IF(INDEX('Line Detail'!$S$6:$S$505,$M239)="","",INDEX('Line Detail'!$S$6:$S$505,$M239)))</f>
        <v/>
      </c>
      <c r="L239" s="1"/>
      <c r="M239" s="63" t="n">
        <f aca="false">IFERROR(MATCH(234,'Line Detail'!$W$6:$W$505,0),0)</f>
        <v>0</v>
      </c>
    </row>
    <row r="240" customFormat="false" ht="15" hidden="false" customHeight="false" outlineLevel="0" collapsed="false">
      <c r="A240" s="13" t="str">
        <f aca="false">IF($M240=0,"",235)</f>
        <v/>
      </c>
      <c r="B240" s="13" t="str">
        <f aca="false">IF($M240=0,"",IF(INDEX('Line Detail'!$B$6:$B$505,$M240)="","",INDEX('Line Detail'!$B$6:$B$505,$M240)))</f>
        <v/>
      </c>
      <c r="C240" s="13" t="str">
        <f aca="false">IF($M240=0,"",IF(INDEX('Line Detail'!$C$6:$C$505,$M240)="","",INDEX('Line Detail'!$C$6:$C$505,$M240)))</f>
        <v/>
      </c>
      <c r="D240" s="13" t="str">
        <f aca="false">IF($M240=0,"",IF(INDEX('Line Detail'!$D$6:$D$505,$M240)="","",INDEX('Line Detail'!$D$6:$D$505,$M240)))</f>
        <v/>
      </c>
      <c r="E240" s="13" t="str">
        <f aca="false">IF($M240=0,"",IF(INDEX('Line Detail'!$E$6:$E$505,$M240)="","",INDEX('Line Detail'!$E$6:$E$505,$M240)))</f>
        <v/>
      </c>
      <c r="F240" s="6" t="str">
        <f aca="false">IF($M240=0,"",IF(INDEX('Line Detail'!$F$6:$F$505,$M240)="","",INDEX('Line Detail'!$F$6:$F$505,$M240)))</f>
        <v/>
      </c>
      <c r="G240" s="62" t="str">
        <f aca="false">IF($M240=0,"",IF(INDEX('Line Detail'!$G$6:$G$505,$M240)="","",INDEX('Line Detail'!$G$6:$G$505,$M240)))</f>
        <v/>
      </c>
      <c r="H240" s="13" t="str">
        <f aca="false">IF($M240=0,"",IF(INDEX('Line Detail'!$H$6:$H$505,$M240)="","",INDEX('Line Detail'!$H$6:$H$505,$M240)))</f>
        <v/>
      </c>
      <c r="I240" s="34" t="str">
        <f aca="false">IF($M240=0,"",IF(INDEX('Line Detail'!$O$6:$O$505,$M240)="","",INDEX('Line Detail'!$O$6:$O$505,$M240)))</f>
        <v/>
      </c>
      <c r="J240" s="34" t="str">
        <f aca="false">IF($M240=0,"",IF(INDEX('Line Detail'!$R$6:$R$505,$M240)="","",INDEX('Line Detail'!$R$6:$R$505,$M240)))</f>
        <v/>
      </c>
      <c r="K240" s="6" t="str">
        <f aca="false">IF($M240=0,"",IF(INDEX('Line Detail'!$S$6:$S$505,$M240)="","",INDEX('Line Detail'!$S$6:$S$505,$M240)))</f>
        <v/>
      </c>
      <c r="L240" s="1"/>
      <c r="M240" s="63" t="n">
        <f aca="false">IFERROR(MATCH(235,'Line Detail'!$W$6:$W$505,0),0)</f>
        <v>0</v>
      </c>
    </row>
    <row r="241" customFormat="false" ht="15" hidden="false" customHeight="false" outlineLevel="0" collapsed="false">
      <c r="A241" s="13" t="str">
        <f aca="false">IF($M241=0,"",236)</f>
        <v/>
      </c>
      <c r="B241" s="13" t="str">
        <f aca="false">IF($M241=0,"",IF(INDEX('Line Detail'!$B$6:$B$505,$M241)="","",INDEX('Line Detail'!$B$6:$B$505,$M241)))</f>
        <v/>
      </c>
      <c r="C241" s="13" t="str">
        <f aca="false">IF($M241=0,"",IF(INDEX('Line Detail'!$C$6:$C$505,$M241)="","",INDEX('Line Detail'!$C$6:$C$505,$M241)))</f>
        <v/>
      </c>
      <c r="D241" s="13" t="str">
        <f aca="false">IF($M241=0,"",IF(INDEX('Line Detail'!$D$6:$D$505,$M241)="","",INDEX('Line Detail'!$D$6:$D$505,$M241)))</f>
        <v/>
      </c>
      <c r="E241" s="13" t="str">
        <f aca="false">IF($M241=0,"",IF(INDEX('Line Detail'!$E$6:$E$505,$M241)="","",INDEX('Line Detail'!$E$6:$E$505,$M241)))</f>
        <v/>
      </c>
      <c r="F241" s="6" t="str">
        <f aca="false">IF($M241=0,"",IF(INDEX('Line Detail'!$F$6:$F$505,$M241)="","",INDEX('Line Detail'!$F$6:$F$505,$M241)))</f>
        <v/>
      </c>
      <c r="G241" s="62" t="str">
        <f aca="false">IF($M241=0,"",IF(INDEX('Line Detail'!$G$6:$G$505,$M241)="","",INDEX('Line Detail'!$G$6:$G$505,$M241)))</f>
        <v/>
      </c>
      <c r="H241" s="13" t="str">
        <f aca="false">IF($M241=0,"",IF(INDEX('Line Detail'!$H$6:$H$505,$M241)="","",INDEX('Line Detail'!$H$6:$H$505,$M241)))</f>
        <v/>
      </c>
      <c r="I241" s="34" t="str">
        <f aca="false">IF($M241=0,"",IF(INDEX('Line Detail'!$O$6:$O$505,$M241)="","",INDEX('Line Detail'!$O$6:$O$505,$M241)))</f>
        <v/>
      </c>
      <c r="J241" s="34" t="str">
        <f aca="false">IF($M241=0,"",IF(INDEX('Line Detail'!$R$6:$R$505,$M241)="","",INDEX('Line Detail'!$R$6:$R$505,$M241)))</f>
        <v/>
      </c>
      <c r="K241" s="6" t="str">
        <f aca="false">IF($M241=0,"",IF(INDEX('Line Detail'!$S$6:$S$505,$M241)="","",INDEX('Line Detail'!$S$6:$S$505,$M241)))</f>
        <v/>
      </c>
      <c r="L241" s="1"/>
      <c r="M241" s="63" t="n">
        <f aca="false">IFERROR(MATCH(236,'Line Detail'!$W$6:$W$505,0),0)</f>
        <v>0</v>
      </c>
    </row>
    <row r="242" customFormat="false" ht="15" hidden="false" customHeight="false" outlineLevel="0" collapsed="false">
      <c r="A242" s="13" t="str">
        <f aca="false">IF($M242=0,"",237)</f>
        <v/>
      </c>
      <c r="B242" s="13" t="str">
        <f aca="false">IF($M242=0,"",IF(INDEX('Line Detail'!$B$6:$B$505,$M242)="","",INDEX('Line Detail'!$B$6:$B$505,$M242)))</f>
        <v/>
      </c>
      <c r="C242" s="13" t="str">
        <f aca="false">IF($M242=0,"",IF(INDEX('Line Detail'!$C$6:$C$505,$M242)="","",INDEX('Line Detail'!$C$6:$C$505,$M242)))</f>
        <v/>
      </c>
      <c r="D242" s="13" t="str">
        <f aca="false">IF($M242=0,"",IF(INDEX('Line Detail'!$D$6:$D$505,$M242)="","",INDEX('Line Detail'!$D$6:$D$505,$M242)))</f>
        <v/>
      </c>
      <c r="E242" s="13" t="str">
        <f aca="false">IF($M242=0,"",IF(INDEX('Line Detail'!$E$6:$E$505,$M242)="","",INDEX('Line Detail'!$E$6:$E$505,$M242)))</f>
        <v/>
      </c>
      <c r="F242" s="6" t="str">
        <f aca="false">IF($M242=0,"",IF(INDEX('Line Detail'!$F$6:$F$505,$M242)="","",INDEX('Line Detail'!$F$6:$F$505,$M242)))</f>
        <v/>
      </c>
      <c r="G242" s="62" t="str">
        <f aca="false">IF($M242=0,"",IF(INDEX('Line Detail'!$G$6:$G$505,$M242)="","",INDEX('Line Detail'!$G$6:$G$505,$M242)))</f>
        <v/>
      </c>
      <c r="H242" s="13" t="str">
        <f aca="false">IF($M242=0,"",IF(INDEX('Line Detail'!$H$6:$H$505,$M242)="","",INDEX('Line Detail'!$H$6:$H$505,$M242)))</f>
        <v/>
      </c>
      <c r="I242" s="34" t="str">
        <f aca="false">IF($M242=0,"",IF(INDEX('Line Detail'!$O$6:$O$505,$M242)="","",INDEX('Line Detail'!$O$6:$O$505,$M242)))</f>
        <v/>
      </c>
      <c r="J242" s="34" t="str">
        <f aca="false">IF($M242=0,"",IF(INDEX('Line Detail'!$R$6:$R$505,$M242)="","",INDEX('Line Detail'!$R$6:$R$505,$M242)))</f>
        <v/>
      </c>
      <c r="K242" s="6" t="str">
        <f aca="false">IF($M242=0,"",IF(INDEX('Line Detail'!$S$6:$S$505,$M242)="","",INDEX('Line Detail'!$S$6:$S$505,$M242)))</f>
        <v/>
      </c>
      <c r="L242" s="1"/>
      <c r="M242" s="63" t="n">
        <f aca="false">IFERROR(MATCH(237,'Line Detail'!$W$6:$W$505,0),0)</f>
        <v>0</v>
      </c>
    </row>
    <row r="243" customFormat="false" ht="15" hidden="false" customHeight="false" outlineLevel="0" collapsed="false">
      <c r="A243" s="13" t="str">
        <f aca="false">IF($M243=0,"",238)</f>
        <v/>
      </c>
      <c r="B243" s="13" t="str">
        <f aca="false">IF($M243=0,"",IF(INDEX('Line Detail'!$B$6:$B$505,$M243)="","",INDEX('Line Detail'!$B$6:$B$505,$M243)))</f>
        <v/>
      </c>
      <c r="C243" s="13" t="str">
        <f aca="false">IF($M243=0,"",IF(INDEX('Line Detail'!$C$6:$C$505,$M243)="","",INDEX('Line Detail'!$C$6:$C$505,$M243)))</f>
        <v/>
      </c>
      <c r="D243" s="13" t="str">
        <f aca="false">IF($M243=0,"",IF(INDEX('Line Detail'!$D$6:$D$505,$M243)="","",INDEX('Line Detail'!$D$6:$D$505,$M243)))</f>
        <v/>
      </c>
      <c r="E243" s="13" t="str">
        <f aca="false">IF($M243=0,"",IF(INDEX('Line Detail'!$E$6:$E$505,$M243)="","",INDEX('Line Detail'!$E$6:$E$505,$M243)))</f>
        <v/>
      </c>
      <c r="F243" s="6" t="str">
        <f aca="false">IF($M243=0,"",IF(INDEX('Line Detail'!$F$6:$F$505,$M243)="","",INDEX('Line Detail'!$F$6:$F$505,$M243)))</f>
        <v/>
      </c>
      <c r="G243" s="62" t="str">
        <f aca="false">IF($M243=0,"",IF(INDEX('Line Detail'!$G$6:$G$505,$M243)="","",INDEX('Line Detail'!$G$6:$G$505,$M243)))</f>
        <v/>
      </c>
      <c r="H243" s="13" t="str">
        <f aca="false">IF($M243=0,"",IF(INDEX('Line Detail'!$H$6:$H$505,$M243)="","",INDEX('Line Detail'!$H$6:$H$505,$M243)))</f>
        <v/>
      </c>
      <c r="I243" s="34" t="str">
        <f aca="false">IF($M243=0,"",IF(INDEX('Line Detail'!$O$6:$O$505,$M243)="","",INDEX('Line Detail'!$O$6:$O$505,$M243)))</f>
        <v/>
      </c>
      <c r="J243" s="34" t="str">
        <f aca="false">IF($M243=0,"",IF(INDEX('Line Detail'!$R$6:$R$505,$M243)="","",INDEX('Line Detail'!$R$6:$R$505,$M243)))</f>
        <v/>
      </c>
      <c r="K243" s="6" t="str">
        <f aca="false">IF($M243=0,"",IF(INDEX('Line Detail'!$S$6:$S$505,$M243)="","",INDEX('Line Detail'!$S$6:$S$505,$M243)))</f>
        <v/>
      </c>
      <c r="L243" s="1"/>
      <c r="M243" s="63" t="n">
        <f aca="false">IFERROR(MATCH(238,'Line Detail'!$W$6:$W$505,0),0)</f>
        <v>0</v>
      </c>
    </row>
    <row r="244" customFormat="false" ht="15" hidden="false" customHeight="false" outlineLevel="0" collapsed="false">
      <c r="A244" s="13" t="str">
        <f aca="false">IF($M244=0,"",239)</f>
        <v/>
      </c>
      <c r="B244" s="13" t="str">
        <f aca="false">IF($M244=0,"",IF(INDEX('Line Detail'!$B$6:$B$505,$M244)="","",INDEX('Line Detail'!$B$6:$B$505,$M244)))</f>
        <v/>
      </c>
      <c r="C244" s="13" t="str">
        <f aca="false">IF($M244=0,"",IF(INDEX('Line Detail'!$C$6:$C$505,$M244)="","",INDEX('Line Detail'!$C$6:$C$505,$M244)))</f>
        <v/>
      </c>
      <c r="D244" s="13" t="str">
        <f aca="false">IF($M244=0,"",IF(INDEX('Line Detail'!$D$6:$D$505,$M244)="","",INDEX('Line Detail'!$D$6:$D$505,$M244)))</f>
        <v/>
      </c>
      <c r="E244" s="13" t="str">
        <f aca="false">IF($M244=0,"",IF(INDEX('Line Detail'!$E$6:$E$505,$M244)="","",INDEX('Line Detail'!$E$6:$E$505,$M244)))</f>
        <v/>
      </c>
      <c r="F244" s="6" t="str">
        <f aca="false">IF($M244=0,"",IF(INDEX('Line Detail'!$F$6:$F$505,$M244)="","",INDEX('Line Detail'!$F$6:$F$505,$M244)))</f>
        <v/>
      </c>
      <c r="G244" s="62" t="str">
        <f aca="false">IF($M244=0,"",IF(INDEX('Line Detail'!$G$6:$G$505,$M244)="","",INDEX('Line Detail'!$G$6:$G$505,$M244)))</f>
        <v/>
      </c>
      <c r="H244" s="13" t="str">
        <f aca="false">IF($M244=0,"",IF(INDEX('Line Detail'!$H$6:$H$505,$M244)="","",INDEX('Line Detail'!$H$6:$H$505,$M244)))</f>
        <v/>
      </c>
      <c r="I244" s="34" t="str">
        <f aca="false">IF($M244=0,"",IF(INDEX('Line Detail'!$O$6:$O$505,$M244)="","",INDEX('Line Detail'!$O$6:$O$505,$M244)))</f>
        <v/>
      </c>
      <c r="J244" s="34" t="str">
        <f aca="false">IF($M244=0,"",IF(INDEX('Line Detail'!$R$6:$R$505,$M244)="","",INDEX('Line Detail'!$R$6:$R$505,$M244)))</f>
        <v/>
      </c>
      <c r="K244" s="6" t="str">
        <f aca="false">IF($M244=0,"",IF(INDEX('Line Detail'!$S$6:$S$505,$M244)="","",INDEX('Line Detail'!$S$6:$S$505,$M244)))</f>
        <v/>
      </c>
      <c r="L244" s="1"/>
      <c r="M244" s="63" t="n">
        <f aca="false">IFERROR(MATCH(239,'Line Detail'!$W$6:$W$505,0),0)</f>
        <v>0</v>
      </c>
    </row>
    <row r="245" customFormat="false" ht="15" hidden="false" customHeight="false" outlineLevel="0" collapsed="false">
      <c r="A245" s="13" t="str">
        <f aca="false">IF($M245=0,"",240)</f>
        <v/>
      </c>
      <c r="B245" s="13" t="str">
        <f aca="false">IF($M245=0,"",IF(INDEX('Line Detail'!$B$6:$B$505,$M245)="","",INDEX('Line Detail'!$B$6:$B$505,$M245)))</f>
        <v/>
      </c>
      <c r="C245" s="13" t="str">
        <f aca="false">IF($M245=0,"",IF(INDEX('Line Detail'!$C$6:$C$505,$M245)="","",INDEX('Line Detail'!$C$6:$C$505,$M245)))</f>
        <v/>
      </c>
      <c r="D245" s="13" t="str">
        <f aca="false">IF($M245=0,"",IF(INDEX('Line Detail'!$D$6:$D$505,$M245)="","",INDEX('Line Detail'!$D$6:$D$505,$M245)))</f>
        <v/>
      </c>
      <c r="E245" s="13" t="str">
        <f aca="false">IF($M245=0,"",IF(INDEX('Line Detail'!$E$6:$E$505,$M245)="","",INDEX('Line Detail'!$E$6:$E$505,$M245)))</f>
        <v/>
      </c>
      <c r="F245" s="6" t="str">
        <f aca="false">IF($M245=0,"",IF(INDEX('Line Detail'!$F$6:$F$505,$M245)="","",INDEX('Line Detail'!$F$6:$F$505,$M245)))</f>
        <v/>
      </c>
      <c r="G245" s="62" t="str">
        <f aca="false">IF($M245=0,"",IF(INDEX('Line Detail'!$G$6:$G$505,$M245)="","",INDEX('Line Detail'!$G$6:$G$505,$M245)))</f>
        <v/>
      </c>
      <c r="H245" s="13" t="str">
        <f aca="false">IF($M245=0,"",IF(INDEX('Line Detail'!$H$6:$H$505,$M245)="","",INDEX('Line Detail'!$H$6:$H$505,$M245)))</f>
        <v/>
      </c>
      <c r="I245" s="34" t="str">
        <f aca="false">IF($M245=0,"",IF(INDEX('Line Detail'!$O$6:$O$505,$M245)="","",INDEX('Line Detail'!$O$6:$O$505,$M245)))</f>
        <v/>
      </c>
      <c r="J245" s="34" t="str">
        <f aca="false">IF($M245=0,"",IF(INDEX('Line Detail'!$R$6:$R$505,$M245)="","",INDEX('Line Detail'!$R$6:$R$505,$M245)))</f>
        <v/>
      </c>
      <c r="K245" s="6" t="str">
        <f aca="false">IF($M245=0,"",IF(INDEX('Line Detail'!$S$6:$S$505,$M245)="","",INDEX('Line Detail'!$S$6:$S$505,$M245)))</f>
        <v/>
      </c>
      <c r="L245" s="1"/>
      <c r="M245" s="63" t="n">
        <f aca="false">IFERROR(MATCH(240,'Line Detail'!$W$6:$W$505,0),0)</f>
        <v>0</v>
      </c>
    </row>
    <row r="246" customFormat="false" ht="15" hidden="false" customHeight="false" outlineLevel="0" collapsed="false">
      <c r="A246" s="13" t="str">
        <f aca="false">IF($M246=0,"",241)</f>
        <v/>
      </c>
      <c r="B246" s="13" t="str">
        <f aca="false">IF($M246=0,"",IF(INDEX('Line Detail'!$B$6:$B$505,$M246)="","",INDEX('Line Detail'!$B$6:$B$505,$M246)))</f>
        <v/>
      </c>
      <c r="C246" s="13" t="str">
        <f aca="false">IF($M246=0,"",IF(INDEX('Line Detail'!$C$6:$C$505,$M246)="","",INDEX('Line Detail'!$C$6:$C$505,$M246)))</f>
        <v/>
      </c>
      <c r="D246" s="13" t="str">
        <f aca="false">IF($M246=0,"",IF(INDEX('Line Detail'!$D$6:$D$505,$M246)="","",INDEX('Line Detail'!$D$6:$D$505,$M246)))</f>
        <v/>
      </c>
      <c r="E246" s="13" t="str">
        <f aca="false">IF($M246=0,"",IF(INDEX('Line Detail'!$E$6:$E$505,$M246)="","",INDEX('Line Detail'!$E$6:$E$505,$M246)))</f>
        <v/>
      </c>
      <c r="F246" s="6" t="str">
        <f aca="false">IF($M246=0,"",IF(INDEX('Line Detail'!$F$6:$F$505,$M246)="","",INDEX('Line Detail'!$F$6:$F$505,$M246)))</f>
        <v/>
      </c>
      <c r="G246" s="62" t="str">
        <f aca="false">IF($M246=0,"",IF(INDEX('Line Detail'!$G$6:$G$505,$M246)="","",INDEX('Line Detail'!$G$6:$G$505,$M246)))</f>
        <v/>
      </c>
      <c r="H246" s="13" t="str">
        <f aca="false">IF($M246=0,"",IF(INDEX('Line Detail'!$H$6:$H$505,$M246)="","",INDEX('Line Detail'!$H$6:$H$505,$M246)))</f>
        <v/>
      </c>
      <c r="I246" s="34" t="str">
        <f aca="false">IF($M246=0,"",IF(INDEX('Line Detail'!$O$6:$O$505,$M246)="","",INDEX('Line Detail'!$O$6:$O$505,$M246)))</f>
        <v/>
      </c>
      <c r="J246" s="34" t="str">
        <f aca="false">IF($M246=0,"",IF(INDEX('Line Detail'!$R$6:$R$505,$M246)="","",INDEX('Line Detail'!$R$6:$R$505,$M246)))</f>
        <v/>
      </c>
      <c r="K246" s="6" t="str">
        <f aca="false">IF($M246=0,"",IF(INDEX('Line Detail'!$S$6:$S$505,$M246)="","",INDEX('Line Detail'!$S$6:$S$505,$M246)))</f>
        <v/>
      </c>
      <c r="L246" s="1"/>
      <c r="M246" s="63" t="n">
        <f aca="false">IFERROR(MATCH(241,'Line Detail'!$W$6:$W$505,0),0)</f>
        <v>0</v>
      </c>
    </row>
    <row r="247" customFormat="false" ht="15" hidden="false" customHeight="false" outlineLevel="0" collapsed="false">
      <c r="A247" s="13" t="str">
        <f aca="false">IF($M247=0,"",242)</f>
        <v/>
      </c>
      <c r="B247" s="13" t="str">
        <f aca="false">IF($M247=0,"",IF(INDEX('Line Detail'!$B$6:$B$505,$M247)="","",INDEX('Line Detail'!$B$6:$B$505,$M247)))</f>
        <v/>
      </c>
      <c r="C247" s="13" t="str">
        <f aca="false">IF($M247=0,"",IF(INDEX('Line Detail'!$C$6:$C$505,$M247)="","",INDEX('Line Detail'!$C$6:$C$505,$M247)))</f>
        <v/>
      </c>
      <c r="D247" s="13" t="str">
        <f aca="false">IF($M247=0,"",IF(INDEX('Line Detail'!$D$6:$D$505,$M247)="","",INDEX('Line Detail'!$D$6:$D$505,$M247)))</f>
        <v/>
      </c>
      <c r="E247" s="13" t="str">
        <f aca="false">IF($M247=0,"",IF(INDEX('Line Detail'!$E$6:$E$505,$M247)="","",INDEX('Line Detail'!$E$6:$E$505,$M247)))</f>
        <v/>
      </c>
      <c r="F247" s="6" t="str">
        <f aca="false">IF($M247=0,"",IF(INDEX('Line Detail'!$F$6:$F$505,$M247)="","",INDEX('Line Detail'!$F$6:$F$505,$M247)))</f>
        <v/>
      </c>
      <c r="G247" s="62" t="str">
        <f aca="false">IF($M247=0,"",IF(INDEX('Line Detail'!$G$6:$G$505,$M247)="","",INDEX('Line Detail'!$G$6:$G$505,$M247)))</f>
        <v/>
      </c>
      <c r="H247" s="13" t="str">
        <f aca="false">IF($M247=0,"",IF(INDEX('Line Detail'!$H$6:$H$505,$M247)="","",INDEX('Line Detail'!$H$6:$H$505,$M247)))</f>
        <v/>
      </c>
      <c r="I247" s="34" t="str">
        <f aca="false">IF($M247=0,"",IF(INDEX('Line Detail'!$O$6:$O$505,$M247)="","",INDEX('Line Detail'!$O$6:$O$505,$M247)))</f>
        <v/>
      </c>
      <c r="J247" s="34" t="str">
        <f aca="false">IF($M247=0,"",IF(INDEX('Line Detail'!$R$6:$R$505,$M247)="","",INDEX('Line Detail'!$R$6:$R$505,$M247)))</f>
        <v/>
      </c>
      <c r="K247" s="6" t="str">
        <f aca="false">IF($M247=0,"",IF(INDEX('Line Detail'!$S$6:$S$505,$M247)="","",INDEX('Line Detail'!$S$6:$S$505,$M247)))</f>
        <v/>
      </c>
      <c r="L247" s="1"/>
      <c r="M247" s="63" t="n">
        <f aca="false">IFERROR(MATCH(242,'Line Detail'!$W$6:$W$505,0),0)</f>
        <v>0</v>
      </c>
    </row>
    <row r="248" customFormat="false" ht="15" hidden="false" customHeight="false" outlineLevel="0" collapsed="false">
      <c r="A248" s="13" t="str">
        <f aca="false">IF($M248=0,"",243)</f>
        <v/>
      </c>
      <c r="B248" s="13" t="str">
        <f aca="false">IF($M248=0,"",IF(INDEX('Line Detail'!$B$6:$B$505,$M248)="","",INDEX('Line Detail'!$B$6:$B$505,$M248)))</f>
        <v/>
      </c>
      <c r="C248" s="13" t="str">
        <f aca="false">IF($M248=0,"",IF(INDEX('Line Detail'!$C$6:$C$505,$M248)="","",INDEX('Line Detail'!$C$6:$C$505,$M248)))</f>
        <v/>
      </c>
      <c r="D248" s="13" t="str">
        <f aca="false">IF($M248=0,"",IF(INDEX('Line Detail'!$D$6:$D$505,$M248)="","",INDEX('Line Detail'!$D$6:$D$505,$M248)))</f>
        <v/>
      </c>
      <c r="E248" s="13" t="str">
        <f aca="false">IF($M248=0,"",IF(INDEX('Line Detail'!$E$6:$E$505,$M248)="","",INDEX('Line Detail'!$E$6:$E$505,$M248)))</f>
        <v/>
      </c>
      <c r="F248" s="6" t="str">
        <f aca="false">IF($M248=0,"",IF(INDEX('Line Detail'!$F$6:$F$505,$M248)="","",INDEX('Line Detail'!$F$6:$F$505,$M248)))</f>
        <v/>
      </c>
      <c r="G248" s="62" t="str">
        <f aca="false">IF($M248=0,"",IF(INDEX('Line Detail'!$G$6:$G$505,$M248)="","",INDEX('Line Detail'!$G$6:$G$505,$M248)))</f>
        <v/>
      </c>
      <c r="H248" s="13" t="str">
        <f aca="false">IF($M248=0,"",IF(INDEX('Line Detail'!$H$6:$H$505,$M248)="","",INDEX('Line Detail'!$H$6:$H$505,$M248)))</f>
        <v/>
      </c>
      <c r="I248" s="34" t="str">
        <f aca="false">IF($M248=0,"",IF(INDEX('Line Detail'!$O$6:$O$505,$M248)="","",INDEX('Line Detail'!$O$6:$O$505,$M248)))</f>
        <v/>
      </c>
      <c r="J248" s="34" t="str">
        <f aca="false">IF($M248=0,"",IF(INDEX('Line Detail'!$R$6:$R$505,$M248)="","",INDEX('Line Detail'!$R$6:$R$505,$M248)))</f>
        <v/>
      </c>
      <c r="K248" s="6" t="str">
        <f aca="false">IF($M248=0,"",IF(INDEX('Line Detail'!$S$6:$S$505,$M248)="","",INDEX('Line Detail'!$S$6:$S$505,$M248)))</f>
        <v/>
      </c>
      <c r="L248" s="1"/>
      <c r="M248" s="63" t="n">
        <f aca="false">IFERROR(MATCH(243,'Line Detail'!$W$6:$W$505,0),0)</f>
        <v>0</v>
      </c>
    </row>
    <row r="249" customFormat="false" ht="15" hidden="false" customHeight="false" outlineLevel="0" collapsed="false">
      <c r="A249" s="13" t="str">
        <f aca="false">IF($M249=0,"",244)</f>
        <v/>
      </c>
      <c r="B249" s="13" t="str">
        <f aca="false">IF($M249=0,"",IF(INDEX('Line Detail'!$B$6:$B$505,$M249)="","",INDEX('Line Detail'!$B$6:$B$505,$M249)))</f>
        <v/>
      </c>
      <c r="C249" s="13" t="str">
        <f aca="false">IF($M249=0,"",IF(INDEX('Line Detail'!$C$6:$C$505,$M249)="","",INDEX('Line Detail'!$C$6:$C$505,$M249)))</f>
        <v/>
      </c>
      <c r="D249" s="13" t="str">
        <f aca="false">IF($M249=0,"",IF(INDEX('Line Detail'!$D$6:$D$505,$M249)="","",INDEX('Line Detail'!$D$6:$D$505,$M249)))</f>
        <v/>
      </c>
      <c r="E249" s="13" t="str">
        <f aca="false">IF($M249=0,"",IF(INDEX('Line Detail'!$E$6:$E$505,$M249)="","",INDEX('Line Detail'!$E$6:$E$505,$M249)))</f>
        <v/>
      </c>
      <c r="F249" s="6" t="str">
        <f aca="false">IF($M249=0,"",IF(INDEX('Line Detail'!$F$6:$F$505,$M249)="","",INDEX('Line Detail'!$F$6:$F$505,$M249)))</f>
        <v/>
      </c>
      <c r="G249" s="62" t="str">
        <f aca="false">IF($M249=0,"",IF(INDEX('Line Detail'!$G$6:$G$505,$M249)="","",INDEX('Line Detail'!$G$6:$G$505,$M249)))</f>
        <v/>
      </c>
      <c r="H249" s="13" t="str">
        <f aca="false">IF($M249=0,"",IF(INDEX('Line Detail'!$H$6:$H$505,$M249)="","",INDEX('Line Detail'!$H$6:$H$505,$M249)))</f>
        <v/>
      </c>
      <c r="I249" s="34" t="str">
        <f aca="false">IF($M249=0,"",IF(INDEX('Line Detail'!$O$6:$O$505,$M249)="","",INDEX('Line Detail'!$O$6:$O$505,$M249)))</f>
        <v/>
      </c>
      <c r="J249" s="34" t="str">
        <f aca="false">IF($M249=0,"",IF(INDEX('Line Detail'!$R$6:$R$505,$M249)="","",INDEX('Line Detail'!$R$6:$R$505,$M249)))</f>
        <v/>
      </c>
      <c r="K249" s="6" t="str">
        <f aca="false">IF($M249=0,"",IF(INDEX('Line Detail'!$S$6:$S$505,$M249)="","",INDEX('Line Detail'!$S$6:$S$505,$M249)))</f>
        <v/>
      </c>
      <c r="L249" s="1"/>
      <c r="M249" s="63" t="n">
        <f aca="false">IFERROR(MATCH(244,'Line Detail'!$W$6:$W$505,0),0)</f>
        <v>0</v>
      </c>
    </row>
    <row r="250" customFormat="false" ht="15" hidden="false" customHeight="false" outlineLevel="0" collapsed="false">
      <c r="A250" s="13" t="str">
        <f aca="false">IF($M250=0,"",245)</f>
        <v/>
      </c>
      <c r="B250" s="13" t="str">
        <f aca="false">IF($M250=0,"",IF(INDEX('Line Detail'!$B$6:$B$505,$M250)="","",INDEX('Line Detail'!$B$6:$B$505,$M250)))</f>
        <v/>
      </c>
      <c r="C250" s="13" t="str">
        <f aca="false">IF($M250=0,"",IF(INDEX('Line Detail'!$C$6:$C$505,$M250)="","",INDEX('Line Detail'!$C$6:$C$505,$M250)))</f>
        <v/>
      </c>
      <c r="D250" s="13" t="str">
        <f aca="false">IF($M250=0,"",IF(INDEX('Line Detail'!$D$6:$D$505,$M250)="","",INDEX('Line Detail'!$D$6:$D$505,$M250)))</f>
        <v/>
      </c>
      <c r="E250" s="13" t="str">
        <f aca="false">IF($M250=0,"",IF(INDEX('Line Detail'!$E$6:$E$505,$M250)="","",INDEX('Line Detail'!$E$6:$E$505,$M250)))</f>
        <v/>
      </c>
      <c r="F250" s="6" t="str">
        <f aca="false">IF($M250=0,"",IF(INDEX('Line Detail'!$F$6:$F$505,$M250)="","",INDEX('Line Detail'!$F$6:$F$505,$M250)))</f>
        <v/>
      </c>
      <c r="G250" s="62" t="str">
        <f aca="false">IF($M250=0,"",IF(INDEX('Line Detail'!$G$6:$G$505,$M250)="","",INDEX('Line Detail'!$G$6:$G$505,$M250)))</f>
        <v/>
      </c>
      <c r="H250" s="13" t="str">
        <f aca="false">IF($M250=0,"",IF(INDEX('Line Detail'!$H$6:$H$505,$M250)="","",INDEX('Line Detail'!$H$6:$H$505,$M250)))</f>
        <v/>
      </c>
      <c r="I250" s="34" t="str">
        <f aca="false">IF($M250=0,"",IF(INDEX('Line Detail'!$O$6:$O$505,$M250)="","",INDEX('Line Detail'!$O$6:$O$505,$M250)))</f>
        <v/>
      </c>
      <c r="J250" s="34" t="str">
        <f aca="false">IF($M250=0,"",IF(INDEX('Line Detail'!$R$6:$R$505,$M250)="","",INDEX('Line Detail'!$R$6:$R$505,$M250)))</f>
        <v/>
      </c>
      <c r="K250" s="6" t="str">
        <f aca="false">IF($M250=0,"",IF(INDEX('Line Detail'!$S$6:$S$505,$M250)="","",INDEX('Line Detail'!$S$6:$S$505,$M250)))</f>
        <v/>
      </c>
      <c r="L250" s="1"/>
      <c r="M250" s="63" t="n">
        <f aca="false">IFERROR(MATCH(245,'Line Detail'!$W$6:$W$505,0),0)</f>
        <v>0</v>
      </c>
    </row>
    <row r="251" customFormat="false" ht="15" hidden="false" customHeight="false" outlineLevel="0" collapsed="false">
      <c r="A251" s="13" t="str">
        <f aca="false">IF($M251=0,"",246)</f>
        <v/>
      </c>
      <c r="B251" s="13" t="str">
        <f aca="false">IF($M251=0,"",IF(INDEX('Line Detail'!$B$6:$B$505,$M251)="","",INDEX('Line Detail'!$B$6:$B$505,$M251)))</f>
        <v/>
      </c>
      <c r="C251" s="13" t="str">
        <f aca="false">IF($M251=0,"",IF(INDEX('Line Detail'!$C$6:$C$505,$M251)="","",INDEX('Line Detail'!$C$6:$C$505,$M251)))</f>
        <v/>
      </c>
      <c r="D251" s="13" t="str">
        <f aca="false">IF($M251=0,"",IF(INDEX('Line Detail'!$D$6:$D$505,$M251)="","",INDEX('Line Detail'!$D$6:$D$505,$M251)))</f>
        <v/>
      </c>
      <c r="E251" s="13" t="str">
        <f aca="false">IF($M251=0,"",IF(INDEX('Line Detail'!$E$6:$E$505,$M251)="","",INDEX('Line Detail'!$E$6:$E$505,$M251)))</f>
        <v/>
      </c>
      <c r="F251" s="6" t="str">
        <f aca="false">IF($M251=0,"",IF(INDEX('Line Detail'!$F$6:$F$505,$M251)="","",INDEX('Line Detail'!$F$6:$F$505,$M251)))</f>
        <v/>
      </c>
      <c r="G251" s="62" t="str">
        <f aca="false">IF($M251=0,"",IF(INDEX('Line Detail'!$G$6:$G$505,$M251)="","",INDEX('Line Detail'!$G$6:$G$505,$M251)))</f>
        <v/>
      </c>
      <c r="H251" s="13" t="str">
        <f aca="false">IF($M251=0,"",IF(INDEX('Line Detail'!$H$6:$H$505,$M251)="","",INDEX('Line Detail'!$H$6:$H$505,$M251)))</f>
        <v/>
      </c>
      <c r="I251" s="34" t="str">
        <f aca="false">IF($M251=0,"",IF(INDEX('Line Detail'!$O$6:$O$505,$M251)="","",INDEX('Line Detail'!$O$6:$O$505,$M251)))</f>
        <v/>
      </c>
      <c r="J251" s="34" t="str">
        <f aca="false">IF($M251=0,"",IF(INDEX('Line Detail'!$R$6:$R$505,$M251)="","",INDEX('Line Detail'!$R$6:$R$505,$M251)))</f>
        <v/>
      </c>
      <c r="K251" s="6" t="str">
        <f aca="false">IF($M251=0,"",IF(INDEX('Line Detail'!$S$6:$S$505,$M251)="","",INDEX('Line Detail'!$S$6:$S$505,$M251)))</f>
        <v/>
      </c>
      <c r="L251" s="1"/>
      <c r="M251" s="63" t="n">
        <f aca="false">IFERROR(MATCH(246,'Line Detail'!$W$6:$W$505,0),0)</f>
        <v>0</v>
      </c>
    </row>
    <row r="252" customFormat="false" ht="15" hidden="false" customHeight="false" outlineLevel="0" collapsed="false">
      <c r="A252" s="13" t="str">
        <f aca="false">IF($M252=0,"",247)</f>
        <v/>
      </c>
      <c r="B252" s="13" t="str">
        <f aca="false">IF($M252=0,"",IF(INDEX('Line Detail'!$B$6:$B$505,$M252)="","",INDEX('Line Detail'!$B$6:$B$505,$M252)))</f>
        <v/>
      </c>
      <c r="C252" s="13" t="str">
        <f aca="false">IF($M252=0,"",IF(INDEX('Line Detail'!$C$6:$C$505,$M252)="","",INDEX('Line Detail'!$C$6:$C$505,$M252)))</f>
        <v/>
      </c>
      <c r="D252" s="13" t="str">
        <f aca="false">IF($M252=0,"",IF(INDEX('Line Detail'!$D$6:$D$505,$M252)="","",INDEX('Line Detail'!$D$6:$D$505,$M252)))</f>
        <v/>
      </c>
      <c r="E252" s="13" t="str">
        <f aca="false">IF($M252=0,"",IF(INDEX('Line Detail'!$E$6:$E$505,$M252)="","",INDEX('Line Detail'!$E$6:$E$505,$M252)))</f>
        <v/>
      </c>
      <c r="F252" s="6" t="str">
        <f aca="false">IF($M252=0,"",IF(INDEX('Line Detail'!$F$6:$F$505,$M252)="","",INDEX('Line Detail'!$F$6:$F$505,$M252)))</f>
        <v/>
      </c>
      <c r="G252" s="62" t="str">
        <f aca="false">IF($M252=0,"",IF(INDEX('Line Detail'!$G$6:$G$505,$M252)="","",INDEX('Line Detail'!$G$6:$G$505,$M252)))</f>
        <v/>
      </c>
      <c r="H252" s="13" t="str">
        <f aca="false">IF($M252=0,"",IF(INDEX('Line Detail'!$H$6:$H$505,$M252)="","",INDEX('Line Detail'!$H$6:$H$505,$M252)))</f>
        <v/>
      </c>
      <c r="I252" s="34" t="str">
        <f aca="false">IF($M252=0,"",IF(INDEX('Line Detail'!$O$6:$O$505,$M252)="","",INDEX('Line Detail'!$O$6:$O$505,$M252)))</f>
        <v/>
      </c>
      <c r="J252" s="34" t="str">
        <f aca="false">IF($M252=0,"",IF(INDEX('Line Detail'!$R$6:$R$505,$M252)="","",INDEX('Line Detail'!$R$6:$R$505,$M252)))</f>
        <v/>
      </c>
      <c r="K252" s="6" t="str">
        <f aca="false">IF($M252=0,"",IF(INDEX('Line Detail'!$S$6:$S$505,$M252)="","",INDEX('Line Detail'!$S$6:$S$505,$M252)))</f>
        <v/>
      </c>
      <c r="L252" s="1"/>
      <c r="M252" s="63" t="n">
        <f aca="false">IFERROR(MATCH(247,'Line Detail'!$W$6:$W$505,0),0)</f>
        <v>0</v>
      </c>
    </row>
    <row r="253" customFormat="false" ht="15" hidden="false" customHeight="false" outlineLevel="0" collapsed="false">
      <c r="A253" s="13" t="str">
        <f aca="false">IF($M253=0,"",248)</f>
        <v/>
      </c>
      <c r="B253" s="13" t="str">
        <f aca="false">IF($M253=0,"",IF(INDEX('Line Detail'!$B$6:$B$505,$M253)="","",INDEX('Line Detail'!$B$6:$B$505,$M253)))</f>
        <v/>
      </c>
      <c r="C253" s="13" t="str">
        <f aca="false">IF($M253=0,"",IF(INDEX('Line Detail'!$C$6:$C$505,$M253)="","",INDEX('Line Detail'!$C$6:$C$505,$M253)))</f>
        <v/>
      </c>
      <c r="D253" s="13" t="str">
        <f aca="false">IF($M253=0,"",IF(INDEX('Line Detail'!$D$6:$D$505,$M253)="","",INDEX('Line Detail'!$D$6:$D$505,$M253)))</f>
        <v/>
      </c>
      <c r="E253" s="13" t="str">
        <f aca="false">IF($M253=0,"",IF(INDEX('Line Detail'!$E$6:$E$505,$M253)="","",INDEX('Line Detail'!$E$6:$E$505,$M253)))</f>
        <v/>
      </c>
      <c r="F253" s="6" t="str">
        <f aca="false">IF($M253=0,"",IF(INDEX('Line Detail'!$F$6:$F$505,$M253)="","",INDEX('Line Detail'!$F$6:$F$505,$M253)))</f>
        <v/>
      </c>
      <c r="G253" s="62" t="str">
        <f aca="false">IF($M253=0,"",IF(INDEX('Line Detail'!$G$6:$G$505,$M253)="","",INDEX('Line Detail'!$G$6:$G$505,$M253)))</f>
        <v/>
      </c>
      <c r="H253" s="13" t="str">
        <f aca="false">IF($M253=0,"",IF(INDEX('Line Detail'!$H$6:$H$505,$M253)="","",INDEX('Line Detail'!$H$6:$H$505,$M253)))</f>
        <v/>
      </c>
      <c r="I253" s="34" t="str">
        <f aca="false">IF($M253=0,"",IF(INDEX('Line Detail'!$O$6:$O$505,$M253)="","",INDEX('Line Detail'!$O$6:$O$505,$M253)))</f>
        <v/>
      </c>
      <c r="J253" s="34" t="str">
        <f aca="false">IF($M253=0,"",IF(INDEX('Line Detail'!$R$6:$R$505,$M253)="","",INDEX('Line Detail'!$R$6:$R$505,$M253)))</f>
        <v/>
      </c>
      <c r="K253" s="6" t="str">
        <f aca="false">IF($M253=0,"",IF(INDEX('Line Detail'!$S$6:$S$505,$M253)="","",INDEX('Line Detail'!$S$6:$S$505,$M253)))</f>
        <v/>
      </c>
      <c r="L253" s="1"/>
      <c r="M253" s="63" t="n">
        <f aca="false">IFERROR(MATCH(248,'Line Detail'!$W$6:$W$505,0),0)</f>
        <v>0</v>
      </c>
    </row>
    <row r="254" customFormat="false" ht="15" hidden="false" customHeight="false" outlineLevel="0" collapsed="false">
      <c r="A254" s="13" t="str">
        <f aca="false">IF($M254=0,"",249)</f>
        <v/>
      </c>
      <c r="B254" s="13" t="str">
        <f aca="false">IF($M254=0,"",IF(INDEX('Line Detail'!$B$6:$B$505,$M254)="","",INDEX('Line Detail'!$B$6:$B$505,$M254)))</f>
        <v/>
      </c>
      <c r="C254" s="13" t="str">
        <f aca="false">IF($M254=0,"",IF(INDEX('Line Detail'!$C$6:$C$505,$M254)="","",INDEX('Line Detail'!$C$6:$C$505,$M254)))</f>
        <v/>
      </c>
      <c r="D254" s="13" t="str">
        <f aca="false">IF($M254=0,"",IF(INDEX('Line Detail'!$D$6:$D$505,$M254)="","",INDEX('Line Detail'!$D$6:$D$505,$M254)))</f>
        <v/>
      </c>
      <c r="E254" s="13" t="str">
        <f aca="false">IF($M254=0,"",IF(INDEX('Line Detail'!$E$6:$E$505,$M254)="","",INDEX('Line Detail'!$E$6:$E$505,$M254)))</f>
        <v/>
      </c>
      <c r="F254" s="6" t="str">
        <f aca="false">IF($M254=0,"",IF(INDEX('Line Detail'!$F$6:$F$505,$M254)="","",INDEX('Line Detail'!$F$6:$F$505,$M254)))</f>
        <v/>
      </c>
      <c r="G254" s="62" t="str">
        <f aca="false">IF($M254=0,"",IF(INDEX('Line Detail'!$G$6:$G$505,$M254)="","",INDEX('Line Detail'!$G$6:$G$505,$M254)))</f>
        <v/>
      </c>
      <c r="H254" s="13" t="str">
        <f aca="false">IF($M254=0,"",IF(INDEX('Line Detail'!$H$6:$H$505,$M254)="","",INDEX('Line Detail'!$H$6:$H$505,$M254)))</f>
        <v/>
      </c>
      <c r="I254" s="34" t="str">
        <f aca="false">IF($M254=0,"",IF(INDEX('Line Detail'!$O$6:$O$505,$M254)="","",INDEX('Line Detail'!$O$6:$O$505,$M254)))</f>
        <v/>
      </c>
      <c r="J254" s="34" t="str">
        <f aca="false">IF($M254=0,"",IF(INDEX('Line Detail'!$R$6:$R$505,$M254)="","",INDEX('Line Detail'!$R$6:$R$505,$M254)))</f>
        <v/>
      </c>
      <c r="K254" s="6" t="str">
        <f aca="false">IF($M254=0,"",IF(INDEX('Line Detail'!$S$6:$S$505,$M254)="","",INDEX('Line Detail'!$S$6:$S$505,$M254)))</f>
        <v/>
      </c>
      <c r="L254" s="1"/>
      <c r="M254" s="63" t="n">
        <f aca="false">IFERROR(MATCH(249,'Line Detail'!$W$6:$W$505,0),0)</f>
        <v>0</v>
      </c>
    </row>
    <row r="255" customFormat="false" ht="15" hidden="false" customHeight="false" outlineLevel="0" collapsed="false">
      <c r="A255" s="13" t="str">
        <f aca="false">IF($M255=0,"",250)</f>
        <v/>
      </c>
      <c r="B255" s="13" t="str">
        <f aca="false">IF($M255=0,"",IF(INDEX('Line Detail'!$B$6:$B$505,$M255)="","",INDEX('Line Detail'!$B$6:$B$505,$M255)))</f>
        <v/>
      </c>
      <c r="C255" s="13" t="str">
        <f aca="false">IF($M255=0,"",IF(INDEX('Line Detail'!$C$6:$C$505,$M255)="","",INDEX('Line Detail'!$C$6:$C$505,$M255)))</f>
        <v/>
      </c>
      <c r="D255" s="13" t="str">
        <f aca="false">IF($M255=0,"",IF(INDEX('Line Detail'!$D$6:$D$505,$M255)="","",INDEX('Line Detail'!$D$6:$D$505,$M255)))</f>
        <v/>
      </c>
      <c r="E255" s="13" t="str">
        <f aca="false">IF($M255=0,"",IF(INDEX('Line Detail'!$E$6:$E$505,$M255)="","",INDEX('Line Detail'!$E$6:$E$505,$M255)))</f>
        <v/>
      </c>
      <c r="F255" s="6" t="str">
        <f aca="false">IF($M255=0,"",IF(INDEX('Line Detail'!$F$6:$F$505,$M255)="","",INDEX('Line Detail'!$F$6:$F$505,$M255)))</f>
        <v/>
      </c>
      <c r="G255" s="62" t="str">
        <f aca="false">IF($M255=0,"",IF(INDEX('Line Detail'!$G$6:$G$505,$M255)="","",INDEX('Line Detail'!$G$6:$G$505,$M255)))</f>
        <v/>
      </c>
      <c r="H255" s="13" t="str">
        <f aca="false">IF($M255=0,"",IF(INDEX('Line Detail'!$H$6:$H$505,$M255)="","",INDEX('Line Detail'!$H$6:$H$505,$M255)))</f>
        <v/>
      </c>
      <c r="I255" s="34" t="str">
        <f aca="false">IF($M255=0,"",IF(INDEX('Line Detail'!$O$6:$O$505,$M255)="","",INDEX('Line Detail'!$O$6:$O$505,$M255)))</f>
        <v/>
      </c>
      <c r="J255" s="34" t="str">
        <f aca="false">IF($M255=0,"",IF(INDEX('Line Detail'!$R$6:$R$505,$M255)="","",INDEX('Line Detail'!$R$6:$R$505,$M255)))</f>
        <v/>
      </c>
      <c r="K255" s="6" t="str">
        <f aca="false">IF($M255=0,"",IF(INDEX('Line Detail'!$S$6:$S$505,$M255)="","",INDEX('Line Detail'!$S$6:$S$505,$M255)))</f>
        <v/>
      </c>
      <c r="L255" s="1"/>
      <c r="M255" s="63" t="n">
        <f aca="false">IFERROR(MATCH(250,'Line Detail'!$W$6:$W$505,0),0)</f>
        <v>0</v>
      </c>
    </row>
    <row r="256" customFormat="false" ht="15" hidden="false" customHeight="false" outlineLevel="0" collapsed="false">
      <c r="A256" s="13" t="str">
        <f aca="false">IF($M256=0,"",251)</f>
        <v/>
      </c>
      <c r="B256" s="13" t="str">
        <f aca="false">IF($M256=0,"",IF(INDEX('Line Detail'!$B$6:$B$505,$M256)="","",INDEX('Line Detail'!$B$6:$B$505,$M256)))</f>
        <v/>
      </c>
      <c r="C256" s="13" t="str">
        <f aca="false">IF($M256=0,"",IF(INDEX('Line Detail'!$C$6:$C$505,$M256)="","",INDEX('Line Detail'!$C$6:$C$505,$M256)))</f>
        <v/>
      </c>
      <c r="D256" s="13" t="str">
        <f aca="false">IF($M256=0,"",IF(INDEX('Line Detail'!$D$6:$D$505,$M256)="","",INDEX('Line Detail'!$D$6:$D$505,$M256)))</f>
        <v/>
      </c>
      <c r="E256" s="13" t="str">
        <f aca="false">IF($M256=0,"",IF(INDEX('Line Detail'!$E$6:$E$505,$M256)="","",INDEX('Line Detail'!$E$6:$E$505,$M256)))</f>
        <v/>
      </c>
      <c r="F256" s="6" t="str">
        <f aca="false">IF($M256=0,"",IF(INDEX('Line Detail'!$F$6:$F$505,$M256)="","",INDEX('Line Detail'!$F$6:$F$505,$M256)))</f>
        <v/>
      </c>
      <c r="G256" s="62" t="str">
        <f aca="false">IF($M256=0,"",IF(INDEX('Line Detail'!$G$6:$G$505,$M256)="","",INDEX('Line Detail'!$G$6:$G$505,$M256)))</f>
        <v/>
      </c>
      <c r="H256" s="13" t="str">
        <f aca="false">IF($M256=0,"",IF(INDEX('Line Detail'!$H$6:$H$505,$M256)="","",INDEX('Line Detail'!$H$6:$H$505,$M256)))</f>
        <v/>
      </c>
      <c r="I256" s="34" t="str">
        <f aca="false">IF($M256=0,"",IF(INDEX('Line Detail'!$O$6:$O$505,$M256)="","",INDEX('Line Detail'!$O$6:$O$505,$M256)))</f>
        <v/>
      </c>
      <c r="J256" s="34" t="str">
        <f aca="false">IF($M256=0,"",IF(INDEX('Line Detail'!$R$6:$R$505,$M256)="","",INDEX('Line Detail'!$R$6:$R$505,$M256)))</f>
        <v/>
      </c>
      <c r="K256" s="6" t="str">
        <f aca="false">IF($M256=0,"",IF(INDEX('Line Detail'!$S$6:$S$505,$M256)="","",INDEX('Line Detail'!$S$6:$S$505,$M256)))</f>
        <v/>
      </c>
      <c r="L256" s="1"/>
      <c r="M256" s="63" t="n">
        <f aca="false">IFERROR(MATCH(251,'Line Detail'!$W$6:$W$505,0),0)</f>
        <v>0</v>
      </c>
    </row>
    <row r="257" customFormat="false" ht="15" hidden="false" customHeight="false" outlineLevel="0" collapsed="false">
      <c r="A257" s="13" t="str">
        <f aca="false">IF($M257=0,"",252)</f>
        <v/>
      </c>
      <c r="B257" s="13" t="str">
        <f aca="false">IF($M257=0,"",IF(INDEX('Line Detail'!$B$6:$B$505,$M257)="","",INDEX('Line Detail'!$B$6:$B$505,$M257)))</f>
        <v/>
      </c>
      <c r="C257" s="13" t="str">
        <f aca="false">IF($M257=0,"",IF(INDEX('Line Detail'!$C$6:$C$505,$M257)="","",INDEX('Line Detail'!$C$6:$C$505,$M257)))</f>
        <v/>
      </c>
      <c r="D257" s="13" t="str">
        <f aca="false">IF($M257=0,"",IF(INDEX('Line Detail'!$D$6:$D$505,$M257)="","",INDEX('Line Detail'!$D$6:$D$505,$M257)))</f>
        <v/>
      </c>
      <c r="E257" s="13" t="str">
        <f aca="false">IF($M257=0,"",IF(INDEX('Line Detail'!$E$6:$E$505,$M257)="","",INDEX('Line Detail'!$E$6:$E$505,$M257)))</f>
        <v/>
      </c>
      <c r="F257" s="6" t="str">
        <f aca="false">IF($M257=0,"",IF(INDEX('Line Detail'!$F$6:$F$505,$M257)="","",INDEX('Line Detail'!$F$6:$F$505,$M257)))</f>
        <v/>
      </c>
      <c r="G257" s="62" t="str">
        <f aca="false">IF($M257=0,"",IF(INDEX('Line Detail'!$G$6:$G$505,$M257)="","",INDEX('Line Detail'!$G$6:$G$505,$M257)))</f>
        <v/>
      </c>
      <c r="H257" s="13" t="str">
        <f aca="false">IF($M257=0,"",IF(INDEX('Line Detail'!$H$6:$H$505,$M257)="","",INDEX('Line Detail'!$H$6:$H$505,$M257)))</f>
        <v/>
      </c>
      <c r="I257" s="34" t="str">
        <f aca="false">IF($M257=0,"",IF(INDEX('Line Detail'!$O$6:$O$505,$M257)="","",INDEX('Line Detail'!$O$6:$O$505,$M257)))</f>
        <v/>
      </c>
      <c r="J257" s="34" t="str">
        <f aca="false">IF($M257=0,"",IF(INDEX('Line Detail'!$R$6:$R$505,$M257)="","",INDEX('Line Detail'!$R$6:$R$505,$M257)))</f>
        <v/>
      </c>
      <c r="K257" s="6" t="str">
        <f aca="false">IF($M257=0,"",IF(INDEX('Line Detail'!$S$6:$S$505,$M257)="","",INDEX('Line Detail'!$S$6:$S$505,$M257)))</f>
        <v/>
      </c>
      <c r="L257" s="1"/>
      <c r="M257" s="63" t="n">
        <f aca="false">IFERROR(MATCH(252,'Line Detail'!$W$6:$W$505,0),0)</f>
        <v>0</v>
      </c>
    </row>
    <row r="258" customFormat="false" ht="15" hidden="false" customHeight="false" outlineLevel="0" collapsed="false">
      <c r="A258" s="13" t="str">
        <f aca="false">IF($M258=0,"",253)</f>
        <v/>
      </c>
      <c r="B258" s="13" t="str">
        <f aca="false">IF($M258=0,"",IF(INDEX('Line Detail'!$B$6:$B$505,$M258)="","",INDEX('Line Detail'!$B$6:$B$505,$M258)))</f>
        <v/>
      </c>
      <c r="C258" s="13" t="str">
        <f aca="false">IF($M258=0,"",IF(INDEX('Line Detail'!$C$6:$C$505,$M258)="","",INDEX('Line Detail'!$C$6:$C$505,$M258)))</f>
        <v/>
      </c>
      <c r="D258" s="13" t="str">
        <f aca="false">IF($M258=0,"",IF(INDEX('Line Detail'!$D$6:$D$505,$M258)="","",INDEX('Line Detail'!$D$6:$D$505,$M258)))</f>
        <v/>
      </c>
      <c r="E258" s="13" t="str">
        <f aca="false">IF($M258=0,"",IF(INDEX('Line Detail'!$E$6:$E$505,$M258)="","",INDEX('Line Detail'!$E$6:$E$505,$M258)))</f>
        <v/>
      </c>
      <c r="F258" s="6" t="str">
        <f aca="false">IF($M258=0,"",IF(INDEX('Line Detail'!$F$6:$F$505,$M258)="","",INDEX('Line Detail'!$F$6:$F$505,$M258)))</f>
        <v/>
      </c>
      <c r="G258" s="62" t="str">
        <f aca="false">IF($M258=0,"",IF(INDEX('Line Detail'!$G$6:$G$505,$M258)="","",INDEX('Line Detail'!$G$6:$G$505,$M258)))</f>
        <v/>
      </c>
      <c r="H258" s="13" t="str">
        <f aca="false">IF($M258=0,"",IF(INDEX('Line Detail'!$H$6:$H$505,$M258)="","",INDEX('Line Detail'!$H$6:$H$505,$M258)))</f>
        <v/>
      </c>
      <c r="I258" s="34" t="str">
        <f aca="false">IF($M258=0,"",IF(INDEX('Line Detail'!$O$6:$O$505,$M258)="","",INDEX('Line Detail'!$O$6:$O$505,$M258)))</f>
        <v/>
      </c>
      <c r="J258" s="34" t="str">
        <f aca="false">IF($M258=0,"",IF(INDEX('Line Detail'!$R$6:$R$505,$M258)="","",INDEX('Line Detail'!$R$6:$R$505,$M258)))</f>
        <v/>
      </c>
      <c r="K258" s="6" t="str">
        <f aca="false">IF($M258=0,"",IF(INDEX('Line Detail'!$S$6:$S$505,$M258)="","",INDEX('Line Detail'!$S$6:$S$505,$M258)))</f>
        <v/>
      </c>
      <c r="L258" s="1"/>
      <c r="M258" s="63" t="n">
        <f aca="false">IFERROR(MATCH(253,'Line Detail'!$W$6:$W$505,0),0)</f>
        <v>0</v>
      </c>
    </row>
    <row r="259" customFormat="false" ht="15" hidden="false" customHeight="false" outlineLevel="0" collapsed="false">
      <c r="A259" s="13" t="str">
        <f aca="false">IF($M259=0,"",254)</f>
        <v/>
      </c>
      <c r="B259" s="13" t="str">
        <f aca="false">IF($M259=0,"",IF(INDEX('Line Detail'!$B$6:$B$505,$M259)="","",INDEX('Line Detail'!$B$6:$B$505,$M259)))</f>
        <v/>
      </c>
      <c r="C259" s="13" t="str">
        <f aca="false">IF($M259=0,"",IF(INDEX('Line Detail'!$C$6:$C$505,$M259)="","",INDEX('Line Detail'!$C$6:$C$505,$M259)))</f>
        <v/>
      </c>
      <c r="D259" s="13" t="str">
        <f aca="false">IF($M259=0,"",IF(INDEX('Line Detail'!$D$6:$D$505,$M259)="","",INDEX('Line Detail'!$D$6:$D$505,$M259)))</f>
        <v/>
      </c>
      <c r="E259" s="13" t="str">
        <f aca="false">IF($M259=0,"",IF(INDEX('Line Detail'!$E$6:$E$505,$M259)="","",INDEX('Line Detail'!$E$6:$E$505,$M259)))</f>
        <v/>
      </c>
      <c r="F259" s="6" t="str">
        <f aca="false">IF($M259=0,"",IF(INDEX('Line Detail'!$F$6:$F$505,$M259)="","",INDEX('Line Detail'!$F$6:$F$505,$M259)))</f>
        <v/>
      </c>
      <c r="G259" s="62" t="str">
        <f aca="false">IF($M259=0,"",IF(INDEX('Line Detail'!$G$6:$G$505,$M259)="","",INDEX('Line Detail'!$G$6:$G$505,$M259)))</f>
        <v/>
      </c>
      <c r="H259" s="13" t="str">
        <f aca="false">IF($M259=0,"",IF(INDEX('Line Detail'!$H$6:$H$505,$M259)="","",INDEX('Line Detail'!$H$6:$H$505,$M259)))</f>
        <v/>
      </c>
      <c r="I259" s="34" t="str">
        <f aca="false">IF($M259=0,"",IF(INDEX('Line Detail'!$O$6:$O$505,$M259)="","",INDEX('Line Detail'!$O$6:$O$505,$M259)))</f>
        <v/>
      </c>
      <c r="J259" s="34" t="str">
        <f aca="false">IF($M259=0,"",IF(INDEX('Line Detail'!$R$6:$R$505,$M259)="","",INDEX('Line Detail'!$R$6:$R$505,$M259)))</f>
        <v/>
      </c>
      <c r="K259" s="6" t="str">
        <f aca="false">IF($M259=0,"",IF(INDEX('Line Detail'!$S$6:$S$505,$M259)="","",INDEX('Line Detail'!$S$6:$S$505,$M259)))</f>
        <v/>
      </c>
      <c r="L259" s="1"/>
      <c r="M259" s="63" t="n">
        <f aca="false">IFERROR(MATCH(254,'Line Detail'!$W$6:$W$505,0),0)</f>
        <v>0</v>
      </c>
    </row>
    <row r="260" customFormat="false" ht="15" hidden="false" customHeight="false" outlineLevel="0" collapsed="false">
      <c r="A260" s="13" t="str">
        <f aca="false">IF($M260=0,"",255)</f>
        <v/>
      </c>
      <c r="B260" s="13" t="str">
        <f aca="false">IF($M260=0,"",IF(INDEX('Line Detail'!$B$6:$B$505,$M260)="","",INDEX('Line Detail'!$B$6:$B$505,$M260)))</f>
        <v/>
      </c>
      <c r="C260" s="13" t="str">
        <f aca="false">IF($M260=0,"",IF(INDEX('Line Detail'!$C$6:$C$505,$M260)="","",INDEX('Line Detail'!$C$6:$C$505,$M260)))</f>
        <v/>
      </c>
      <c r="D260" s="13" t="str">
        <f aca="false">IF($M260=0,"",IF(INDEX('Line Detail'!$D$6:$D$505,$M260)="","",INDEX('Line Detail'!$D$6:$D$505,$M260)))</f>
        <v/>
      </c>
      <c r="E260" s="13" t="str">
        <f aca="false">IF($M260=0,"",IF(INDEX('Line Detail'!$E$6:$E$505,$M260)="","",INDEX('Line Detail'!$E$6:$E$505,$M260)))</f>
        <v/>
      </c>
      <c r="F260" s="6" t="str">
        <f aca="false">IF($M260=0,"",IF(INDEX('Line Detail'!$F$6:$F$505,$M260)="","",INDEX('Line Detail'!$F$6:$F$505,$M260)))</f>
        <v/>
      </c>
      <c r="G260" s="62" t="str">
        <f aca="false">IF($M260=0,"",IF(INDEX('Line Detail'!$G$6:$G$505,$M260)="","",INDEX('Line Detail'!$G$6:$G$505,$M260)))</f>
        <v/>
      </c>
      <c r="H260" s="13" t="str">
        <f aca="false">IF($M260=0,"",IF(INDEX('Line Detail'!$H$6:$H$505,$M260)="","",INDEX('Line Detail'!$H$6:$H$505,$M260)))</f>
        <v/>
      </c>
      <c r="I260" s="34" t="str">
        <f aca="false">IF($M260=0,"",IF(INDEX('Line Detail'!$O$6:$O$505,$M260)="","",INDEX('Line Detail'!$O$6:$O$505,$M260)))</f>
        <v/>
      </c>
      <c r="J260" s="34" t="str">
        <f aca="false">IF($M260=0,"",IF(INDEX('Line Detail'!$R$6:$R$505,$M260)="","",INDEX('Line Detail'!$R$6:$R$505,$M260)))</f>
        <v/>
      </c>
      <c r="K260" s="6" t="str">
        <f aca="false">IF($M260=0,"",IF(INDEX('Line Detail'!$S$6:$S$505,$M260)="","",INDEX('Line Detail'!$S$6:$S$505,$M260)))</f>
        <v/>
      </c>
      <c r="L260" s="1"/>
      <c r="M260" s="63" t="n">
        <f aca="false">IFERROR(MATCH(255,'Line Detail'!$W$6:$W$505,0),0)</f>
        <v>0</v>
      </c>
    </row>
    <row r="261" customFormat="false" ht="15" hidden="false" customHeight="false" outlineLevel="0" collapsed="false">
      <c r="A261" s="13" t="str">
        <f aca="false">IF($M261=0,"",256)</f>
        <v/>
      </c>
      <c r="B261" s="13" t="str">
        <f aca="false">IF($M261=0,"",IF(INDEX('Line Detail'!$B$6:$B$505,$M261)="","",INDEX('Line Detail'!$B$6:$B$505,$M261)))</f>
        <v/>
      </c>
      <c r="C261" s="13" t="str">
        <f aca="false">IF($M261=0,"",IF(INDEX('Line Detail'!$C$6:$C$505,$M261)="","",INDEX('Line Detail'!$C$6:$C$505,$M261)))</f>
        <v/>
      </c>
      <c r="D261" s="13" t="str">
        <f aca="false">IF($M261=0,"",IF(INDEX('Line Detail'!$D$6:$D$505,$M261)="","",INDEX('Line Detail'!$D$6:$D$505,$M261)))</f>
        <v/>
      </c>
      <c r="E261" s="13" t="str">
        <f aca="false">IF($M261=0,"",IF(INDEX('Line Detail'!$E$6:$E$505,$M261)="","",INDEX('Line Detail'!$E$6:$E$505,$M261)))</f>
        <v/>
      </c>
      <c r="F261" s="6" t="str">
        <f aca="false">IF($M261=0,"",IF(INDEX('Line Detail'!$F$6:$F$505,$M261)="","",INDEX('Line Detail'!$F$6:$F$505,$M261)))</f>
        <v/>
      </c>
      <c r="G261" s="62" t="str">
        <f aca="false">IF($M261=0,"",IF(INDEX('Line Detail'!$G$6:$G$505,$M261)="","",INDEX('Line Detail'!$G$6:$G$505,$M261)))</f>
        <v/>
      </c>
      <c r="H261" s="13" t="str">
        <f aca="false">IF($M261=0,"",IF(INDEX('Line Detail'!$H$6:$H$505,$M261)="","",INDEX('Line Detail'!$H$6:$H$505,$M261)))</f>
        <v/>
      </c>
      <c r="I261" s="34" t="str">
        <f aca="false">IF($M261=0,"",IF(INDEX('Line Detail'!$O$6:$O$505,$M261)="","",INDEX('Line Detail'!$O$6:$O$505,$M261)))</f>
        <v/>
      </c>
      <c r="J261" s="34" t="str">
        <f aca="false">IF($M261=0,"",IF(INDEX('Line Detail'!$R$6:$R$505,$M261)="","",INDEX('Line Detail'!$R$6:$R$505,$M261)))</f>
        <v/>
      </c>
      <c r="K261" s="6" t="str">
        <f aca="false">IF($M261=0,"",IF(INDEX('Line Detail'!$S$6:$S$505,$M261)="","",INDEX('Line Detail'!$S$6:$S$505,$M261)))</f>
        <v/>
      </c>
      <c r="L261" s="1"/>
      <c r="M261" s="63" t="n">
        <f aca="false">IFERROR(MATCH(256,'Line Detail'!$W$6:$W$505,0),0)</f>
        <v>0</v>
      </c>
    </row>
    <row r="262" customFormat="false" ht="15" hidden="false" customHeight="false" outlineLevel="0" collapsed="false">
      <c r="A262" s="13" t="str">
        <f aca="false">IF($M262=0,"",257)</f>
        <v/>
      </c>
      <c r="B262" s="13" t="str">
        <f aca="false">IF($M262=0,"",IF(INDEX('Line Detail'!$B$6:$B$505,$M262)="","",INDEX('Line Detail'!$B$6:$B$505,$M262)))</f>
        <v/>
      </c>
      <c r="C262" s="13" t="str">
        <f aca="false">IF($M262=0,"",IF(INDEX('Line Detail'!$C$6:$C$505,$M262)="","",INDEX('Line Detail'!$C$6:$C$505,$M262)))</f>
        <v/>
      </c>
      <c r="D262" s="13" t="str">
        <f aca="false">IF($M262=0,"",IF(INDEX('Line Detail'!$D$6:$D$505,$M262)="","",INDEX('Line Detail'!$D$6:$D$505,$M262)))</f>
        <v/>
      </c>
      <c r="E262" s="13" t="str">
        <f aca="false">IF($M262=0,"",IF(INDEX('Line Detail'!$E$6:$E$505,$M262)="","",INDEX('Line Detail'!$E$6:$E$505,$M262)))</f>
        <v/>
      </c>
      <c r="F262" s="6" t="str">
        <f aca="false">IF($M262=0,"",IF(INDEX('Line Detail'!$F$6:$F$505,$M262)="","",INDEX('Line Detail'!$F$6:$F$505,$M262)))</f>
        <v/>
      </c>
      <c r="G262" s="62" t="str">
        <f aca="false">IF($M262=0,"",IF(INDEX('Line Detail'!$G$6:$G$505,$M262)="","",INDEX('Line Detail'!$G$6:$G$505,$M262)))</f>
        <v/>
      </c>
      <c r="H262" s="13" t="str">
        <f aca="false">IF($M262=0,"",IF(INDEX('Line Detail'!$H$6:$H$505,$M262)="","",INDEX('Line Detail'!$H$6:$H$505,$M262)))</f>
        <v/>
      </c>
      <c r="I262" s="34" t="str">
        <f aca="false">IF($M262=0,"",IF(INDEX('Line Detail'!$O$6:$O$505,$M262)="","",INDEX('Line Detail'!$O$6:$O$505,$M262)))</f>
        <v/>
      </c>
      <c r="J262" s="34" t="str">
        <f aca="false">IF($M262=0,"",IF(INDEX('Line Detail'!$R$6:$R$505,$M262)="","",INDEX('Line Detail'!$R$6:$R$505,$M262)))</f>
        <v/>
      </c>
      <c r="K262" s="6" t="str">
        <f aca="false">IF($M262=0,"",IF(INDEX('Line Detail'!$S$6:$S$505,$M262)="","",INDEX('Line Detail'!$S$6:$S$505,$M262)))</f>
        <v/>
      </c>
      <c r="L262" s="1"/>
      <c r="M262" s="63" t="n">
        <f aca="false">IFERROR(MATCH(257,'Line Detail'!$W$6:$W$505,0),0)</f>
        <v>0</v>
      </c>
    </row>
    <row r="263" customFormat="false" ht="15" hidden="false" customHeight="false" outlineLevel="0" collapsed="false">
      <c r="A263" s="13" t="str">
        <f aca="false">IF($M263=0,"",258)</f>
        <v/>
      </c>
      <c r="B263" s="13" t="str">
        <f aca="false">IF($M263=0,"",IF(INDEX('Line Detail'!$B$6:$B$505,$M263)="","",INDEX('Line Detail'!$B$6:$B$505,$M263)))</f>
        <v/>
      </c>
      <c r="C263" s="13" t="str">
        <f aca="false">IF($M263=0,"",IF(INDEX('Line Detail'!$C$6:$C$505,$M263)="","",INDEX('Line Detail'!$C$6:$C$505,$M263)))</f>
        <v/>
      </c>
      <c r="D263" s="13" t="str">
        <f aca="false">IF($M263=0,"",IF(INDEX('Line Detail'!$D$6:$D$505,$M263)="","",INDEX('Line Detail'!$D$6:$D$505,$M263)))</f>
        <v/>
      </c>
      <c r="E263" s="13" t="str">
        <f aca="false">IF($M263=0,"",IF(INDEX('Line Detail'!$E$6:$E$505,$M263)="","",INDEX('Line Detail'!$E$6:$E$505,$M263)))</f>
        <v/>
      </c>
      <c r="F263" s="6" t="str">
        <f aca="false">IF($M263=0,"",IF(INDEX('Line Detail'!$F$6:$F$505,$M263)="","",INDEX('Line Detail'!$F$6:$F$505,$M263)))</f>
        <v/>
      </c>
      <c r="G263" s="62" t="str">
        <f aca="false">IF($M263=0,"",IF(INDEX('Line Detail'!$G$6:$G$505,$M263)="","",INDEX('Line Detail'!$G$6:$G$505,$M263)))</f>
        <v/>
      </c>
      <c r="H263" s="13" t="str">
        <f aca="false">IF($M263=0,"",IF(INDEX('Line Detail'!$H$6:$H$505,$M263)="","",INDEX('Line Detail'!$H$6:$H$505,$M263)))</f>
        <v/>
      </c>
      <c r="I263" s="34" t="str">
        <f aca="false">IF($M263=0,"",IF(INDEX('Line Detail'!$O$6:$O$505,$M263)="","",INDEX('Line Detail'!$O$6:$O$505,$M263)))</f>
        <v/>
      </c>
      <c r="J263" s="34" t="str">
        <f aca="false">IF($M263=0,"",IF(INDEX('Line Detail'!$R$6:$R$505,$M263)="","",INDEX('Line Detail'!$R$6:$R$505,$M263)))</f>
        <v/>
      </c>
      <c r="K263" s="6" t="str">
        <f aca="false">IF($M263=0,"",IF(INDEX('Line Detail'!$S$6:$S$505,$M263)="","",INDEX('Line Detail'!$S$6:$S$505,$M263)))</f>
        <v/>
      </c>
      <c r="L263" s="1"/>
      <c r="M263" s="63" t="n">
        <f aca="false">IFERROR(MATCH(258,'Line Detail'!$W$6:$W$505,0),0)</f>
        <v>0</v>
      </c>
    </row>
    <row r="264" customFormat="false" ht="15" hidden="false" customHeight="false" outlineLevel="0" collapsed="false">
      <c r="A264" s="13" t="str">
        <f aca="false">IF($M264=0,"",259)</f>
        <v/>
      </c>
      <c r="B264" s="13" t="str">
        <f aca="false">IF($M264=0,"",IF(INDEX('Line Detail'!$B$6:$B$505,$M264)="","",INDEX('Line Detail'!$B$6:$B$505,$M264)))</f>
        <v/>
      </c>
      <c r="C264" s="13" t="str">
        <f aca="false">IF($M264=0,"",IF(INDEX('Line Detail'!$C$6:$C$505,$M264)="","",INDEX('Line Detail'!$C$6:$C$505,$M264)))</f>
        <v/>
      </c>
      <c r="D264" s="13" t="str">
        <f aca="false">IF($M264=0,"",IF(INDEX('Line Detail'!$D$6:$D$505,$M264)="","",INDEX('Line Detail'!$D$6:$D$505,$M264)))</f>
        <v/>
      </c>
      <c r="E264" s="13" t="str">
        <f aca="false">IF($M264=0,"",IF(INDEX('Line Detail'!$E$6:$E$505,$M264)="","",INDEX('Line Detail'!$E$6:$E$505,$M264)))</f>
        <v/>
      </c>
      <c r="F264" s="6" t="str">
        <f aca="false">IF($M264=0,"",IF(INDEX('Line Detail'!$F$6:$F$505,$M264)="","",INDEX('Line Detail'!$F$6:$F$505,$M264)))</f>
        <v/>
      </c>
      <c r="G264" s="62" t="str">
        <f aca="false">IF($M264=0,"",IF(INDEX('Line Detail'!$G$6:$G$505,$M264)="","",INDEX('Line Detail'!$G$6:$G$505,$M264)))</f>
        <v/>
      </c>
      <c r="H264" s="13" t="str">
        <f aca="false">IF($M264=0,"",IF(INDEX('Line Detail'!$H$6:$H$505,$M264)="","",INDEX('Line Detail'!$H$6:$H$505,$M264)))</f>
        <v/>
      </c>
      <c r="I264" s="34" t="str">
        <f aca="false">IF($M264=0,"",IF(INDEX('Line Detail'!$O$6:$O$505,$M264)="","",INDEX('Line Detail'!$O$6:$O$505,$M264)))</f>
        <v/>
      </c>
      <c r="J264" s="34" t="str">
        <f aca="false">IF($M264=0,"",IF(INDEX('Line Detail'!$R$6:$R$505,$M264)="","",INDEX('Line Detail'!$R$6:$R$505,$M264)))</f>
        <v/>
      </c>
      <c r="K264" s="6" t="str">
        <f aca="false">IF($M264=0,"",IF(INDEX('Line Detail'!$S$6:$S$505,$M264)="","",INDEX('Line Detail'!$S$6:$S$505,$M264)))</f>
        <v/>
      </c>
      <c r="L264" s="1"/>
      <c r="M264" s="63" t="n">
        <f aca="false">IFERROR(MATCH(259,'Line Detail'!$W$6:$W$505,0),0)</f>
        <v>0</v>
      </c>
    </row>
    <row r="265" customFormat="false" ht="15" hidden="false" customHeight="false" outlineLevel="0" collapsed="false">
      <c r="A265" s="13" t="str">
        <f aca="false">IF($M265=0,"",260)</f>
        <v/>
      </c>
      <c r="B265" s="13" t="str">
        <f aca="false">IF($M265=0,"",IF(INDEX('Line Detail'!$B$6:$B$505,$M265)="","",INDEX('Line Detail'!$B$6:$B$505,$M265)))</f>
        <v/>
      </c>
      <c r="C265" s="13" t="str">
        <f aca="false">IF($M265=0,"",IF(INDEX('Line Detail'!$C$6:$C$505,$M265)="","",INDEX('Line Detail'!$C$6:$C$505,$M265)))</f>
        <v/>
      </c>
      <c r="D265" s="13" t="str">
        <f aca="false">IF($M265=0,"",IF(INDEX('Line Detail'!$D$6:$D$505,$M265)="","",INDEX('Line Detail'!$D$6:$D$505,$M265)))</f>
        <v/>
      </c>
      <c r="E265" s="13" t="str">
        <f aca="false">IF($M265=0,"",IF(INDEX('Line Detail'!$E$6:$E$505,$M265)="","",INDEX('Line Detail'!$E$6:$E$505,$M265)))</f>
        <v/>
      </c>
      <c r="F265" s="6" t="str">
        <f aca="false">IF($M265=0,"",IF(INDEX('Line Detail'!$F$6:$F$505,$M265)="","",INDEX('Line Detail'!$F$6:$F$505,$M265)))</f>
        <v/>
      </c>
      <c r="G265" s="62" t="str">
        <f aca="false">IF($M265=0,"",IF(INDEX('Line Detail'!$G$6:$G$505,$M265)="","",INDEX('Line Detail'!$G$6:$G$505,$M265)))</f>
        <v/>
      </c>
      <c r="H265" s="13" t="str">
        <f aca="false">IF($M265=0,"",IF(INDEX('Line Detail'!$H$6:$H$505,$M265)="","",INDEX('Line Detail'!$H$6:$H$505,$M265)))</f>
        <v/>
      </c>
      <c r="I265" s="34" t="str">
        <f aca="false">IF($M265=0,"",IF(INDEX('Line Detail'!$O$6:$O$505,$M265)="","",INDEX('Line Detail'!$O$6:$O$505,$M265)))</f>
        <v/>
      </c>
      <c r="J265" s="34" t="str">
        <f aca="false">IF($M265=0,"",IF(INDEX('Line Detail'!$R$6:$R$505,$M265)="","",INDEX('Line Detail'!$R$6:$R$505,$M265)))</f>
        <v/>
      </c>
      <c r="K265" s="6" t="str">
        <f aca="false">IF($M265=0,"",IF(INDEX('Line Detail'!$S$6:$S$505,$M265)="","",INDEX('Line Detail'!$S$6:$S$505,$M265)))</f>
        <v/>
      </c>
      <c r="L265" s="1"/>
      <c r="M265" s="63" t="n">
        <f aca="false">IFERROR(MATCH(260,'Line Detail'!$W$6:$W$505,0),0)</f>
        <v>0</v>
      </c>
    </row>
    <row r="266" customFormat="false" ht="15" hidden="false" customHeight="false" outlineLevel="0" collapsed="false">
      <c r="A266" s="13" t="str">
        <f aca="false">IF($M266=0,"",261)</f>
        <v/>
      </c>
      <c r="B266" s="13" t="str">
        <f aca="false">IF($M266=0,"",IF(INDEX('Line Detail'!$B$6:$B$505,$M266)="","",INDEX('Line Detail'!$B$6:$B$505,$M266)))</f>
        <v/>
      </c>
      <c r="C266" s="13" t="str">
        <f aca="false">IF($M266=0,"",IF(INDEX('Line Detail'!$C$6:$C$505,$M266)="","",INDEX('Line Detail'!$C$6:$C$505,$M266)))</f>
        <v/>
      </c>
      <c r="D266" s="13" t="str">
        <f aca="false">IF($M266=0,"",IF(INDEX('Line Detail'!$D$6:$D$505,$M266)="","",INDEX('Line Detail'!$D$6:$D$505,$M266)))</f>
        <v/>
      </c>
      <c r="E266" s="13" t="str">
        <f aca="false">IF($M266=0,"",IF(INDEX('Line Detail'!$E$6:$E$505,$M266)="","",INDEX('Line Detail'!$E$6:$E$505,$M266)))</f>
        <v/>
      </c>
      <c r="F266" s="6" t="str">
        <f aca="false">IF($M266=0,"",IF(INDEX('Line Detail'!$F$6:$F$505,$M266)="","",INDEX('Line Detail'!$F$6:$F$505,$M266)))</f>
        <v/>
      </c>
      <c r="G266" s="62" t="str">
        <f aca="false">IF($M266=0,"",IF(INDEX('Line Detail'!$G$6:$G$505,$M266)="","",INDEX('Line Detail'!$G$6:$G$505,$M266)))</f>
        <v/>
      </c>
      <c r="H266" s="13" t="str">
        <f aca="false">IF($M266=0,"",IF(INDEX('Line Detail'!$H$6:$H$505,$M266)="","",INDEX('Line Detail'!$H$6:$H$505,$M266)))</f>
        <v/>
      </c>
      <c r="I266" s="34" t="str">
        <f aca="false">IF($M266=0,"",IF(INDEX('Line Detail'!$O$6:$O$505,$M266)="","",INDEX('Line Detail'!$O$6:$O$505,$M266)))</f>
        <v/>
      </c>
      <c r="J266" s="34" t="str">
        <f aca="false">IF($M266=0,"",IF(INDEX('Line Detail'!$R$6:$R$505,$M266)="","",INDEX('Line Detail'!$R$6:$R$505,$M266)))</f>
        <v/>
      </c>
      <c r="K266" s="6" t="str">
        <f aca="false">IF($M266=0,"",IF(INDEX('Line Detail'!$S$6:$S$505,$M266)="","",INDEX('Line Detail'!$S$6:$S$505,$M266)))</f>
        <v/>
      </c>
      <c r="L266" s="1"/>
      <c r="M266" s="63" t="n">
        <f aca="false">IFERROR(MATCH(261,'Line Detail'!$W$6:$W$505,0),0)</f>
        <v>0</v>
      </c>
    </row>
    <row r="267" customFormat="false" ht="15" hidden="false" customHeight="false" outlineLevel="0" collapsed="false">
      <c r="A267" s="13" t="str">
        <f aca="false">IF($M267=0,"",262)</f>
        <v/>
      </c>
      <c r="B267" s="13" t="str">
        <f aca="false">IF($M267=0,"",IF(INDEX('Line Detail'!$B$6:$B$505,$M267)="","",INDEX('Line Detail'!$B$6:$B$505,$M267)))</f>
        <v/>
      </c>
      <c r="C267" s="13" t="str">
        <f aca="false">IF($M267=0,"",IF(INDEX('Line Detail'!$C$6:$C$505,$M267)="","",INDEX('Line Detail'!$C$6:$C$505,$M267)))</f>
        <v/>
      </c>
      <c r="D267" s="13" t="str">
        <f aca="false">IF($M267=0,"",IF(INDEX('Line Detail'!$D$6:$D$505,$M267)="","",INDEX('Line Detail'!$D$6:$D$505,$M267)))</f>
        <v/>
      </c>
      <c r="E267" s="13" t="str">
        <f aca="false">IF($M267=0,"",IF(INDEX('Line Detail'!$E$6:$E$505,$M267)="","",INDEX('Line Detail'!$E$6:$E$505,$M267)))</f>
        <v/>
      </c>
      <c r="F267" s="6" t="str">
        <f aca="false">IF($M267=0,"",IF(INDEX('Line Detail'!$F$6:$F$505,$M267)="","",INDEX('Line Detail'!$F$6:$F$505,$M267)))</f>
        <v/>
      </c>
      <c r="G267" s="62" t="str">
        <f aca="false">IF($M267=0,"",IF(INDEX('Line Detail'!$G$6:$G$505,$M267)="","",INDEX('Line Detail'!$G$6:$G$505,$M267)))</f>
        <v/>
      </c>
      <c r="H267" s="13" t="str">
        <f aca="false">IF($M267=0,"",IF(INDEX('Line Detail'!$H$6:$H$505,$M267)="","",INDEX('Line Detail'!$H$6:$H$505,$M267)))</f>
        <v/>
      </c>
      <c r="I267" s="34" t="str">
        <f aca="false">IF($M267=0,"",IF(INDEX('Line Detail'!$O$6:$O$505,$M267)="","",INDEX('Line Detail'!$O$6:$O$505,$M267)))</f>
        <v/>
      </c>
      <c r="J267" s="34" t="str">
        <f aca="false">IF($M267=0,"",IF(INDEX('Line Detail'!$R$6:$R$505,$M267)="","",INDEX('Line Detail'!$R$6:$R$505,$M267)))</f>
        <v/>
      </c>
      <c r="K267" s="6" t="str">
        <f aca="false">IF($M267=0,"",IF(INDEX('Line Detail'!$S$6:$S$505,$M267)="","",INDEX('Line Detail'!$S$6:$S$505,$M267)))</f>
        <v/>
      </c>
      <c r="L267" s="1"/>
      <c r="M267" s="63" t="n">
        <f aca="false">IFERROR(MATCH(262,'Line Detail'!$W$6:$W$505,0),0)</f>
        <v>0</v>
      </c>
    </row>
    <row r="268" customFormat="false" ht="15" hidden="false" customHeight="false" outlineLevel="0" collapsed="false">
      <c r="A268" s="13" t="str">
        <f aca="false">IF($M268=0,"",263)</f>
        <v/>
      </c>
      <c r="B268" s="13" t="str">
        <f aca="false">IF($M268=0,"",IF(INDEX('Line Detail'!$B$6:$B$505,$M268)="","",INDEX('Line Detail'!$B$6:$B$505,$M268)))</f>
        <v/>
      </c>
      <c r="C268" s="13" t="str">
        <f aca="false">IF($M268=0,"",IF(INDEX('Line Detail'!$C$6:$C$505,$M268)="","",INDEX('Line Detail'!$C$6:$C$505,$M268)))</f>
        <v/>
      </c>
      <c r="D268" s="13" t="str">
        <f aca="false">IF($M268=0,"",IF(INDEX('Line Detail'!$D$6:$D$505,$M268)="","",INDEX('Line Detail'!$D$6:$D$505,$M268)))</f>
        <v/>
      </c>
      <c r="E268" s="13" t="str">
        <f aca="false">IF($M268=0,"",IF(INDEX('Line Detail'!$E$6:$E$505,$M268)="","",INDEX('Line Detail'!$E$6:$E$505,$M268)))</f>
        <v/>
      </c>
      <c r="F268" s="6" t="str">
        <f aca="false">IF($M268=0,"",IF(INDEX('Line Detail'!$F$6:$F$505,$M268)="","",INDEX('Line Detail'!$F$6:$F$505,$M268)))</f>
        <v/>
      </c>
      <c r="G268" s="62" t="str">
        <f aca="false">IF($M268=0,"",IF(INDEX('Line Detail'!$G$6:$G$505,$M268)="","",INDEX('Line Detail'!$G$6:$G$505,$M268)))</f>
        <v/>
      </c>
      <c r="H268" s="13" t="str">
        <f aca="false">IF($M268=0,"",IF(INDEX('Line Detail'!$H$6:$H$505,$M268)="","",INDEX('Line Detail'!$H$6:$H$505,$M268)))</f>
        <v/>
      </c>
      <c r="I268" s="34" t="str">
        <f aca="false">IF($M268=0,"",IF(INDEX('Line Detail'!$O$6:$O$505,$M268)="","",INDEX('Line Detail'!$O$6:$O$505,$M268)))</f>
        <v/>
      </c>
      <c r="J268" s="34" t="str">
        <f aca="false">IF($M268=0,"",IF(INDEX('Line Detail'!$R$6:$R$505,$M268)="","",INDEX('Line Detail'!$R$6:$R$505,$M268)))</f>
        <v/>
      </c>
      <c r="K268" s="6" t="str">
        <f aca="false">IF($M268=0,"",IF(INDEX('Line Detail'!$S$6:$S$505,$M268)="","",INDEX('Line Detail'!$S$6:$S$505,$M268)))</f>
        <v/>
      </c>
      <c r="L268" s="1"/>
      <c r="M268" s="63" t="n">
        <f aca="false">IFERROR(MATCH(263,'Line Detail'!$W$6:$W$505,0),0)</f>
        <v>0</v>
      </c>
    </row>
    <row r="269" customFormat="false" ht="15" hidden="false" customHeight="false" outlineLevel="0" collapsed="false">
      <c r="A269" s="13" t="str">
        <f aca="false">IF($M269=0,"",264)</f>
        <v/>
      </c>
      <c r="B269" s="13" t="str">
        <f aca="false">IF($M269=0,"",IF(INDEX('Line Detail'!$B$6:$B$505,$M269)="","",INDEX('Line Detail'!$B$6:$B$505,$M269)))</f>
        <v/>
      </c>
      <c r="C269" s="13" t="str">
        <f aca="false">IF($M269=0,"",IF(INDEX('Line Detail'!$C$6:$C$505,$M269)="","",INDEX('Line Detail'!$C$6:$C$505,$M269)))</f>
        <v/>
      </c>
      <c r="D269" s="13" t="str">
        <f aca="false">IF($M269=0,"",IF(INDEX('Line Detail'!$D$6:$D$505,$M269)="","",INDEX('Line Detail'!$D$6:$D$505,$M269)))</f>
        <v/>
      </c>
      <c r="E269" s="13" t="str">
        <f aca="false">IF($M269=0,"",IF(INDEX('Line Detail'!$E$6:$E$505,$M269)="","",INDEX('Line Detail'!$E$6:$E$505,$M269)))</f>
        <v/>
      </c>
      <c r="F269" s="6" t="str">
        <f aca="false">IF($M269=0,"",IF(INDEX('Line Detail'!$F$6:$F$505,$M269)="","",INDEX('Line Detail'!$F$6:$F$505,$M269)))</f>
        <v/>
      </c>
      <c r="G269" s="62" t="str">
        <f aca="false">IF($M269=0,"",IF(INDEX('Line Detail'!$G$6:$G$505,$M269)="","",INDEX('Line Detail'!$G$6:$G$505,$M269)))</f>
        <v/>
      </c>
      <c r="H269" s="13" t="str">
        <f aca="false">IF($M269=0,"",IF(INDEX('Line Detail'!$H$6:$H$505,$M269)="","",INDEX('Line Detail'!$H$6:$H$505,$M269)))</f>
        <v/>
      </c>
      <c r="I269" s="34" t="str">
        <f aca="false">IF($M269=0,"",IF(INDEX('Line Detail'!$O$6:$O$505,$M269)="","",INDEX('Line Detail'!$O$6:$O$505,$M269)))</f>
        <v/>
      </c>
      <c r="J269" s="34" t="str">
        <f aca="false">IF($M269=0,"",IF(INDEX('Line Detail'!$R$6:$R$505,$M269)="","",INDEX('Line Detail'!$R$6:$R$505,$M269)))</f>
        <v/>
      </c>
      <c r="K269" s="6" t="str">
        <f aca="false">IF($M269=0,"",IF(INDEX('Line Detail'!$S$6:$S$505,$M269)="","",INDEX('Line Detail'!$S$6:$S$505,$M269)))</f>
        <v/>
      </c>
      <c r="L269" s="1"/>
      <c r="M269" s="63" t="n">
        <f aca="false">IFERROR(MATCH(264,'Line Detail'!$W$6:$W$505,0),0)</f>
        <v>0</v>
      </c>
    </row>
    <row r="270" customFormat="false" ht="15" hidden="false" customHeight="false" outlineLevel="0" collapsed="false">
      <c r="A270" s="13" t="str">
        <f aca="false">IF($M270=0,"",265)</f>
        <v/>
      </c>
      <c r="B270" s="13" t="str">
        <f aca="false">IF($M270=0,"",IF(INDEX('Line Detail'!$B$6:$B$505,$M270)="","",INDEX('Line Detail'!$B$6:$B$505,$M270)))</f>
        <v/>
      </c>
      <c r="C270" s="13" t="str">
        <f aca="false">IF($M270=0,"",IF(INDEX('Line Detail'!$C$6:$C$505,$M270)="","",INDEX('Line Detail'!$C$6:$C$505,$M270)))</f>
        <v/>
      </c>
      <c r="D270" s="13" t="str">
        <f aca="false">IF($M270=0,"",IF(INDEX('Line Detail'!$D$6:$D$505,$M270)="","",INDEX('Line Detail'!$D$6:$D$505,$M270)))</f>
        <v/>
      </c>
      <c r="E270" s="13" t="str">
        <f aca="false">IF($M270=0,"",IF(INDEX('Line Detail'!$E$6:$E$505,$M270)="","",INDEX('Line Detail'!$E$6:$E$505,$M270)))</f>
        <v/>
      </c>
      <c r="F270" s="6" t="str">
        <f aca="false">IF($M270=0,"",IF(INDEX('Line Detail'!$F$6:$F$505,$M270)="","",INDEX('Line Detail'!$F$6:$F$505,$M270)))</f>
        <v/>
      </c>
      <c r="G270" s="62" t="str">
        <f aca="false">IF($M270=0,"",IF(INDEX('Line Detail'!$G$6:$G$505,$M270)="","",INDEX('Line Detail'!$G$6:$G$505,$M270)))</f>
        <v/>
      </c>
      <c r="H270" s="13" t="str">
        <f aca="false">IF($M270=0,"",IF(INDEX('Line Detail'!$H$6:$H$505,$M270)="","",INDEX('Line Detail'!$H$6:$H$505,$M270)))</f>
        <v/>
      </c>
      <c r="I270" s="34" t="str">
        <f aca="false">IF($M270=0,"",IF(INDEX('Line Detail'!$O$6:$O$505,$M270)="","",INDEX('Line Detail'!$O$6:$O$505,$M270)))</f>
        <v/>
      </c>
      <c r="J270" s="34" t="str">
        <f aca="false">IF($M270=0,"",IF(INDEX('Line Detail'!$R$6:$R$505,$M270)="","",INDEX('Line Detail'!$R$6:$R$505,$M270)))</f>
        <v/>
      </c>
      <c r="K270" s="6" t="str">
        <f aca="false">IF($M270=0,"",IF(INDEX('Line Detail'!$S$6:$S$505,$M270)="","",INDEX('Line Detail'!$S$6:$S$505,$M270)))</f>
        <v/>
      </c>
      <c r="L270" s="1"/>
      <c r="M270" s="63" t="n">
        <f aca="false">IFERROR(MATCH(265,'Line Detail'!$W$6:$W$505,0),0)</f>
        <v>0</v>
      </c>
    </row>
    <row r="271" customFormat="false" ht="15" hidden="false" customHeight="false" outlineLevel="0" collapsed="false">
      <c r="A271" s="13" t="str">
        <f aca="false">IF($M271=0,"",266)</f>
        <v/>
      </c>
      <c r="B271" s="13" t="str">
        <f aca="false">IF($M271=0,"",IF(INDEX('Line Detail'!$B$6:$B$505,$M271)="","",INDEX('Line Detail'!$B$6:$B$505,$M271)))</f>
        <v/>
      </c>
      <c r="C271" s="13" t="str">
        <f aca="false">IF($M271=0,"",IF(INDEX('Line Detail'!$C$6:$C$505,$M271)="","",INDEX('Line Detail'!$C$6:$C$505,$M271)))</f>
        <v/>
      </c>
      <c r="D271" s="13" t="str">
        <f aca="false">IF($M271=0,"",IF(INDEX('Line Detail'!$D$6:$D$505,$M271)="","",INDEX('Line Detail'!$D$6:$D$505,$M271)))</f>
        <v/>
      </c>
      <c r="E271" s="13" t="str">
        <f aca="false">IF($M271=0,"",IF(INDEX('Line Detail'!$E$6:$E$505,$M271)="","",INDEX('Line Detail'!$E$6:$E$505,$M271)))</f>
        <v/>
      </c>
      <c r="F271" s="6" t="str">
        <f aca="false">IF($M271=0,"",IF(INDEX('Line Detail'!$F$6:$F$505,$M271)="","",INDEX('Line Detail'!$F$6:$F$505,$M271)))</f>
        <v/>
      </c>
      <c r="G271" s="62" t="str">
        <f aca="false">IF($M271=0,"",IF(INDEX('Line Detail'!$G$6:$G$505,$M271)="","",INDEX('Line Detail'!$G$6:$G$505,$M271)))</f>
        <v/>
      </c>
      <c r="H271" s="13" t="str">
        <f aca="false">IF($M271=0,"",IF(INDEX('Line Detail'!$H$6:$H$505,$M271)="","",INDEX('Line Detail'!$H$6:$H$505,$M271)))</f>
        <v/>
      </c>
      <c r="I271" s="34" t="str">
        <f aca="false">IF($M271=0,"",IF(INDEX('Line Detail'!$O$6:$O$505,$M271)="","",INDEX('Line Detail'!$O$6:$O$505,$M271)))</f>
        <v/>
      </c>
      <c r="J271" s="34" t="str">
        <f aca="false">IF($M271=0,"",IF(INDEX('Line Detail'!$R$6:$R$505,$M271)="","",INDEX('Line Detail'!$R$6:$R$505,$M271)))</f>
        <v/>
      </c>
      <c r="K271" s="6" t="str">
        <f aca="false">IF($M271=0,"",IF(INDEX('Line Detail'!$S$6:$S$505,$M271)="","",INDEX('Line Detail'!$S$6:$S$505,$M271)))</f>
        <v/>
      </c>
      <c r="L271" s="1"/>
      <c r="M271" s="63" t="n">
        <f aca="false">IFERROR(MATCH(266,'Line Detail'!$W$6:$W$505,0),0)</f>
        <v>0</v>
      </c>
    </row>
    <row r="272" customFormat="false" ht="15" hidden="false" customHeight="false" outlineLevel="0" collapsed="false">
      <c r="A272" s="13" t="str">
        <f aca="false">IF($M272=0,"",267)</f>
        <v/>
      </c>
      <c r="B272" s="13" t="str">
        <f aca="false">IF($M272=0,"",IF(INDEX('Line Detail'!$B$6:$B$505,$M272)="","",INDEX('Line Detail'!$B$6:$B$505,$M272)))</f>
        <v/>
      </c>
      <c r="C272" s="13" t="str">
        <f aca="false">IF($M272=0,"",IF(INDEX('Line Detail'!$C$6:$C$505,$M272)="","",INDEX('Line Detail'!$C$6:$C$505,$M272)))</f>
        <v/>
      </c>
      <c r="D272" s="13" t="str">
        <f aca="false">IF($M272=0,"",IF(INDEX('Line Detail'!$D$6:$D$505,$M272)="","",INDEX('Line Detail'!$D$6:$D$505,$M272)))</f>
        <v/>
      </c>
      <c r="E272" s="13" t="str">
        <f aca="false">IF($M272=0,"",IF(INDEX('Line Detail'!$E$6:$E$505,$M272)="","",INDEX('Line Detail'!$E$6:$E$505,$M272)))</f>
        <v/>
      </c>
      <c r="F272" s="6" t="str">
        <f aca="false">IF($M272=0,"",IF(INDEX('Line Detail'!$F$6:$F$505,$M272)="","",INDEX('Line Detail'!$F$6:$F$505,$M272)))</f>
        <v/>
      </c>
      <c r="G272" s="62" t="str">
        <f aca="false">IF($M272=0,"",IF(INDEX('Line Detail'!$G$6:$G$505,$M272)="","",INDEX('Line Detail'!$G$6:$G$505,$M272)))</f>
        <v/>
      </c>
      <c r="H272" s="13" t="str">
        <f aca="false">IF($M272=0,"",IF(INDEX('Line Detail'!$H$6:$H$505,$M272)="","",INDEX('Line Detail'!$H$6:$H$505,$M272)))</f>
        <v/>
      </c>
      <c r="I272" s="34" t="str">
        <f aca="false">IF($M272=0,"",IF(INDEX('Line Detail'!$O$6:$O$505,$M272)="","",INDEX('Line Detail'!$O$6:$O$505,$M272)))</f>
        <v/>
      </c>
      <c r="J272" s="34" t="str">
        <f aca="false">IF($M272=0,"",IF(INDEX('Line Detail'!$R$6:$R$505,$M272)="","",INDEX('Line Detail'!$R$6:$R$505,$M272)))</f>
        <v/>
      </c>
      <c r="K272" s="6" t="str">
        <f aca="false">IF($M272=0,"",IF(INDEX('Line Detail'!$S$6:$S$505,$M272)="","",INDEX('Line Detail'!$S$6:$S$505,$M272)))</f>
        <v/>
      </c>
      <c r="L272" s="1"/>
      <c r="M272" s="63" t="n">
        <f aca="false">IFERROR(MATCH(267,'Line Detail'!$W$6:$W$505,0),0)</f>
        <v>0</v>
      </c>
    </row>
    <row r="273" customFormat="false" ht="15" hidden="false" customHeight="false" outlineLevel="0" collapsed="false">
      <c r="A273" s="13" t="str">
        <f aca="false">IF($M273=0,"",268)</f>
        <v/>
      </c>
      <c r="B273" s="13" t="str">
        <f aca="false">IF($M273=0,"",IF(INDEX('Line Detail'!$B$6:$B$505,$M273)="","",INDEX('Line Detail'!$B$6:$B$505,$M273)))</f>
        <v/>
      </c>
      <c r="C273" s="13" t="str">
        <f aca="false">IF($M273=0,"",IF(INDEX('Line Detail'!$C$6:$C$505,$M273)="","",INDEX('Line Detail'!$C$6:$C$505,$M273)))</f>
        <v/>
      </c>
      <c r="D273" s="13" t="str">
        <f aca="false">IF($M273=0,"",IF(INDEX('Line Detail'!$D$6:$D$505,$M273)="","",INDEX('Line Detail'!$D$6:$D$505,$M273)))</f>
        <v/>
      </c>
      <c r="E273" s="13" t="str">
        <f aca="false">IF($M273=0,"",IF(INDEX('Line Detail'!$E$6:$E$505,$M273)="","",INDEX('Line Detail'!$E$6:$E$505,$M273)))</f>
        <v/>
      </c>
      <c r="F273" s="6" t="str">
        <f aca="false">IF($M273=0,"",IF(INDEX('Line Detail'!$F$6:$F$505,$M273)="","",INDEX('Line Detail'!$F$6:$F$505,$M273)))</f>
        <v/>
      </c>
      <c r="G273" s="62" t="str">
        <f aca="false">IF($M273=0,"",IF(INDEX('Line Detail'!$G$6:$G$505,$M273)="","",INDEX('Line Detail'!$G$6:$G$505,$M273)))</f>
        <v/>
      </c>
      <c r="H273" s="13" t="str">
        <f aca="false">IF($M273=0,"",IF(INDEX('Line Detail'!$H$6:$H$505,$M273)="","",INDEX('Line Detail'!$H$6:$H$505,$M273)))</f>
        <v/>
      </c>
      <c r="I273" s="34" t="str">
        <f aca="false">IF($M273=0,"",IF(INDEX('Line Detail'!$O$6:$O$505,$M273)="","",INDEX('Line Detail'!$O$6:$O$505,$M273)))</f>
        <v/>
      </c>
      <c r="J273" s="34" t="str">
        <f aca="false">IF($M273=0,"",IF(INDEX('Line Detail'!$R$6:$R$505,$M273)="","",INDEX('Line Detail'!$R$6:$R$505,$M273)))</f>
        <v/>
      </c>
      <c r="K273" s="6" t="str">
        <f aca="false">IF($M273=0,"",IF(INDEX('Line Detail'!$S$6:$S$505,$M273)="","",INDEX('Line Detail'!$S$6:$S$505,$M273)))</f>
        <v/>
      </c>
      <c r="L273" s="1"/>
      <c r="M273" s="63" t="n">
        <f aca="false">IFERROR(MATCH(268,'Line Detail'!$W$6:$W$505,0),0)</f>
        <v>0</v>
      </c>
    </row>
    <row r="274" customFormat="false" ht="15" hidden="false" customHeight="false" outlineLevel="0" collapsed="false">
      <c r="A274" s="13" t="str">
        <f aca="false">IF($M274=0,"",269)</f>
        <v/>
      </c>
      <c r="B274" s="13" t="str">
        <f aca="false">IF($M274=0,"",IF(INDEX('Line Detail'!$B$6:$B$505,$M274)="","",INDEX('Line Detail'!$B$6:$B$505,$M274)))</f>
        <v/>
      </c>
      <c r="C274" s="13" t="str">
        <f aca="false">IF($M274=0,"",IF(INDEX('Line Detail'!$C$6:$C$505,$M274)="","",INDEX('Line Detail'!$C$6:$C$505,$M274)))</f>
        <v/>
      </c>
      <c r="D274" s="13" t="str">
        <f aca="false">IF($M274=0,"",IF(INDEX('Line Detail'!$D$6:$D$505,$M274)="","",INDEX('Line Detail'!$D$6:$D$505,$M274)))</f>
        <v/>
      </c>
      <c r="E274" s="13" t="str">
        <f aca="false">IF($M274=0,"",IF(INDEX('Line Detail'!$E$6:$E$505,$M274)="","",INDEX('Line Detail'!$E$6:$E$505,$M274)))</f>
        <v/>
      </c>
      <c r="F274" s="6" t="str">
        <f aca="false">IF($M274=0,"",IF(INDEX('Line Detail'!$F$6:$F$505,$M274)="","",INDEX('Line Detail'!$F$6:$F$505,$M274)))</f>
        <v/>
      </c>
      <c r="G274" s="62" t="str">
        <f aca="false">IF($M274=0,"",IF(INDEX('Line Detail'!$G$6:$G$505,$M274)="","",INDEX('Line Detail'!$G$6:$G$505,$M274)))</f>
        <v/>
      </c>
      <c r="H274" s="13" t="str">
        <f aca="false">IF($M274=0,"",IF(INDEX('Line Detail'!$H$6:$H$505,$M274)="","",INDEX('Line Detail'!$H$6:$H$505,$M274)))</f>
        <v/>
      </c>
      <c r="I274" s="34" t="str">
        <f aca="false">IF($M274=0,"",IF(INDEX('Line Detail'!$O$6:$O$505,$M274)="","",INDEX('Line Detail'!$O$6:$O$505,$M274)))</f>
        <v/>
      </c>
      <c r="J274" s="34" t="str">
        <f aca="false">IF($M274=0,"",IF(INDEX('Line Detail'!$R$6:$R$505,$M274)="","",INDEX('Line Detail'!$R$6:$R$505,$M274)))</f>
        <v/>
      </c>
      <c r="K274" s="6" t="str">
        <f aca="false">IF($M274=0,"",IF(INDEX('Line Detail'!$S$6:$S$505,$M274)="","",INDEX('Line Detail'!$S$6:$S$505,$M274)))</f>
        <v/>
      </c>
      <c r="L274" s="1"/>
      <c r="M274" s="63" t="n">
        <f aca="false">IFERROR(MATCH(269,'Line Detail'!$W$6:$W$505,0),0)</f>
        <v>0</v>
      </c>
    </row>
    <row r="275" customFormat="false" ht="15" hidden="false" customHeight="false" outlineLevel="0" collapsed="false">
      <c r="A275" s="13" t="str">
        <f aca="false">IF($M275=0,"",270)</f>
        <v/>
      </c>
      <c r="B275" s="13" t="str">
        <f aca="false">IF($M275=0,"",IF(INDEX('Line Detail'!$B$6:$B$505,$M275)="","",INDEX('Line Detail'!$B$6:$B$505,$M275)))</f>
        <v/>
      </c>
      <c r="C275" s="13" t="str">
        <f aca="false">IF($M275=0,"",IF(INDEX('Line Detail'!$C$6:$C$505,$M275)="","",INDEX('Line Detail'!$C$6:$C$505,$M275)))</f>
        <v/>
      </c>
      <c r="D275" s="13" t="str">
        <f aca="false">IF($M275=0,"",IF(INDEX('Line Detail'!$D$6:$D$505,$M275)="","",INDEX('Line Detail'!$D$6:$D$505,$M275)))</f>
        <v/>
      </c>
      <c r="E275" s="13" t="str">
        <f aca="false">IF($M275=0,"",IF(INDEX('Line Detail'!$E$6:$E$505,$M275)="","",INDEX('Line Detail'!$E$6:$E$505,$M275)))</f>
        <v/>
      </c>
      <c r="F275" s="6" t="str">
        <f aca="false">IF($M275=0,"",IF(INDEX('Line Detail'!$F$6:$F$505,$M275)="","",INDEX('Line Detail'!$F$6:$F$505,$M275)))</f>
        <v/>
      </c>
      <c r="G275" s="62" t="str">
        <f aca="false">IF($M275=0,"",IF(INDEX('Line Detail'!$G$6:$G$505,$M275)="","",INDEX('Line Detail'!$G$6:$G$505,$M275)))</f>
        <v/>
      </c>
      <c r="H275" s="13" t="str">
        <f aca="false">IF($M275=0,"",IF(INDEX('Line Detail'!$H$6:$H$505,$M275)="","",INDEX('Line Detail'!$H$6:$H$505,$M275)))</f>
        <v/>
      </c>
      <c r="I275" s="34" t="str">
        <f aca="false">IF($M275=0,"",IF(INDEX('Line Detail'!$O$6:$O$505,$M275)="","",INDEX('Line Detail'!$O$6:$O$505,$M275)))</f>
        <v/>
      </c>
      <c r="J275" s="34" t="str">
        <f aca="false">IF($M275=0,"",IF(INDEX('Line Detail'!$R$6:$R$505,$M275)="","",INDEX('Line Detail'!$R$6:$R$505,$M275)))</f>
        <v/>
      </c>
      <c r="K275" s="6" t="str">
        <f aca="false">IF($M275=0,"",IF(INDEX('Line Detail'!$S$6:$S$505,$M275)="","",INDEX('Line Detail'!$S$6:$S$505,$M275)))</f>
        <v/>
      </c>
      <c r="L275" s="1"/>
      <c r="M275" s="63" t="n">
        <f aca="false">IFERROR(MATCH(270,'Line Detail'!$W$6:$W$505,0),0)</f>
        <v>0</v>
      </c>
    </row>
    <row r="276" customFormat="false" ht="15" hidden="false" customHeight="false" outlineLevel="0" collapsed="false">
      <c r="A276" s="13" t="str">
        <f aca="false">IF($M276=0,"",271)</f>
        <v/>
      </c>
      <c r="B276" s="13" t="str">
        <f aca="false">IF($M276=0,"",IF(INDEX('Line Detail'!$B$6:$B$505,$M276)="","",INDEX('Line Detail'!$B$6:$B$505,$M276)))</f>
        <v/>
      </c>
      <c r="C276" s="13" t="str">
        <f aca="false">IF($M276=0,"",IF(INDEX('Line Detail'!$C$6:$C$505,$M276)="","",INDEX('Line Detail'!$C$6:$C$505,$M276)))</f>
        <v/>
      </c>
      <c r="D276" s="13" t="str">
        <f aca="false">IF($M276=0,"",IF(INDEX('Line Detail'!$D$6:$D$505,$M276)="","",INDEX('Line Detail'!$D$6:$D$505,$M276)))</f>
        <v/>
      </c>
      <c r="E276" s="13" t="str">
        <f aca="false">IF($M276=0,"",IF(INDEX('Line Detail'!$E$6:$E$505,$M276)="","",INDEX('Line Detail'!$E$6:$E$505,$M276)))</f>
        <v/>
      </c>
      <c r="F276" s="6" t="str">
        <f aca="false">IF($M276=0,"",IF(INDEX('Line Detail'!$F$6:$F$505,$M276)="","",INDEX('Line Detail'!$F$6:$F$505,$M276)))</f>
        <v/>
      </c>
      <c r="G276" s="62" t="str">
        <f aca="false">IF($M276=0,"",IF(INDEX('Line Detail'!$G$6:$G$505,$M276)="","",INDEX('Line Detail'!$G$6:$G$505,$M276)))</f>
        <v/>
      </c>
      <c r="H276" s="13" t="str">
        <f aca="false">IF($M276=0,"",IF(INDEX('Line Detail'!$H$6:$H$505,$M276)="","",INDEX('Line Detail'!$H$6:$H$505,$M276)))</f>
        <v/>
      </c>
      <c r="I276" s="34" t="str">
        <f aca="false">IF($M276=0,"",IF(INDEX('Line Detail'!$O$6:$O$505,$M276)="","",INDEX('Line Detail'!$O$6:$O$505,$M276)))</f>
        <v/>
      </c>
      <c r="J276" s="34" t="str">
        <f aca="false">IF($M276=0,"",IF(INDEX('Line Detail'!$R$6:$R$505,$M276)="","",INDEX('Line Detail'!$R$6:$R$505,$M276)))</f>
        <v/>
      </c>
      <c r="K276" s="6" t="str">
        <f aca="false">IF($M276=0,"",IF(INDEX('Line Detail'!$S$6:$S$505,$M276)="","",INDEX('Line Detail'!$S$6:$S$505,$M276)))</f>
        <v/>
      </c>
      <c r="L276" s="1"/>
      <c r="M276" s="63" t="n">
        <f aca="false">IFERROR(MATCH(271,'Line Detail'!$W$6:$W$505,0),0)</f>
        <v>0</v>
      </c>
    </row>
    <row r="277" customFormat="false" ht="15" hidden="false" customHeight="false" outlineLevel="0" collapsed="false">
      <c r="A277" s="13" t="str">
        <f aca="false">IF($M277=0,"",272)</f>
        <v/>
      </c>
      <c r="B277" s="13" t="str">
        <f aca="false">IF($M277=0,"",IF(INDEX('Line Detail'!$B$6:$B$505,$M277)="","",INDEX('Line Detail'!$B$6:$B$505,$M277)))</f>
        <v/>
      </c>
      <c r="C277" s="13" t="str">
        <f aca="false">IF($M277=0,"",IF(INDEX('Line Detail'!$C$6:$C$505,$M277)="","",INDEX('Line Detail'!$C$6:$C$505,$M277)))</f>
        <v/>
      </c>
      <c r="D277" s="13" t="str">
        <f aca="false">IF($M277=0,"",IF(INDEX('Line Detail'!$D$6:$D$505,$M277)="","",INDEX('Line Detail'!$D$6:$D$505,$M277)))</f>
        <v/>
      </c>
      <c r="E277" s="13" t="str">
        <f aca="false">IF($M277=0,"",IF(INDEX('Line Detail'!$E$6:$E$505,$M277)="","",INDEX('Line Detail'!$E$6:$E$505,$M277)))</f>
        <v/>
      </c>
      <c r="F277" s="6" t="str">
        <f aca="false">IF($M277=0,"",IF(INDEX('Line Detail'!$F$6:$F$505,$M277)="","",INDEX('Line Detail'!$F$6:$F$505,$M277)))</f>
        <v/>
      </c>
      <c r="G277" s="62" t="str">
        <f aca="false">IF($M277=0,"",IF(INDEX('Line Detail'!$G$6:$G$505,$M277)="","",INDEX('Line Detail'!$G$6:$G$505,$M277)))</f>
        <v/>
      </c>
      <c r="H277" s="13" t="str">
        <f aca="false">IF($M277=0,"",IF(INDEX('Line Detail'!$H$6:$H$505,$M277)="","",INDEX('Line Detail'!$H$6:$H$505,$M277)))</f>
        <v/>
      </c>
      <c r="I277" s="34" t="str">
        <f aca="false">IF($M277=0,"",IF(INDEX('Line Detail'!$O$6:$O$505,$M277)="","",INDEX('Line Detail'!$O$6:$O$505,$M277)))</f>
        <v/>
      </c>
      <c r="J277" s="34" t="str">
        <f aca="false">IF($M277=0,"",IF(INDEX('Line Detail'!$R$6:$R$505,$M277)="","",INDEX('Line Detail'!$R$6:$R$505,$M277)))</f>
        <v/>
      </c>
      <c r="K277" s="6" t="str">
        <f aca="false">IF($M277=0,"",IF(INDEX('Line Detail'!$S$6:$S$505,$M277)="","",INDEX('Line Detail'!$S$6:$S$505,$M277)))</f>
        <v/>
      </c>
      <c r="L277" s="1"/>
      <c r="M277" s="63" t="n">
        <f aca="false">IFERROR(MATCH(272,'Line Detail'!$W$6:$W$505,0),0)</f>
        <v>0</v>
      </c>
    </row>
    <row r="278" customFormat="false" ht="15" hidden="false" customHeight="false" outlineLevel="0" collapsed="false">
      <c r="A278" s="13" t="str">
        <f aca="false">IF($M278=0,"",273)</f>
        <v/>
      </c>
      <c r="B278" s="13" t="str">
        <f aca="false">IF($M278=0,"",IF(INDEX('Line Detail'!$B$6:$B$505,$M278)="","",INDEX('Line Detail'!$B$6:$B$505,$M278)))</f>
        <v/>
      </c>
      <c r="C278" s="13" t="str">
        <f aca="false">IF($M278=0,"",IF(INDEX('Line Detail'!$C$6:$C$505,$M278)="","",INDEX('Line Detail'!$C$6:$C$505,$M278)))</f>
        <v/>
      </c>
      <c r="D278" s="13" t="str">
        <f aca="false">IF($M278=0,"",IF(INDEX('Line Detail'!$D$6:$D$505,$M278)="","",INDEX('Line Detail'!$D$6:$D$505,$M278)))</f>
        <v/>
      </c>
      <c r="E278" s="13" t="str">
        <f aca="false">IF($M278=0,"",IF(INDEX('Line Detail'!$E$6:$E$505,$M278)="","",INDEX('Line Detail'!$E$6:$E$505,$M278)))</f>
        <v/>
      </c>
      <c r="F278" s="6" t="str">
        <f aca="false">IF($M278=0,"",IF(INDEX('Line Detail'!$F$6:$F$505,$M278)="","",INDEX('Line Detail'!$F$6:$F$505,$M278)))</f>
        <v/>
      </c>
      <c r="G278" s="62" t="str">
        <f aca="false">IF($M278=0,"",IF(INDEX('Line Detail'!$G$6:$G$505,$M278)="","",INDEX('Line Detail'!$G$6:$G$505,$M278)))</f>
        <v/>
      </c>
      <c r="H278" s="13" t="str">
        <f aca="false">IF($M278=0,"",IF(INDEX('Line Detail'!$H$6:$H$505,$M278)="","",INDEX('Line Detail'!$H$6:$H$505,$M278)))</f>
        <v/>
      </c>
      <c r="I278" s="34" t="str">
        <f aca="false">IF($M278=0,"",IF(INDEX('Line Detail'!$O$6:$O$505,$M278)="","",INDEX('Line Detail'!$O$6:$O$505,$M278)))</f>
        <v/>
      </c>
      <c r="J278" s="34" t="str">
        <f aca="false">IF($M278=0,"",IF(INDEX('Line Detail'!$R$6:$R$505,$M278)="","",INDEX('Line Detail'!$R$6:$R$505,$M278)))</f>
        <v/>
      </c>
      <c r="K278" s="6" t="str">
        <f aca="false">IF($M278=0,"",IF(INDEX('Line Detail'!$S$6:$S$505,$M278)="","",INDEX('Line Detail'!$S$6:$S$505,$M278)))</f>
        <v/>
      </c>
      <c r="L278" s="1"/>
      <c r="M278" s="63" t="n">
        <f aca="false">IFERROR(MATCH(273,'Line Detail'!$W$6:$W$505,0),0)</f>
        <v>0</v>
      </c>
    </row>
    <row r="279" customFormat="false" ht="15" hidden="false" customHeight="false" outlineLevel="0" collapsed="false">
      <c r="A279" s="13" t="str">
        <f aca="false">IF($M279=0,"",274)</f>
        <v/>
      </c>
      <c r="B279" s="13" t="str">
        <f aca="false">IF($M279=0,"",IF(INDEX('Line Detail'!$B$6:$B$505,$M279)="","",INDEX('Line Detail'!$B$6:$B$505,$M279)))</f>
        <v/>
      </c>
      <c r="C279" s="13" t="str">
        <f aca="false">IF($M279=0,"",IF(INDEX('Line Detail'!$C$6:$C$505,$M279)="","",INDEX('Line Detail'!$C$6:$C$505,$M279)))</f>
        <v/>
      </c>
      <c r="D279" s="13" t="str">
        <f aca="false">IF($M279=0,"",IF(INDEX('Line Detail'!$D$6:$D$505,$M279)="","",INDEX('Line Detail'!$D$6:$D$505,$M279)))</f>
        <v/>
      </c>
      <c r="E279" s="13" t="str">
        <f aca="false">IF($M279=0,"",IF(INDEX('Line Detail'!$E$6:$E$505,$M279)="","",INDEX('Line Detail'!$E$6:$E$505,$M279)))</f>
        <v/>
      </c>
      <c r="F279" s="6" t="str">
        <f aca="false">IF($M279=0,"",IF(INDEX('Line Detail'!$F$6:$F$505,$M279)="","",INDEX('Line Detail'!$F$6:$F$505,$M279)))</f>
        <v/>
      </c>
      <c r="G279" s="62" t="str">
        <f aca="false">IF($M279=0,"",IF(INDEX('Line Detail'!$G$6:$G$505,$M279)="","",INDEX('Line Detail'!$G$6:$G$505,$M279)))</f>
        <v/>
      </c>
      <c r="H279" s="13" t="str">
        <f aca="false">IF($M279=0,"",IF(INDEX('Line Detail'!$H$6:$H$505,$M279)="","",INDEX('Line Detail'!$H$6:$H$505,$M279)))</f>
        <v/>
      </c>
      <c r="I279" s="34" t="str">
        <f aca="false">IF($M279=0,"",IF(INDEX('Line Detail'!$O$6:$O$505,$M279)="","",INDEX('Line Detail'!$O$6:$O$505,$M279)))</f>
        <v/>
      </c>
      <c r="J279" s="34" t="str">
        <f aca="false">IF($M279=0,"",IF(INDEX('Line Detail'!$R$6:$R$505,$M279)="","",INDEX('Line Detail'!$R$6:$R$505,$M279)))</f>
        <v/>
      </c>
      <c r="K279" s="6" t="str">
        <f aca="false">IF($M279=0,"",IF(INDEX('Line Detail'!$S$6:$S$505,$M279)="","",INDEX('Line Detail'!$S$6:$S$505,$M279)))</f>
        <v/>
      </c>
      <c r="L279" s="1"/>
      <c r="M279" s="63" t="n">
        <f aca="false">IFERROR(MATCH(274,'Line Detail'!$W$6:$W$505,0),0)</f>
        <v>0</v>
      </c>
    </row>
    <row r="280" customFormat="false" ht="15" hidden="false" customHeight="false" outlineLevel="0" collapsed="false">
      <c r="A280" s="13" t="str">
        <f aca="false">IF($M280=0,"",275)</f>
        <v/>
      </c>
      <c r="B280" s="13" t="str">
        <f aca="false">IF($M280=0,"",IF(INDEX('Line Detail'!$B$6:$B$505,$M280)="","",INDEX('Line Detail'!$B$6:$B$505,$M280)))</f>
        <v/>
      </c>
      <c r="C280" s="13" t="str">
        <f aca="false">IF($M280=0,"",IF(INDEX('Line Detail'!$C$6:$C$505,$M280)="","",INDEX('Line Detail'!$C$6:$C$505,$M280)))</f>
        <v/>
      </c>
      <c r="D280" s="13" t="str">
        <f aca="false">IF($M280=0,"",IF(INDEX('Line Detail'!$D$6:$D$505,$M280)="","",INDEX('Line Detail'!$D$6:$D$505,$M280)))</f>
        <v/>
      </c>
      <c r="E280" s="13" t="str">
        <f aca="false">IF($M280=0,"",IF(INDEX('Line Detail'!$E$6:$E$505,$M280)="","",INDEX('Line Detail'!$E$6:$E$505,$M280)))</f>
        <v/>
      </c>
      <c r="F280" s="6" t="str">
        <f aca="false">IF($M280=0,"",IF(INDEX('Line Detail'!$F$6:$F$505,$M280)="","",INDEX('Line Detail'!$F$6:$F$505,$M280)))</f>
        <v/>
      </c>
      <c r="G280" s="62" t="str">
        <f aca="false">IF($M280=0,"",IF(INDEX('Line Detail'!$G$6:$G$505,$M280)="","",INDEX('Line Detail'!$G$6:$G$505,$M280)))</f>
        <v/>
      </c>
      <c r="H280" s="13" t="str">
        <f aca="false">IF($M280=0,"",IF(INDEX('Line Detail'!$H$6:$H$505,$M280)="","",INDEX('Line Detail'!$H$6:$H$505,$M280)))</f>
        <v/>
      </c>
      <c r="I280" s="34" t="str">
        <f aca="false">IF($M280=0,"",IF(INDEX('Line Detail'!$O$6:$O$505,$M280)="","",INDEX('Line Detail'!$O$6:$O$505,$M280)))</f>
        <v/>
      </c>
      <c r="J280" s="34" t="str">
        <f aca="false">IF($M280=0,"",IF(INDEX('Line Detail'!$R$6:$R$505,$M280)="","",INDEX('Line Detail'!$R$6:$R$505,$M280)))</f>
        <v/>
      </c>
      <c r="K280" s="6" t="str">
        <f aca="false">IF($M280=0,"",IF(INDEX('Line Detail'!$S$6:$S$505,$M280)="","",INDEX('Line Detail'!$S$6:$S$505,$M280)))</f>
        <v/>
      </c>
      <c r="L280" s="1"/>
      <c r="M280" s="63" t="n">
        <f aca="false">IFERROR(MATCH(275,'Line Detail'!$W$6:$W$505,0),0)</f>
        <v>0</v>
      </c>
    </row>
    <row r="281" customFormat="false" ht="15" hidden="false" customHeight="false" outlineLevel="0" collapsed="false">
      <c r="A281" s="13" t="str">
        <f aca="false">IF($M281=0,"",276)</f>
        <v/>
      </c>
      <c r="B281" s="13" t="str">
        <f aca="false">IF($M281=0,"",IF(INDEX('Line Detail'!$B$6:$B$505,$M281)="","",INDEX('Line Detail'!$B$6:$B$505,$M281)))</f>
        <v/>
      </c>
      <c r="C281" s="13" t="str">
        <f aca="false">IF($M281=0,"",IF(INDEX('Line Detail'!$C$6:$C$505,$M281)="","",INDEX('Line Detail'!$C$6:$C$505,$M281)))</f>
        <v/>
      </c>
      <c r="D281" s="13" t="str">
        <f aca="false">IF($M281=0,"",IF(INDEX('Line Detail'!$D$6:$D$505,$M281)="","",INDEX('Line Detail'!$D$6:$D$505,$M281)))</f>
        <v/>
      </c>
      <c r="E281" s="13" t="str">
        <f aca="false">IF($M281=0,"",IF(INDEX('Line Detail'!$E$6:$E$505,$M281)="","",INDEX('Line Detail'!$E$6:$E$505,$M281)))</f>
        <v/>
      </c>
      <c r="F281" s="6" t="str">
        <f aca="false">IF($M281=0,"",IF(INDEX('Line Detail'!$F$6:$F$505,$M281)="","",INDEX('Line Detail'!$F$6:$F$505,$M281)))</f>
        <v/>
      </c>
      <c r="G281" s="62" t="str">
        <f aca="false">IF($M281=0,"",IF(INDEX('Line Detail'!$G$6:$G$505,$M281)="","",INDEX('Line Detail'!$G$6:$G$505,$M281)))</f>
        <v/>
      </c>
      <c r="H281" s="13" t="str">
        <f aca="false">IF($M281=0,"",IF(INDEX('Line Detail'!$H$6:$H$505,$M281)="","",INDEX('Line Detail'!$H$6:$H$505,$M281)))</f>
        <v/>
      </c>
      <c r="I281" s="34" t="str">
        <f aca="false">IF($M281=0,"",IF(INDEX('Line Detail'!$O$6:$O$505,$M281)="","",INDEX('Line Detail'!$O$6:$O$505,$M281)))</f>
        <v/>
      </c>
      <c r="J281" s="34" t="str">
        <f aca="false">IF($M281=0,"",IF(INDEX('Line Detail'!$R$6:$R$505,$M281)="","",INDEX('Line Detail'!$R$6:$R$505,$M281)))</f>
        <v/>
      </c>
      <c r="K281" s="6" t="str">
        <f aca="false">IF($M281=0,"",IF(INDEX('Line Detail'!$S$6:$S$505,$M281)="","",INDEX('Line Detail'!$S$6:$S$505,$M281)))</f>
        <v/>
      </c>
      <c r="L281" s="1"/>
      <c r="M281" s="63" t="n">
        <f aca="false">IFERROR(MATCH(276,'Line Detail'!$W$6:$W$505,0),0)</f>
        <v>0</v>
      </c>
    </row>
    <row r="282" customFormat="false" ht="15" hidden="false" customHeight="false" outlineLevel="0" collapsed="false">
      <c r="A282" s="13" t="str">
        <f aca="false">IF($M282=0,"",277)</f>
        <v/>
      </c>
      <c r="B282" s="13" t="str">
        <f aca="false">IF($M282=0,"",IF(INDEX('Line Detail'!$B$6:$B$505,$M282)="","",INDEX('Line Detail'!$B$6:$B$505,$M282)))</f>
        <v/>
      </c>
      <c r="C282" s="13" t="str">
        <f aca="false">IF($M282=0,"",IF(INDEX('Line Detail'!$C$6:$C$505,$M282)="","",INDEX('Line Detail'!$C$6:$C$505,$M282)))</f>
        <v/>
      </c>
      <c r="D282" s="13" t="str">
        <f aca="false">IF($M282=0,"",IF(INDEX('Line Detail'!$D$6:$D$505,$M282)="","",INDEX('Line Detail'!$D$6:$D$505,$M282)))</f>
        <v/>
      </c>
      <c r="E282" s="13" t="str">
        <f aca="false">IF($M282=0,"",IF(INDEX('Line Detail'!$E$6:$E$505,$M282)="","",INDEX('Line Detail'!$E$6:$E$505,$M282)))</f>
        <v/>
      </c>
      <c r="F282" s="6" t="str">
        <f aca="false">IF($M282=0,"",IF(INDEX('Line Detail'!$F$6:$F$505,$M282)="","",INDEX('Line Detail'!$F$6:$F$505,$M282)))</f>
        <v/>
      </c>
      <c r="G282" s="62" t="str">
        <f aca="false">IF($M282=0,"",IF(INDEX('Line Detail'!$G$6:$G$505,$M282)="","",INDEX('Line Detail'!$G$6:$G$505,$M282)))</f>
        <v/>
      </c>
      <c r="H282" s="13" t="str">
        <f aca="false">IF($M282=0,"",IF(INDEX('Line Detail'!$H$6:$H$505,$M282)="","",INDEX('Line Detail'!$H$6:$H$505,$M282)))</f>
        <v/>
      </c>
      <c r="I282" s="34" t="str">
        <f aca="false">IF($M282=0,"",IF(INDEX('Line Detail'!$O$6:$O$505,$M282)="","",INDEX('Line Detail'!$O$6:$O$505,$M282)))</f>
        <v/>
      </c>
      <c r="J282" s="34" t="str">
        <f aca="false">IF($M282=0,"",IF(INDEX('Line Detail'!$R$6:$R$505,$M282)="","",INDEX('Line Detail'!$R$6:$R$505,$M282)))</f>
        <v/>
      </c>
      <c r="K282" s="6" t="str">
        <f aca="false">IF($M282=0,"",IF(INDEX('Line Detail'!$S$6:$S$505,$M282)="","",INDEX('Line Detail'!$S$6:$S$505,$M282)))</f>
        <v/>
      </c>
      <c r="L282" s="1"/>
      <c r="M282" s="63" t="n">
        <f aca="false">IFERROR(MATCH(277,'Line Detail'!$W$6:$W$505,0),0)</f>
        <v>0</v>
      </c>
    </row>
    <row r="283" customFormat="false" ht="15" hidden="false" customHeight="false" outlineLevel="0" collapsed="false">
      <c r="A283" s="13" t="str">
        <f aca="false">IF($M283=0,"",278)</f>
        <v/>
      </c>
      <c r="B283" s="13" t="str">
        <f aca="false">IF($M283=0,"",IF(INDEX('Line Detail'!$B$6:$B$505,$M283)="","",INDEX('Line Detail'!$B$6:$B$505,$M283)))</f>
        <v/>
      </c>
      <c r="C283" s="13" t="str">
        <f aca="false">IF($M283=0,"",IF(INDEX('Line Detail'!$C$6:$C$505,$M283)="","",INDEX('Line Detail'!$C$6:$C$505,$M283)))</f>
        <v/>
      </c>
      <c r="D283" s="13" t="str">
        <f aca="false">IF($M283=0,"",IF(INDEX('Line Detail'!$D$6:$D$505,$M283)="","",INDEX('Line Detail'!$D$6:$D$505,$M283)))</f>
        <v/>
      </c>
      <c r="E283" s="13" t="str">
        <f aca="false">IF($M283=0,"",IF(INDEX('Line Detail'!$E$6:$E$505,$M283)="","",INDEX('Line Detail'!$E$6:$E$505,$M283)))</f>
        <v/>
      </c>
      <c r="F283" s="6" t="str">
        <f aca="false">IF($M283=0,"",IF(INDEX('Line Detail'!$F$6:$F$505,$M283)="","",INDEX('Line Detail'!$F$6:$F$505,$M283)))</f>
        <v/>
      </c>
      <c r="G283" s="62" t="str">
        <f aca="false">IF($M283=0,"",IF(INDEX('Line Detail'!$G$6:$G$505,$M283)="","",INDEX('Line Detail'!$G$6:$G$505,$M283)))</f>
        <v/>
      </c>
      <c r="H283" s="13" t="str">
        <f aca="false">IF($M283=0,"",IF(INDEX('Line Detail'!$H$6:$H$505,$M283)="","",INDEX('Line Detail'!$H$6:$H$505,$M283)))</f>
        <v/>
      </c>
      <c r="I283" s="34" t="str">
        <f aca="false">IF($M283=0,"",IF(INDEX('Line Detail'!$O$6:$O$505,$M283)="","",INDEX('Line Detail'!$O$6:$O$505,$M283)))</f>
        <v/>
      </c>
      <c r="J283" s="34" t="str">
        <f aca="false">IF($M283=0,"",IF(INDEX('Line Detail'!$R$6:$R$505,$M283)="","",INDEX('Line Detail'!$R$6:$R$505,$M283)))</f>
        <v/>
      </c>
      <c r="K283" s="6" t="str">
        <f aca="false">IF($M283=0,"",IF(INDEX('Line Detail'!$S$6:$S$505,$M283)="","",INDEX('Line Detail'!$S$6:$S$505,$M283)))</f>
        <v/>
      </c>
      <c r="L283" s="1"/>
      <c r="M283" s="63" t="n">
        <f aca="false">IFERROR(MATCH(278,'Line Detail'!$W$6:$W$505,0),0)</f>
        <v>0</v>
      </c>
    </row>
    <row r="284" customFormat="false" ht="15" hidden="false" customHeight="false" outlineLevel="0" collapsed="false">
      <c r="A284" s="13" t="str">
        <f aca="false">IF($M284=0,"",279)</f>
        <v/>
      </c>
      <c r="B284" s="13" t="str">
        <f aca="false">IF($M284=0,"",IF(INDEX('Line Detail'!$B$6:$B$505,$M284)="","",INDEX('Line Detail'!$B$6:$B$505,$M284)))</f>
        <v/>
      </c>
      <c r="C284" s="13" t="str">
        <f aca="false">IF($M284=0,"",IF(INDEX('Line Detail'!$C$6:$C$505,$M284)="","",INDEX('Line Detail'!$C$6:$C$505,$M284)))</f>
        <v/>
      </c>
      <c r="D284" s="13" t="str">
        <f aca="false">IF($M284=0,"",IF(INDEX('Line Detail'!$D$6:$D$505,$M284)="","",INDEX('Line Detail'!$D$6:$D$505,$M284)))</f>
        <v/>
      </c>
      <c r="E284" s="13" t="str">
        <f aca="false">IF($M284=0,"",IF(INDEX('Line Detail'!$E$6:$E$505,$M284)="","",INDEX('Line Detail'!$E$6:$E$505,$M284)))</f>
        <v/>
      </c>
      <c r="F284" s="6" t="str">
        <f aca="false">IF($M284=0,"",IF(INDEX('Line Detail'!$F$6:$F$505,$M284)="","",INDEX('Line Detail'!$F$6:$F$505,$M284)))</f>
        <v/>
      </c>
      <c r="G284" s="62" t="str">
        <f aca="false">IF($M284=0,"",IF(INDEX('Line Detail'!$G$6:$G$505,$M284)="","",INDEX('Line Detail'!$G$6:$G$505,$M284)))</f>
        <v/>
      </c>
      <c r="H284" s="13" t="str">
        <f aca="false">IF($M284=0,"",IF(INDEX('Line Detail'!$H$6:$H$505,$M284)="","",INDEX('Line Detail'!$H$6:$H$505,$M284)))</f>
        <v/>
      </c>
      <c r="I284" s="34" t="str">
        <f aca="false">IF($M284=0,"",IF(INDEX('Line Detail'!$O$6:$O$505,$M284)="","",INDEX('Line Detail'!$O$6:$O$505,$M284)))</f>
        <v/>
      </c>
      <c r="J284" s="34" t="str">
        <f aca="false">IF($M284=0,"",IF(INDEX('Line Detail'!$R$6:$R$505,$M284)="","",INDEX('Line Detail'!$R$6:$R$505,$M284)))</f>
        <v/>
      </c>
      <c r="K284" s="6" t="str">
        <f aca="false">IF($M284=0,"",IF(INDEX('Line Detail'!$S$6:$S$505,$M284)="","",INDEX('Line Detail'!$S$6:$S$505,$M284)))</f>
        <v/>
      </c>
      <c r="L284" s="1"/>
      <c r="M284" s="63" t="n">
        <f aca="false">IFERROR(MATCH(279,'Line Detail'!$W$6:$W$505,0),0)</f>
        <v>0</v>
      </c>
    </row>
    <row r="285" customFormat="false" ht="15" hidden="false" customHeight="false" outlineLevel="0" collapsed="false">
      <c r="A285" s="13" t="str">
        <f aca="false">IF($M285=0,"",280)</f>
        <v/>
      </c>
      <c r="B285" s="13" t="str">
        <f aca="false">IF($M285=0,"",IF(INDEX('Line Detail'!$B$6:$B$505,$M285)="","",INDEX('Line Detail'!$B$6:$B$505,$M285)))</f>
        <v/>
      </c>
      <c r="C285" s="13" t="str">
        <f aca="false">IF($M285=0,"",IF(INDEX('Line Detail'!$C$6:$C$505,$M285)="","",INDEX('Line Detail'!$C$6:$C$505,$M285)))</f>
        <v/>
      </c>
      <c r="D285" s="13" t="str">
        <f aca="false">IF($M285=0,"",IF(INDEX('Line Detail'!$D$6:$D$505,$M285)="","",INDEX('Line Detail'!$D$6:$D$505,$M285)))</f>
        <v/>
      </c>
      <c r="E285" s="13" t="str">
        <f aca="false">IF($M285=0,"",IF(INDEX('Line Detail'!$E$6:$E$505,$M285)="","",INDEX('Line Detail'!$E$6:$E$505,$M285)))</f>
        <v/>
      </c>
      <c r="F285" s="6" t="str">
        <f aca="false">IF($M285=0,"",IF(INDEX('Line Detail'!$F$6:$F$505,$M285)="","",INDEX('Line Detail'!$F$6:$F$505,$M285)))</f>
        <v/>
      </c>
      <c r="G285" s="62" t="str">
        <f aca="false">IF($M285=0,"",IF(INDEX('Line Detail'!$G$6:$G$505,$M285)="","",INDEX('Line Detail'!$G$6:$G$505,$M285)))</f>
        <v/>
      </c>
      <c r="H285" s="13" t="str">
        <f aca="false">IF($M285=0,"",IF(INDEX('Line Detail'!$H$6:$H$505,$M285)="","",INDEX('Line Detail'!$H$6:$H$505,$M285)))</f>
        <v/>
      </c>
      <c r="I285" s="34" t="str">
        <f aca="false">IF($M285=0,"",IF(INDEX('Line Detail'!$O$6:$O$505,$M285)="","",INDEX('Line Detail'!$O$6:$O$505,$M285)))</f>
        <v/>
      </c>
      <c r="J285" s="34" t="str">
        <f aca="false">IF($M285=0,"",IF(INDEX('Line Detail'!$R$6:$R$505,$M285)="","",INDEX('Line Detail'!$R$6:$R$505,$M285)))</f>
        <v/>
      </c>
      <c r="K285" s="6" t="str">
        <f aca="false">IF($M285=0,"",IF(INDEX('Line Detail'!$S$6:$S$505,$M285)="","",INDEX('Line Detail'!$S$6:$S$505,$M285)))</f>
        <v/>
      </c>
      <c r="L285" s="1"/>
      <c r="M285" s="63" t="n">
        <f aca="false">IFERROR(MATCH(280,'Line Detail'!$W$6:$W$505,0),0)</f>
        <v>0</v>
      </c>
    </row>
    <row r="286" customFormat="false" ht="15" hidden="false" customHeight="false" outlineLevel="0" collapsed="false">
      <c r="A286" s="13" t="str">
        <f aca="false">IF($M286=0,"",281)</f>
        <v/>
      </c>
      <c r="B286" s="13" t="str">
        <f aca="false">IF($M286=0,"",IF(INDEX('Line Detail'!$B$6:$B$505,$M286)="","",INDEX('Line Detail'!$B$6:$B$505,$M286)))</f>
        <v/>
      </c>
      <c r="C286" s="13" t="str">
        <f aca="false">IF($M286=0,"",IF(INDEX('Line Detail'!$C$6:$C$505,$M286)="","",INDEX('Line Detail'!$C$6:$C$505,$M286)))</f>
        <v/>
      </c>
      <c r="D286" s="13" t="str">
        <f aca="false">IF($M286=0,"",IF(INDEX('Line Detail'!$D$6:$D$505,$M286)="","",INDEX('Line Detail'!$D$6:$D$505,$M286)))</f>
        <v/>
      </c>
      <c r="E286" s="13" t="str">
        <f aca="false">IF($M286=0,"",IF(INDEX('Line Detail'!$E$6:$E$505,$M286)="","",INDEX('Line Detail'!$E$6:$E$505,$M286)))</f>
        <v/>
      </c>
      <c r="F286" s="6" t="str">
        <f aca="false">IF($M286=0,"",IF(INDEX('Line Detail'!$F$6:$F$505,$M286)="","",INDEX('Line Detail'!$F$6:$F$505,$M286)))</f>
        <v/>
      </c>
      <c r="G286" s="62" t="str">
        <f aca="false">IF($M286=0,"",IF(INDEX('Line Detail'!$G$6:$G$505,$M286)="","",INDEX('Line Detail'!$G$6:$G$505,$M286)))</f>
        <v/>
      </c>
      <c r="H286" s="13" t="str">
        <f aca="false">IF($M286=0,"",IF(INDEX('Line Detail'!$H$6:$H$505,$M286)="","",INDEX('Line Detail'!$H$6:$H$505,$M286)))</f>
        <v/>
      </c>
      <c r="I286" s="34" t="str">
        <f aca="false">IF($M286=0,"",IF(INDEX('Line Detail'!$O$6:$O$505,$M286)="","",INDEX('Line Detail'!$O$6:$O$505,$M286)))</f>
        <v/>
      </c>
      <c r="J286" s="34" t="str">
        <f aca="false">IF($M286=0,"",IF(INDEX('Line Detail'!$R$6:$R$505,$M286)="","",INDEX('Line Detail'!$R$6:$R$505,$M286)))</f>
        <v/>
      </c>
      <c r="K286" s="6" t="str">
        <f aca="false">IF($M286=0,"",IF(INDEX('Line Detail'!$S$6:$S$505,$M286)="","",INDEX('Line Detail'!$S$6:$S$505,$M286)))</f>
        <v/>
      </c>
      <c r="L286" s="1"/>
      <c r="M286" s="63" t="n">
        <f aca="false">IFERROR(MATCH(281,'Line Detail'!$W$6:$W$505,0),0)</f>
        <v>0</v>
      </c>
    </row>
    <row r="287" customFormat="false" ht="15" hidden="false" customHeight="false" outlineLevel="0" collapsed="false">
      <c r="A287" s="13" t="str">
        <f aca="false">IF($M287=0,"",282)</f>
        <v/>
      </c>
      <c r="B287" s="13" t="str">
        <f aca="false">IF($M287=0,"",IF(INDEX('Line Detail'!$B$6:$B$505,$M287)="","",INDEX('Line Detail'!$B$6:$B$505,$M287)))</f>
        <v/>
      </c>
      <c r="C287" s="13" t="str">
        <f aca="false">IF($M287=0,"",IF(INDEX('Line Detail'!$C$6:$C$505,$M287)="","",INDEX('Line Detail'!$C$6:$C$505,$M287)))</f>
        <v/>
      </c>
      <c r="D287" s="13" t="str">
        <f aca="false">IF($M287=0,"",IF(INDEX('Line Detail'!$D$6:$D$505,$M287)="","",INDEX('Line Detail'!$D$6:$D$505,$M287)))</f>
        <v/>
      </c>
      <c r="E287" s="13" t="str">
        <f aca="false">IF($M287=0,"",IF(INDEX('Line Detail'!$E$6:$E$505,$M287)="","",INDEX('Line Detail'!$E$6:$E$505,$M287)))</f>
        <v/>
      </c>
      <c r="F287" s="6" t="str">
        <f aca="false">IF($M287=0,"",IF(INDEX('Line Detail'!$F$6:$F$505,$M287)="","",INDEX('Line Detail'!$F$6:$F$505,$M287)))</f>
        <v/>
      </c>
      <c r="G287" s="62" t="str">
        <f aca="false">IF($M287=0,"",IF(INDEX('Line Detail'!$G$6:$G$505,$M287)="","",INDEX('Line Detail'!$G$6:$G$505,$M287)))</f>
        <v/>
      </c>
      <c r="H287" s="13" t="str">
        <f aca="false">IF($M287=0,"",IF(INDEX('Line Detail'!$H$6:$H$505,$M287)="","",INDEX('Line Detail'!$H$6:$H$505,$M287)))</f>
        <v/>
      </c>
      <c r="I287" s="34" t="str">
        <f aca="false">IF($M287=0,"",IF(INDEX('Line Detail'!$O$6:$O$505,$M287)="","",INDEX('Line Detail'!$O$6:$O$505,$M287)))</f>
        <v/>
      </c>
      <c r="J287" s="34" t="str">
        <f aca="false">IF($M287=0,"",IF(INDEX('Line Detail'!$R$6:$R$505,$M287)="","",INDEX('Line Detail'!$R$6:$R$505,$M287)))</f>
        <v/>
      </c>
      <c r="K287" s="6" t="str">
        <f aca="false">IF($M287=0,"",IF(INDEX('Line Detail'!$S$6:$S$505,$M287)="","",INDEX('Line Detail'!$S$6:$S$505,$M287)))</f>
        <v/>
      </c>
      <c r="L287" s="1"/>
      <c r="M287" s="63" t="n">
        <f aca="false">IFERROR(MATCH(282,'Line Detail'!$W$6:$W$505,0),0)</f>
        <v>0</v>
      </c>
    </row>
    <row r="288" customFormat="false" ht="15" hidden="false" customHeight="false" outlineLevel="0" collapsed="false">
      <c r="A288" s="13" t="str">
        <f aca="false">IF($M288=0,"",283)</f>
        <v/>
      </c>
      <c r="B288" s="13" t="str">
        <f aca="false">IF($M288=0,"",IF(INDEX('Line Detail'!$B$6:$B$505,$M288)="","",INDEX('Line Detail'!$B$6:$B$505,$M288)))</f>
        <v/>
      </c>
      <c r="C288" s="13" t="str">
        <f aca="false">IF($M288=0,"",IF(INDEX('Line Detail'!$C$6:$C$505,$M288)="","",INDEX('Line Detail'!$C$6:$C$505,$M288)))</f>
        <v/>
      </c>
      <c r="D288" s="13" t="str">
        <f aca="false">IF($M288=0,"",IF(INDEX('Line Detail'!$D$6:$D$505,$M288)="","",INDEX('Line Detail'!$D$6:$D$505,$M288)))</f>
        <v/>
      </c>
      <c r="E288" s="13" t="str">
        <f aca="false">IF($M288=0,"",IF(INDEX('Line Detail'!$E$6:$E$505,$M288)="","",INDEX('Line Detail'!$E$6:$E$505,$M288)))</f>
        <v/>
      </c>
      <c r="F288" s="6" t="str">
        <f aca="false">IF($M288=0,"",IF(INDEX('Line Detail'!$F$6:$F$505,$M288)="","",INDEX('Line Detail'!$F$6:$F$505,$M288)))</f>
        <v/>
      </c>
      <c r="G288" s="62" t="str">
        <f aca="false">IF($M288=0,"",IF(INDEX('Line Detail'!$G$6:$G$505,$M288)="","",INDEX('Line Detail'!$G$6:$G$505,$M288)))</f>
        <v/>
      </c>
      <c r="H288" s="13" t="str">
        <f aca="false">IF($M288=0,"",IF(INDEX('Line Detail'!$H$6:$H$505,$M288)="","",INDEX('Line Detail'!$H$6:$H$505,$M288)))</f>
        <v/>
      </c>
      <c r="I288" s="34" t="str">
        <f aca="false">IF($M288=0,"",IF(INDEX('Line Detail'!$O$6:$O$505,$M288)="","",INDEX('Line Detail'!$O$6:$O$505,$M288)))</f>
        <v/>
      </c>
      <c r="J288" s="34" t="str">
        <f aca="false">IF($M288=0,"",IF(INDEX('Line Detail'!$R$6:$R$505,$M288)="","",INDEX('Line Detail'!$R$6:$R$505,$M288)))</f>
        <v/>
      </c>
      <c r="K288" s="6" t="str">
        <f aca="false">IF($M288=0,"",IF(INDEX('Line Detail'!$S$6:$S$505,$M288)="","",INDEX('Line Detail'!$S$6:$S$505,$M288)))</f>
        <v/>
      </c>
      <c r="L288" s="1"/>
      <c r="M288" s="63" t="n">
        <f aca="false">IFERROR(MATCH(283,'Line Detail'!$W$6:$W$505,0),0)</f>
        <v>0</v>
      </c>
    </row>
    <row r="289" customFormat="false" ht="15" hidden="false" customHeight="false" outlineLevel="0" collapsed="false">
      <c r="A289" s="13" t="str">
        <f aca="false">IF($M289=0,"",284)</f>
        <v/>
      </c>
      <c r="B289" s="13" t="str">
        <f aca="false">IF($M289=0,"",IF(INDEX('Line Detail'!$B$6:$B$505,$M289)="","",INDEX('Line Detail'!$B$6:$B$505,$M289)))</f>
        <v/>
      </c>
      <c r="C289" s="13" t="str">
        <f aca="false">IF($M289=0,"",IF(INDEX('Line Detail'!$C$6:$C$505,$M289)="","",INDEX('Line Detail'!$C$6:$C$505,$M289)))</f>
        <v/>
      </c>
      <c r="D289" s="13" t="str">
        <f aca="false">IF($M289=0,"",IF(INDEX('Line Detail'!$D$6:$D$505,$M289)="","",INDEX('Line Detail'!$D$6:$D$505,$M289)))</f>
        <v/>
      </c>
      <c r="E289" s="13" t="str">
        <f aca="false">IF($M289=0,"",IF(INDEX('Line Detail'!$E$6:$E$505,$M289)="","",INDEX('Line Detail'!$E$6:$E$505,$M289)))</f>
        <v/>
      </c>
      <c r="F289" s="6" t="str">
        <f aca="false">IF($M289=0,"",IF(INDEX('Line Detail'!$F$6:$F$505,$M289)="","",INDEX('Line Detail'!$F$6:$F$505,$M289)))</f>
        <v/>
      </c>
      <c r="G289" s="62" t="str">
        <f aca="false">IF($M289=0,"",IF(INDEX('Line Detail'!$G$6:$G$505,$M289)="","",INDEX('Line Detail'!$G$6:$G$505,$M289)))</f>
        <v/>
      </c>
      <c r="H289" s="13" t="str">
        <f aca="false">IF($M289=0,"",IF(INDEX('Line Detail'!$H$6:$H$505,$M289)="","",INDEX('Line Detail'!$H$6:$H$505,$M289)))</f>
        <v/>
      </c>
      <c r="I289" s="34" t="str">
        <f aca="false">IF($M289=0,"",IF(INDEX('Line Detail'!$O$6:$O$505,$M289)="","",INDEX('Line Detail'!$O$6:$O$505,$M289)))</f>
        <v/>
      </c>
      <c r="J289" s="34" t="str">
        <f aca="false">IF($M289=0,"",IF(INDEX('Line Detail'!$R$6:$R$505,$M289)="","",INDEX('Line Detail'!$R$6:$R$505,$M289)))</f>
        <v/>
      </c>
      <c r="K289" s="6" t="str">
        <f aca="false">IF($M289=0,"",IF(INDEX('Line Detail'!$S$6:$S$505,$M289)="","",INDEX('Line Detail'!$S$6:$S$505,$M289)))</f>
        <v/>
      </c>
      <c r="L289" s="1"/>
      <c r="M289" s="63" t="n">
        <f aca="false">IFERROR(MATCH(284,'Line Detail'!$W$6:$W$505,0),0)</f>
        <v>0</v>
      </c>
    </row>
    <row r="290" customFormat="false" ht="15" hidden="false" customHeight="false" outlineLevel="0" collapsed="false">
      <c r="A290" s="13" t="str">
        <f aca="false">IF($M290=0,"",285)</f>
        <v/>
      </c>
      <c r="B290" s="13" t="str">
        <f aca="false">IF($M290=0,"",IF(INDEX('Line Detail'!$B$6:$B$505,$M290)="","",INDEX('Line Detail'!$B$6:$B$505,$M290)))</f>
        <v/>
      </c>
      <c r="C290" s="13" t="str">
        <f aca="false">IF($M290=0,"",IF(INDEX('Line Detail'!$C$6:$C$505,$M290)="","",INDEX('Line Detail'!$C$6:$C$505,$M290)))</f>
        <v/>
      </c>
      <c r="D290" s="13" t="str">
        <f aca="false">IF($M290=0,"",IF(INDEX('Line Detail'!$D$6:$D$505,$M290)="","",INDEX('Line Detail'!$D$6:$D$505,$M290)))</f>
        <v/>
      </c>
      <c r="E290" s="13" t="str">
        <f aca="false">IF($M290=0,"",IF(INDEX('Line Detail'!$E$6:$E$505,$M290)="","",INDEX('Line Detail'!$E$6:$E$505,$M290)))</f>
        <v/>
      </c>
      <c r="F290" s="6" t="str">
        <f aca="false">IF($M290=0,"",IF(INDEX('Line Detail'!$F$6:$F$505,$M290)="","",INDEX('Line Detail'!$F$6:$F$505,$M290)))</f>
        <v/>
      </c>
      <c r="G290" s="62" t="str">
        <f aca="false">IF($M290=0,"",IF(INDEX('Line Detail'!$G$6:$G$505,$M290)="","",INDEX('Line Detail'!$G$6:$G$505,$M290)))</f>
        <v/>
      </c>
      <c r="H290" s="13" t="str">
        <f aca="false">IF($M290=0,"",IF(INDEX('Line Detail'!$H$6:$H$505,$M290)="","",INDEX('Line Detail'!$H$6:$H$505,$M290)))</f>
        <v/>
      </c>
      <c r="I290" s="34" t="str">
        <f aca="false">IF($M290=0,"",IF(INDEX('Line Detail'!$O$6:$O$505,$M290)="","",INDEX('Line Detail'!$O$6:$O$505,$M290)))</f>
        <v/>
      </c>
      <c r="J290" s="34" t="str">
        <f aca="false">IF($M290=0,"",IF(INDEX('Line Detail'!$R$6:$R$505,$M290)="","",INDEX('Line Detail'!$R$6:$R$505,$M290)))</f>
        <v/>
      </c>
      <c r="K290" s="6" t="str">
        <f aca="false">IF($M290=0,"",IF(INDEX('Line Detail'!$S$6:$S$505,$M290)="","",INDEX('Line Detail'!$S$6:$S$505,$M290)))</f>
        <v/>
      </c>
      <c r="L290" s="1"/>
      <c r="M290" s="63" t="n">
        <f aca="false">IFERROR(MATCH(285,'Line Detail'!$W$6:$W$505,0),0)</f>
        <v>0</v>
      </c>
    </row>
    <row r="291" customFormat="false" ht="15" hidden="false" customHeight="false" outlineLevel="0" collapsed="false">
      <c r="A291" s="13" t="str">
        <f aca="false">IF($M291=0,"",286)</f>
        <v/>
      </c>
      <c r="B291" s="13" t="str">
        <f aca="false">IF($M291=0,"",IF(INDEX('Line Detail'!$B$6:$B$505,$M291)="","",INDEX('Line Detail'!$B$6:$B$505,$M291)))</f>
        <v/>
      </c>
      <c r="C291" s="13" t="str">
        <f aca="false">IF($M291=0,"",IF(INDEX('Line Detail'!$C$6:$C$505,$M291)="","",INDEX('Line Detail'!$C$6:$C$505,$M291)))</f>
        <v/>
      </c>
      <c r="D291" s="13" t="str">
        <f aca="false">IF($M291=0,"",IF(INDEX('Line Detail'!$D$6:$D$505,$M291)="","",INDEX('Line Detail'!$D$6:$D$505,$M291)))</f>
        <v/>
      </c>
      <c r="E291" s="13" t="str">
        <f aca="false">IF($M291=0,"",IF(INDEX('Line Detail'!$E$6:$E$505,$M291)="","",INDEX('Line Detail'!$E$6:$E$505,$M291)))</f>
        <v/>
      </c>
      <c r="F291" s="6" t="str">
        <f aca="false">IF($M291=0,"",IF(INDEX('Line Detail'!$F$6:$F$505,$M291)="","",INDEX('Line Detail'!$F$6:$F$505,$M291)))</f>
        <v/>
      </c>
      <c r="G291" s="62" t="str">
        <f aca="false">IF($M291=0,"",IF(INDEX('Line Detail'!$G$6:$G$505,$M291)="","",INDEX('Line Detail'!$G$6:$G$505,$M291)))</f>
        <v/>
      </c>
      <c r="H291" s="13" t="str">
        <f aca="false">IF($M291=0,"",IF(INDEX('Line Detail'!$H$6:$H$505,$M291)="","",INDEX('Line Detail'!$H$6:$H$505,$M291)))</f>
        <v/>
      </c>
      <c r="I291" s="34" t="str">
        <f aca="false">IF($M291=0,"",IF(INDEX('Line Detail'!$O$6:$O$505,$M291)="","",INDEX('Line Detail'!$O$6:$O$505,$M291)))</f>
        <v/>
      </c>
      <c r="J291" s="34" t="str">
        <f aca="false">IF($M291=0,"",IF(INDEX('Line Detail'!$R$6:$R$505,$M291)="","",INDEX('Line Detail'!$R$6:$R$505,$M291)))</f>
        <v/>
      </c>
      <c r="K291" s="6" t="str">
        <f aca="false">IF($M291=0,"",IF(INDEX('Line Detail'!$S$6:$S$505,$M291)="","",INDEX('Line Detail'!$S$6:$S$505,$M291)))</f>
        <v/>
      </c>
      <c r="L291" s="1"/>
      <c r="M291" s="63" t="n">
        <f aca="false">IFERROR(MATCH(286,'Line Detail'!$W$6:$W$505,0),0)</f>
        <v>0</v>
      </c>
    </row>
    <row r="292" customFormat="false" ht="15" hidden="false" customHeight="false" outlineLevel="0" collapsed="false">
      <c r="A292" s="13" t="str">
        <f aca="false">IF($M292=0,"",287)</f>
        <v/>
      </c>
      <c r="B292" s="13" t="str">
        <f aca="false">IF($M292=0,"",IF(INDEX('Line Detail'!$B$6:$B$505,$M292)="","",INDEX('Line Detail'!$B$6:$B$505,$M292)))</f>
        <v/>
      </c>
      <c r="C292" s="13" t="str">
        <f aca="false">IF($M292=0,"",IF(INDEX('Line Detail'!$C$6:$C$505,$M292)="","",INDEX('Line Detail'!$C$6:$C$505,$M292)))</f>
        <v/>
      </c>
      <c r="D292" s="13" t="str">
        <f aca="false">IF($M292=0,"",IF(INDEX('Line Detail'!$D$6:$D$505,$M292)="","",INDEX('Line Detail'!$D$6:$D$505,$M292)))</f>
        <v/>
      </c>
      <c r="E292" s="13" t="str">
        <f aca="false">IF($M292=0,"",IF(INDEX('Line Detail'!$E$6:$E$505,$M292)="","",INDEX('Line Detail'!$E$6:$E$505,$M292)))</f>
        <v/>
      </c>
      <c r="F292" s="6" t="str">
        <f aca="false">IF($M292=0,"",IF(INDEX('Line Detail'!$F$6:$F$505,$M292)="","",INDEX('Line Detail'!$F$6:$F$505,$M292)))</f>
        <v/>
      </c>
      <c r="G292" s="62" t="str">
        <f aca="false">IF($M292=0,"",IF(INDEX('Line Detail'!$G$6:$G$505,$M292)="","",INDEX('Line Detail'!$G$6:$G$505,$M292)))</f>
        <v/>
      </c>
      <c r="H292" s="13" t="str">
        <f aca="false">IF($M292=0,"",IF(INDEX('Line Detail'!$H$6:$H$505,$M292)="","",INDEX('Line Detail'!$H$6:$H$505,$M292)))</f>
        <v/>
      </c>
      <c r="I292" s="34" t="str">
        <f aca="false">IF($M292=0,"",IF(INDEX('Line Detail'!$O$6:$O$505,$M292)="","",INDEX('Line Detail'!$O$6:$O$505,$M292)))</f>
        <v/>
      </c>
      <c r="J292" s="34" t="str">
        <f aca="false">IF($M292=0,"",IF(INDEX('Line Detail'!$R$6:$R$505,$M292)="","",INDEX('Line Detail'!$R$6:$R$505,$M292)))</f>
        <v/>
      </c>
      <c r="K292" s="6" t="str">
        <f aca="false">IF($M292=0,"",IF(INDEX('Line Detail'!$S$6:$S$505,$M292)="","",INDEX('Line Detail'!$S$6:$S$505,$M292)))</f>
        <v/>
      </c>
      <c r="L292" s="1"/>
      <c r="M292" s="63" t="n">
        <f aca="false">IFERROR(MATCH(287,'Line Detail'!$W$6:$W$505,0),0)</f>
        <v>0</v>
      </c>
    </row>
    <row r="293" customFormat="false" ht="15" hidden="false" customHeight="false" outlineLevel="0" collapsed="false">
      <c r="A293" s="13" t="str">
        <f aca="false">IF($M293=0,"",288)</f>
        <v/>
      </c>
      <c r="B293" s="13" t="str">
        <f aca="false">IF($M293=0,"",IF(INDEX('Line Detail'!$B$6:$B$505,$M293)="","",INDEX('Line Detail'!$B$6:$B$505,$M293)))</f>
        <v/>
      </c>
      <c r="C293" s="13" t="str">
        <f aca="false">IF($M293=0,"",IF(INDEX('Line Detail'!$C$6:$C$505,$M293)="","",INDEX('Line Detail'!$C$6:$C$505,$M293)))</f>
        <v/>
      </c>
      <c r="D293" s="13" t="str">
        <f aca="false">IF($M293=0,"",IF(INDEX('Line Detail'!$D$6:$D$505,$M293)="","",INDEX('Line Detail'!$D$6:$D$505,$M293)))</f>
        <v/>
      </c>
      <c r="E293" s="13" t="str">
        <f aca="false">IF($M293=0,"",IF(INDEX('Line Detail'!$E$6:$E$505,$M293)="","",INDEX('Line Detail'!$E$6:$E$505,$M293)))</f>
        <v/>
      </c>
      <c r="F293" s="6" t="str">
        <f aca="false">IF($M293=0,"",IF(INDEX('Line Detail'!$F$6:$F$505,$M293)="","",INDEX('Line Detail'!$F$6:$F$505,$M293)))</f>
        <v/>
      </c>
      <c r="G293" s="62" t="str">
        <f aca="false">IF($M293=0,"",IF(INDEX('Line Detail'!$G$6:$G$505,$M293)="","",INDEX('Line Detail'!$G$6:$G$505,$M293)))</f>
        <v/>
      </c>
      <c r="H293" s="13" t="str">
        <f aca="false">IF($M293=0,"",IF(INDEX('Line Detail'!$H$6:$H$505,$M293)="","",INDEX('Line Detail'!$H$6:$H$505,$M293)))</f>
        <v/>
      </c>
      <c r="I293" s="34" t="str">
        <f aca="false">IF($M293=0,"",IF(INDEX('Line Detail'!$O$6:$O$505,$M293)="","",INDEX('Line Detail'!$O$6:$O$505,$M293)))</f>
        <v/>
      </c>
      <c r="J293" s="34" t="str">
        <f aca="false">IF($M293=0,"",IF(INDEX('Line Detail'!$R$6:$R$505,$M293)="","",INDEX('Line Detail'!$R$6:$R$505,$M293)))</f>
        <v/>
      </c>
      <c r="K293" s="6" t="str">
        <f aca="false">IF($M293=0,"",IF(INDEX('Line Detail'!$S$6:$S$505,$M293)="","",INDEX('Line Detail'!$S$6:$S$505,$M293)))</f>
        <v/>
      </c>
      <c r="L293" s="1"/>
      <c r="M293" s="63" t="n">
        <f aca="false">IFERROR(MATCH(288,'Line Detail'!$W$6:$W$505,0),0)</f>
        <v>0</v>
      </c>
    </row>
    <row r="294" customFormat="false" ht="15" hidden="false" customHeight="false" outlineLevel="0" collapsed="false">
      <c r="A294" s="13" t="str">
        <f aca="false">IF($M294=0,"",289)</f>
        <v/>
      </c>
      <c r="B294" s="13" t="str">
        <f aca="false">IF($M294=0,"",IF(INDEX('Line Detail'!$B$6:$B$505,$M294)="","",INDEX('Line Detail'!$B$6:$B$505,$M294)))</f>
        <v/>
      </c>
      <c r="C294" s="13" t="str">
        <f aca="false">IF($M294=0,"",IF(INDEX('Line Detail'!$C$6:$C$505,$M294)="","",INDEX('Line Detail'!$C$6:$C$505,$M294)))</f>
        <v/>
      </c>
      <c r="D294" s="13" t="str">
        <f aca="false">IF($M294=0,"",IF(INDEX('Line Detail'!$D$6:$D$505,$M294)="","",INDEX('Line Detail'!$D$6:$D$505,$M294)))</f>
        <v/>
      </c>
      <c r="E294" s="13" t="str">
        <f aca="false">IF($M294=0,"",IF(INDEX('Line Detail'!$E$6:$E$505,$M294)="","",INDEX('Line Detail'!$E$6:$E$505,$M294)))</f>
        <v/>
      </c>
      <c r="F294" s="6" t="str">
        <f aca="false">IF($M294=0,"",IF(INDEX('Line Detail'!$F$6:$F$505,$M294)="","",INDEX('Line Detail'!$F$6:$F$505,$M294)))</f>
        <v/>
      </c>
      <c r="G294" s="62" t="str">
        <f aca="false">IF($M294=0,"",IF(INDEX('Line Detail'!$G$6:$G$505,$M294)="","",INDEX('Line Detail'!$G$6:$G$505,$M294)))</f>
        <v/>
      </c>
      <c r="H294" s="13" t="str">
        <f aca="false">IF($M294=0,"",IF(INDEX('Line Detail'!$H$6:$H$505,$M294)="","",INDEX('Line Detail'!$H$6:$H$505,$M294)))</f>
        <v/>
      </c>
      <c r="I294" s="34" t="str">
        <f aca="false">IF($M294=0,"",IF(INDEX('Line Detail'!$O$6:$O$505,$M294)="","",INDEX('Line Detail'!$O$6:$O$505,$M294)))</f>
        <v/>
      </c>
      <c r="J294" s="34" t="str">
        <f aca="false">IF($M294=0,"",IF(INDEX('Line Detail'!$R$6:$R$505,$M294)="","",INDEX('Line Detail'!$R$6:$R$505,$M294)))</f>
        <v/>
      </c>
      <c r="K294" s="6" t="str">
        <f aca="false">IF($M294=0,"",IF(INDEX('Line Detail'!$S$6:$S$505,$M294)="","",INDEX('Line Detail'!$S$6:$S$505,$M294)))</f>
        <v/>
      </c>
      <c r="L294" s="1"/>
      <c r="M294" s="63" t="n">
        <f aca="false">IFERROR(MATCH(289,'Line Detail'!$W$6:$W$505,0),0)</f>
        <v>0</v>
      </c>
    </row>
    <row r="295" customFormat="false" ht="15" hidden="false" customHeight="false" outlineLevel="0" collapsed="false">
      <c r="A295" s="13" t="str">
        <f aca="false">IF($M295=0,"",290)</f>
        <v/>
      </c>
      <c r="B295" s="13" t="str">
        <f aca="false">IF($M295=0,"",IF(INDEX('Line Detail'!$B$6:$B$505,$M295)="","",INDEX('Line Detail'!$B$6:$B$505,$M295)))</f>
        <v/>
      </c>
      <c r="C295" s="13" t="str">
        <f aca="false">IF($M295=0,"",IF(INDEX('Line Detail'!$C$6:$C$505,$M295)="","",INDEX('Line Detail'!$C$6:$C$505,$M295)))</f>
        <v/>
      </c>
      <c r="D295" s="13" t="str">
        <f aca="false">IF($M295=0,"",IF(INDEX('Line Detail'!$D$6:$D$505,$M295)="","",INDEX('Line Detail'!$D$6:$D$505,$M295)))</f>
        <v/>
      </c>
      <c r="E295" s="13" t="str">
        <f aca="false">IF($M295=0,"",IF(INDEX('Line Detail'!$E$6:$E$505,$M295)="","",INDEX('Line Detail'!$E$6:$E$505,$M295)))</f>
        <v/>
      </c>
      <c r="F295" s="6" t="str">
        <f aca="false">IF($M295=0,"",IF(INDEX('Line Detail'!$F$6:$F$505,$M295)="","",INDEX('Line Detail'!$F$6:$F$505,$M295)))</f>
        <v/>
      </c>
      <c r="G295" s="62" t="str">
        <f aca="false">IF($M295=0,"",IF(INDEX('Line Detail'!$G$6:$G$505,$M295)="","",INDEX('Line Detail'!$G$6:$G$505,$M295)))</f>
        <v/>
      </c>
      <c r="H295" s="13" t="str">
        <f aca="false">IF($M295=0,"",IF(INDEX('Line Detail'!$H$6:$H$505,$M295)="","",INDEX('Line Detail'!$H$6:$H$505,$M295)))</f>
        <v/>
      </c>
      <c r="I295" s="34" t="str">
        <f aca="false">IF($M295=0,"",IF(INDEX('Line Detail'!$O$6:$O$505,$M295)="","",INDEX('Line Detail'!$O$6:$O$505,$M295)))</f>
        <v/>
      </c>
      <c r="J295" s="34" t="str">
        <f aca="false">IF($M295=0,"",IF(INDEX('Line Detail'!$R$6:$R$505,$M295)="","",INDEX('Line Detail'!$R$6:$R$505,$M295)))</f>
        <v/>
      </c>
      <c r="K295" s="6" t="str">
        <f aca="false">IF($M295=0,"",IF(INDEX('Line Detail'!$S$6:$S$505,$M295)="","",INDEX('Line Detail'!$S$6:$S$505,$M295)))</f>
        <v/>
      </c>
      <c r="L295" s="1"/>
      <c r="M295" s="63" t="n">
        <f aca="false">IFERROR(MATCH(290,'Line Detail'!$W$6:$W$505,0),0)</f>
        <v>0</v>
      </c>
    </row>
    <row r="296" customFormat="false" ht="15" hidden="false" customHeight="false" outlineLevel="0" collapsed="false">
      <c r="A296" s="13" t="str">
        <f aca="false">IF($M296=0,"",291)</f>
        <v/>
      </c>
      <c r="B296" s="13" t="str">
        <f aca="false">IF($M296=0,"",IF(INDEX('Line Detail'!$B$6:$B$505,$M296)="","",INDEX('Line Detail'!$B$6:$B$505,$M296)))</f>
        <v/>
      </c>
      <c r="C296" s="13" t="str">
        <f aca="false">IF($M296=0,"",IF(INDEX('Line Detail'!$C$6:$C$505,$M296)="","",INDEX('Line Detail'!$C$6:$C$505,$M296)))</f>
        <v/>
      </c>
      <c r="D296" s="13" t="str">
        <f aca="false">IF($M296=0,"",IF(INDEX('Line Detail'!$D$6:$D$505,$M296)="","",INDEX('Line Detail'!$D$6:$D$505,$M296)))</f>
        <v/>
      </c>
      <c r="E296" s="13" t="str">
        <f aca="false">IF($M296=0,"",IF(INDEX('Line Detail'!$E$6:$E$505,$M296)="","",INDEX('Line Detail'!$E$6:$E$505,$M296)))</f>
        <v/>
      </c>
      <c r="F296" s="6" t="str">
        <f aca="false">IF($M296=0,"",IF(INDEX('Line Detail'!$F$6:$F$505,$M296)="","",INDEX('Line Detail'!$F$6:$F$505,$M296)))</f>
        <v/>
      </c>
      <c r="G296" s="62" t="str">
        <f aca="false">IF($M296=0,"",IF(INDEX('Line Detail'!$G$6:$G$505,$M296)="","",INDEX('Line Detail'!$G$6:$G$505,$M296)))</f>
        <v/>
      </c>
      <c r="H296" s="13" t="str">
        <f aca="false">IF($M296=0,"",IF(INDEX('Line Detail'!$H$6:$H$505,$M296)="","",INDEX('Line Detail'!$H$6:$H$505,$M296)))</f>
        <v/>
      </c>
      <c r="I296" s="34" t="str">
        <f aca="false">IF($M296=0,"",IF(INDEX('Line Detail'!$O$6:$O$505,$M296)="","",INDEX('Line Detail'!$O$6:$O$505,$M296)))</f>
        <v/>
      </c>
      <c r="J296" s="34" t="str">
        <f aca="false">IF($M296=0,"",IF(INDEX('Line Detail'!$R$6:$R$505,$M296)="","",INDEX('Line Detail'!$R$6:$R$505,$M296)))</f>
        <v/>
      </c>
      <c r="K296" s="6" t="str">
        <f aca="false">IF($M296=0,"",IF(INDEX('Line Detail'!$S$6:$S$505,$M296)="","",INDEX('Line Detail'!$S$6:$S$505,$M296)))</f>
        <v/>
      </c>
      <c r="L296" s="1"/>
      <c r="M296" s="63" t="n">
        <f aca="false">IFERROR(MATCH(291,'Line Detail'!$W$6:$W$505,0),0)</f>
        <v>0</v>
      </c>
    </row>
    <row r="297" customFormat="false" ht="15" hidden="false" customHeight="false" outlineLevel="0" collapsed="false">
      <c r="A297" s="13" t="str">
        <f aca="false">IF($M297=0,"",292)</f>
        <v/>
      </c>
      <c r="B297" s="13" t="str">
        <f aca="false">IF($M297=0,"",IF(INDEX('Line Detail'!$B$6:$B$505,$M297)="","",INDEX('Line Detail'!$B$6:$B$505,$M297)))</f>
        <v/>
      </c>
      <c r="C297" s="13" t="str">
        <f aca="false">IF($M297=0,"",IF(INDEX('Line Detail'!$C$6:$C$505,$M297)="","",INDEX('Line Detail'!$C$6:$C$505,$M297)))</f>
        <v/>
      </c>
      <c r="D297" s="13" t="str">
        <f aca="false">IF($M297=0,"",IF(INDEX('Line Detail'!$D$6:$D$505,$M297)="","",INDEX('Line Detail'!$D$6:$D$505,$M297)))</f>
        <v/>
      </c>
      <c r="E297" s="13" t="str">
        <f aca="false">IF($M297=0,"",IF(INDEX('Line Detail'!$E$6:$E$505,$M297)="","",INDEX('Line Detail'!$E$6:$E$505,$M297)))</f>
        <v/>
      </c>
      <c r="F297" s="6" t="str">
        <f aca="false">IF($M297=0,"",IF(INDEX('Line Detail'!$F$6:$F$505,$M297)="","",INDEX('Line Detail'!$F$6:$F$505,$M297)))</f>
        <v/>
      </c>
      <c r="G297" s="62" t="str">
        <f aca="false">IF($M297=0,"",IF(INDEX('Line Detail'!$G$6:$G$505,$M297)="","",INDEX('Line Detail'!$G$6:$G$505,$M297)))</f>
        <v/>
      </c>
      <c r="H297" s="13" t="str">
        <f aca="false">IF($M297=0,"",IF(INDEX('Line Detail'!$H$6:$H$505,$M297)="","",INDEX('Line Detail'!$H$6:$H$505,$M297)))</f>
        <v/>
      </c>
      <c r="I297" s="34" t="str">
        <f aca="false">IF($M297=0,"",IF(INDEX('Line Detail'!$O$6:$O$505,$M297)="","",INDEX('Line Detail'!$O$6:$O$505,$M297)))</f>
        <v/>
      </c>
      <c r="J297" s="34" t="str">
        <f aca="false">IF($M297=0,"",IF(INDEX('Line Detail'!$R$6:$R$505,$M297)="","",INDEX('Line Detail'!$R$6:$R$505,$M297)))</f>
        <v/>
      </c>
      <c r="K297" s="6" t="str">
        <f aca="false">IF($M297=0,"",IF(INDEX('Line Detail'!$S$6:$S$505,$M297)="","",INDEX('Line Detail'!$S$6:$S$505,$M297)))</f>
        <v/>
      </c>
      <c r="L297" s="1"/>
      <c r="M297" s="63" t="n">
        <f aca="false">IFERROR(MATCH(292,'Line Detail'!$W$6:$W$505,0),0)</f>
        <v>0</v>
      </c>
    </row>
    <row r="298" customFormat="false" ht="15" hidden="false" customHeight="false" outlineLevel="0" collapsed="false">
      <c r="A298" s="13" t="str">
        <f aca="false">IF($M298=0,"",293)</f>
        <v/>
      </c>
      <c r="B298" s="13" t="str">
        <f aca="false">IF($M298=0,"",IF(INDEX('Line Detail'!$B$6:$B$505,$M298)="","",INDEX('Line Detail'!$B$6:$B$505,$M298)))</f>
        <v/>
      </c>
      <c r="C298" s="13" t="str">
        <f aca="false">IF($M298=0,"",IF(INDEX('Line Detail'!$C$6:$C$505,$M298)="","",INDEX('Line Detail'!$C$6:$C$505,$M298)))</f>
        <v/>
      </c>
      <c r="D298" s="13" t="str">
        <f aca="false">IF($M298=0,"",IF(INDEX('Line Detail'!$D$6:$D$505,$M298)="","",INDEX('Line Detail'!$D$6:$D$505,$M298)))</f>
        <v/>
      </c>
      <c r="E298" s="13" t="str">
        <f aca="false">IF($M298=0,"",IF(INDEX('Line Detail'!$E$6:$E$505,$M298)="","",INDEX('Line Detail'!$E$6:$E$505,$M298)))</f>
        <v/>
      </c>
      <c r="F298" s="6" t="str">
        <f aca="false">IF($M298=0,"",IF(INDEX('Line Detail'!$F$6:$F$505,$M298)="","",INDEX('Line Detail'!$F$6:$F$505,$M298)))</f>
        <v/>
      </c>
      <c r="G298" s="62" t="str">
        <f aca="false">IF($M298=0,"",IF(INDEX('Line Detail'!$G$6:$G$505,$M298)="","",INDEX('Line Detail'!$G$6:$G$505,$M298)))</f>
        <v/>
      </c>
      <c r="H298" s="13" t="str">
        <f aca="false">IF($M298=0,"",IF(INDEX('Line Detail'!$H$6:$H$505,$M298)="","",INDEX('Line Detail'!$H$6:$H$505,$M298)))</f>
        <v/>
      </c>
      <c r="I298" s="34" t="str">
        <f aca="false">IF($M298=0,"",IF(INDEX('Line Detail'!$O$6:$O$505,$M298)="","",INDEX('Line Detail'!$O$6:$O$505,$M298)))</f>
        <v/>
      </c>
      <c r="J298" s="34" t="str">
        <f aca="false">IF($M298=0,"",IF(INDEX('Line Detail'!$R$6:$R$505,$M298)="","",INDEX('Line Detail'!$R$6:$R$505,$M298)))</f>
        <v/>
      </c>
      <c r="K298" s="6" t="str">
        <f aca="false">IF($M298=0,"",IF(INDEX('Line Detail'!$S$6:$S$505,$M298)="","",INDEX('Line Detail'!$S$6:$S$505,$M298)))</f>
        <v/>
      </c>
      <c r="L298" s="1"/>
      <c r="M298" s="63" t="n">
        <f aca="false">IFERROR(MATCH(293,'Line Detail'!$W$6:$W$505,0),0)</f>
        <v>0</v>
      </c>
    </row>
    <row r="299" customFormat="false" ht="15" hidden="false" customHeight="false" outlineLevel="0" collapsed="false">
      <c r="A299" s="13" t="str">
        <f aca="false">IF($M299=0,"",294)</f>
        <v/>
      </c>
      <c r="B299" s="13" t="str">
        <f aca="false">IF($M299=0,"",IF(INDEX('Line Detail'!$B$6:$B$505,$M299)="","",INDEX('Line Detail'!$B$6:$B$505,$M299)))</f>
        <v/>
      </c>
      <c r="C299" s="13" t="str">
        <f aca="false">IF($M299=0,"",IF(INDEX('Line Detail'!$C$6:$C$505,$M299)="","",INDEX('Line Detail'!$C$6:$C$505,$M299)))</f>
        <v/>
      </c>
      <c r="D299" s="13" t="str">
        <f aca="false">IF($M299=0,"",IF(INDEX('Line Detail'!$D$6:$D$505,$M299)="","",INDEX('Line Detail'!$D$6:$D$505,$M299)))</f>
        <v/>
      </c>
      <c r="E299" s="13" t="str">
        <f aca="false">IF($M299=0,"",IF(INDEX('Line Detail'!$E$6:$E$505,$M299)="","",INDEX('Line Detail'!$E$6:$E$505,$M299)))</f>
        <v/>
      </c>
      <c r="F299" s="6" t="str">
        <f aca="false">IF($M299=0,"",IF(INDEX('Line Detail'!$F$6:$F$505,$M299)="","",INDEX('Line Detail'!$F$6:$F$505,$M299)))</f>
        <v/>
      </c>
      <c r="G299" s="62" t="str">
        <f aca="false">IF($M299=0,"",IF(INDEX('Line Detail'!$G$6:$G$505,$M299)="","",INDEX('Line Detail'!$G$6:$G$505,$M299)))</f>
        <v/>
      </c>
      <c r="H299" s="13" t="str">
        <f aca="false">IF($M299=0,"",IF(INDEX('Line Detail'!$H$6:$H$505,$M299)="","",INDEX('Line Detail'!$H$6:$H$505,$M299)))</f>
        <v/>
      </c>
      <c r="I299" s="34" t="str">
        <f aca="false">IF($M299=0,"",IF(INDEX('Line Detail'!$O$6:$O$505,$M299)="","",INDEX('Line Detail'!$O$6:$O$505,$M299)))</f>
        <v/>
      </c>
      <c r="J299" s="34" t="str">
        <f aca="false">IF($M299=0,"",IF(INDEX('Line Detail'!$R$6:$R$505,$M299)="","",INDEX('Line Detail'!$R$6:$R$505,$M299)))</f>
        <v/>
      </c>
      <c r="K299" s="6" t="str">
        <f aca="false">IF($M299=0,"",IF(INDEX('Line Detail'!$S$6:$S$505,$M299)="","",INDEX('Line Detail'!$S$6:$S$505,$M299)))</f>
        <v/>
      </c>
      <c r="L299" s="1"/>
      <c r="M299" s="63" t="n">
        <f aca="false">IFERROR(MATCH(294,'Line Detail'!$W$6:$W$505,0),0)</f>
        <v>0</v>
      </c>
    </row>
    <row r="300" customFormat="false" ht="15" hidden="false" customHeight="false" outlineLevel="0" collapsed="false">
      <c r="A300" s="13" t="str">
        <f aca="false">IF($M300=0,"",295)</f>
        <v/>
      </c>
      <c r="B300" s="13" t="str">
        <f aca="false">IF($M300=0,"",IF(INDEX('Line Detail'!$B$6:$B$505,$M300)="","",INDEX('Line Detail'!$B$6:$B$505,$M300)))</f>
        <v/>
      </c>
      <c r="C300" s="13" t="str">
        <f aca="false">IF($M300=0,"",IF(INDEX('Line Detail'!$C$6:$C$505,$M300)="","",INDEX('Line Detail'!$C$6:$C$505,$M300)))</f>
        <v/>
      </c>
      <c r="D300" s="13" t="str">
        <f aca="false">IF($M300=0,"",IF(INDEX('Line Detail'!$D$6:$D$505,$M300)="","",INDEX('Line Detail'!$D$6:$D$505,$M300)))</f>
        <v/>
      </c>
      <c r="E300" s="13" t="str">
        <f aca="false">IF($M300=0,"",IF(INDEX('Line Detail'!$E$6:$E$505,$M300)="","",INDEX('Line Detail'!$E$6:$E$505,$M300)))</f>
        <v/>
      </c>
      <c r="F300" s="6" t="str">
        <f aca="false">IF($M300=0,"",IF(INDEX('Line Detail'!$F$6:$F$505,$M300)="","",INDEX('Line Detail'!$F$6:$F$505,$M300)))</f>
        <v/>
      </c>
      <c r="G300" s="62" t="str">
        <f aca="false">IF($M300=0,"",IF(INDEX('Line Detail'!$G$6:$G$505,$M300)="","",INDEX('Line Detail'!$G$6:$G$505,$M300)))</f>
        <v/>
      </c>
      <c r="H300" s="13" t="str">
        <f aca="false">IF($M300=0,"",IF(INDEX('Line Detail'!$H$6:$H$505,$M300)="","",INDEX('Line Detail'!$H$6:$H$505,$M300)))</f>
        <v/>
      </c>
      <c r="I300" s="34" t="str">
        <f aca="false">IF($M300=0,"",IF(INDEX('Line Detail'!$O$6:$O$505,$M300)="","",INDEX('Line Detail'!$O$6:$O$505,$M300)))</f>
        <v/>
      </c>
      <c r="J300" s="34" t="str">
        <f aca="false">IF($M300=0,"",IF(INDEX('Line Detail'!$R$6:$R$505,$M300)="","",INDEX('Line Detail'!$R$6:$R$505,$M300)))</f>
        <v/>
      </c>
      <c r="K300" s="6" t="str">
        <f aca="false">IF($M300=0,"",IF(INDEX('Line Detail'!$S$6:$S$505,$M300)="","",INDEX('Line Detail'!$S$6:$S$505,$M300)))</f>
        <v/>
      </c>
      <c r="L300" s="1"/>
      <c r="M300" s="63" t="n">
        <f aca="false">IFERROR(MATCH(295,'Line Detail'!$W$6:$W$505,0),0)</f>
        <v>0</v>
      </c>
    </row>
    <row r="301" customFormat="false" ht="15" hidden="false" customHeight="false" outlineLevel="0" collapsed="false">
      <c r="A301" s="13" t="str">
        <f aca="false">IF($M301=0,"",296)</f>
        <v/>
      </c>
      <c r="B301" s="13" t="str">
        <f aca="false">IF($M301=0,"",IF(INDEX('Line Detail'!$B$6:$B$505,$M301)="","",INDEX('Line Detail'!$B$6:$B$505,$M301)))</f>
        <v/>
      </c>
      <c r="C301" s="13" t="str">
        <f aca="false">IF($M301=0,"",IF(INDEX('Line Detail'!$C$6:$C$505,$M301)="","",INDEX('Line Detail'!$C$6:$C$505,$M301)))</f>
        <v/>
      </c>
      <c r="D301" s="13" t="str">
        <f aca="false">IF($M301=0,"",IF(INDEX('Line Detail'!$D$6:$D$505,$M301)="","",INDEX('Line Detail'!$D$6:$D$505,$M301)))</f>
        <v/>
      </c>
      <c r="E301" s="13" t="str">
        <f aca="false">IF($M301=0,"",IF(INDEX('Line Detail'!$E$6:$E$505,$M301)="","",INDEX('Line Detail'!$E$6:$E$505,$M301)))</f>
        <v/>
      </c>
      <c r="F301" s="6" t="str">
        <f aca="false">IF($M301=0,"",IF(INDEX('Line Detail'!$F$6:$F$505,$M301)="","",INDEX('Line Detail'!$F$6:$F$505,$M301)))</f>
        <v/>
      </c>
      <c r="G301" s="62" t="str">
        <f aca="false">IF($M301=0,"",IF(INDEX('Line Detail'!$G$6:$G$505,$M301)="","",INDEX('Line Detail'!$G$6:$G$505,$M301)))</f>
        <v/>
      </c>
      <c r="H301" s="13" t="str">
        <f aca="false">IF($M301=0,"",IF(INDEX('Line Detail'!$H$6:$H$505,$M301)="","",INDEX('Line Detail'!$H$6:$H$505,$M301)))</f>
        <v/>
      </c>
      <c r="I301" s="34" t="str">
        <f aca="false">IF($M301=0,"",IF(INDEX('Line Detail'!$O$6:$O$505,$M301)="","",INDEX('Line Detail'!$O$6:$O$505,$M301)))</f>
        <v/>
      </c>
      <c r="J301" s="34" t="str">
        <f aca="false">IF($M301=0,"",IF(INDEX('Line Detail'!$R$6:$R$505,$M301)="","",INDEX('Line Detail'!$R$6:$R$505,$M301)))</f>
        <v/>
      </c>
      <c r="K301" s="6" t="str">
        <f aca="false">IF($M301=0,"",IF(INDEX('Line Detail'!$S$6:$S$505,$M301)="","",INDEX('Line Detail'!$S$6:$S$505,$M301)))</f>
        <v/>
      </c>
      <c r="L301" s="1"/>
      <c r="M301" s="63" t="n">
        <f aca="false">IFERROR(MATCH(296,'Line Detail'!$W$6:$W$505,0),0)</f>
        <v>0</v>
      </c>
    </row>
    <row r="302" customFormat="false" ht="15" hidden="false" customHeight="false" outlineLevel="0" collapsed="false">
      <c r="A302" s="13" t="str">
        <f aca="false">IF($M302=0,"",297)</f>
        <v/>
      </c>
      <c r="B302" s="13" t="str">
        <f aca="false">IF($M302=0,"",IF(INDEX('Line Detail'!$B$6:$B$505,$M302)="","",INDEX('Line Detail'!$B$6:$B$505,$M302)))</f>
        <v/>
      </c>
      <c r="C302" s="13" t="str">
        <f aca="false">IF($M302=0,"",IF(INDEX('Line Detail'!$C$6:$C$505,$M302)="","",INDEX('Line Detail'!$C$6:$C$505,$M302)))</f>
        <v/>
      </c>
      <c r="D302" s="13" t="str">
        <f aca="false">IF($M302=0,"",IF(INDEX('Line Detail'!$D$6:$D$505,$M302)="","",INDEX('Line Detail'!$D$6:$D$505,$M302)))</f>
        <v/>
      </c>
      <c r="E302" s="13" t="str">
        <f aca="false">IF($M302=0,"",IF(INDEX('Line Detail'!$E$6:$E$505,$M302)="","",INDEX('Line Detail'!$E$6:$E$505,$M302)))</f>
        <v/>
      </c>
      <c r="F302" s="6" t="str">
        <f aca="false">IF($M302=0,"",IF(INDEX('Line Detail'!$F$6:$F$505,$M302)="","",INDEX('Line Detail'!$F$6:$F$505,$M302)))</f>
        <v/>
      </c>
      <c r="G302" s="62" t="str">
        <f aca="false">IF($M302=0,"",IF(INDEX('Line Detail'!$G$6:$G$505,$M302)="","",INDEX('Line Detail'!$G$6:$G$505,$M302)))</f>
        <v/>
      </c>
      <c r="H302" s="13" t="str">
        <f aca="false">IF($M302=0,"",IF(INDEX('Line Detail'!$H$6:$H$505,$M302)="","",INDEX('Line Detail'!$H$6:$H$505,$M302)))</f>
        <v/>
      </c>
      <c r="I302" s="34" t="str">
        <f aca="false">IF($M302=0,"",IF(INDEX('Line Detail'!$O$6:$O$505,$M302)="","",INDEX('Line Detail'!$O$6:$O$505,$M302)))</f>
        <v/>
      </c>
      <c r="J302" s="34" t="str">
        <f aca="false">IF($M302=0,"",IF(INDEX('Line Detail'!$R$6:$R$505,$M302)="","",INDEX('Line Detail'!$R$6:$R$505,$M302)))</f>
        <v/>
      </c>
      <c r="K302" s="6" t="str">
        <f aca="false">IF($M302=0,"",IF(INDEX('Line Detail'!$S$6:$S$505,$M302)="","",INDEX('Line Detail'!$S$6:$S$505,$M302)))</f>
        <v/>
      </c>
      <c r="L302" s="1"/>
      <c r="M302" s="63" t="n">
        <f aca="false">IFERROR(MATCH(297,'Line Detail'!$W$6:$W$505,0),0)</f>
        <v>0</v>
      </c>
    </row>
    <row r="303" customFormat="false" ht="15" hidden="false" customHeight="false" outlineLevel="0" collapsed="false">
      <c r="A303" s="13" t="str">
        <f aca="false">IF($M303=0,"",298)</f>
        <v/>
      </c>
      <c r="B303" s="13" t="str">
        <f aca="false">IF($M303=0,"",IF(INDEX('Line Detail'!$B$6:$B$505,$M303)="","",INDEX('Line Detail'!$B$6:$B$505,$M303)))</f>
        <v/>
      </c>
      <c r="C303" s="13" t="str">
        <f aca="false">IF($M303=0,"",IF(INDEX('Line Detail'!$C$6:$C$505,$M303)="","",INDEX('Line Detail'!$C$6:$C$505,$M303)))</f>
        <v/>
      </c>
      <c r="D303" s="13" t="str">
        <f aca="false">IF($M303=0,"",IF(INDEX('Line Detail'!$D$6:$D$505,$M303)="","",INDEX('Line Detail'!$D$6:$D$505,$M303)))</f>
        <v/>
      </c>
      <c r="E303" s="13" t="str">
        <f aca="false">IF($M303=0,"",IF(INDEX('Line Detail'!$E$6:$E$505,$M303)="","",INDEX('Line Detail'!$E$6:$E$505,$M303)))</f>
        <v/>
      </c>
      <c r="F303" s="6" t="str">
        <f aca="false">IF($M303=0,"",IF(INDEX('Line Detail'!$F$6:$F$505,$M303)="","",INDEX('Line Detail'!$F$6:$F$505,$M303)))</f>
        <v/>
      </c>
      <c r="G303" s="62" t="str">
        <f aca="false">IF($M303=0,"",IF(INDEX('Line Detail'!$G$6:$G$505,$M303)="","",INDEX('Line Detail'!$G$6:$G$505,$M303)))</f>
        <v/>
      </c>
      <c r="H303" s="13" t="str">
        <f aca="false">IF($M303=0,"",IF(INDEX('Line Detail'!$H$6:$H$505,$M303)="","",INDEX('Line Detail'!$H$6:$H$505,$M303)))</f>
        <v/>
      </c>
      <c r="I303" s="34" t="str">
        <f aca="false">IF($M303=0,"",IF(INDEX('Line Detail'!$O$6:$O$505,$M303)="","",INDEX('Line Detail'!$O$6:$O$505,$M303)))</f>
        <v/>
      </c>
      <c r="J303" s="34" t="str">
        <f aca="false">IF($M303=0,"",IF(INDEX('Line Detail'!$R$6:$R$505,$M303)="","",INDEX('Line Detail'!$R$6:$R$505,$M303)))</f>
        <v/>
      </c>
      <c r="K303" s="6" t="str">
        <f aca="false">IF($M303=0,"",IF(INDEX('Line Detail'!$S$6:$S$505,$M303)="","",INDEX('Line Detail'!$S$6:$S$505,$M303)))</f>
        <v/>
      </c>
      <c r="L303" s="1"/>
      <c r="M303" s="63" t="n">
        <f aca="false">IFERROR(MATCH(298,'Line Detail'!$W$6:$W$505,0),0)</f>
        <v>0</v>
      </c>
    </row>
    <row r="304" customFormat="false" ht="15" hidden="false" customHeight="false" outlineLevel="0" collapsed="false">
      <c r="A304" s="13" t="str">
        <f aca="false">IF($M304=0,"",299)</f>
        <v/>
      </c>
      <c r="B304" s="13" t="str">
        <f aca="false">IF($M304=0,"",IF(INDEX('Line Detail'!$B$6:$B$505,$M304)="","",INDEX('Line Detail'!$B$6:$B$505,$M304)))</f>
        <v/>
      </c>
      <c r="C304" s="13" t="str">
        <f aca="false">IF($M304=0,"",IF(INDEX('Line Detail'!$C$6:$C$505,$M304)="","",INDEX('Line Detail'!$C$6:$C$505,$M304)))</f>
        <v/>
      </c>
      <c r="D304" s="13" t="str">
        <f aca="false">IF($M304=0,"",IF(INDEX('Line Detail'!$D$6:$D$505,$M304)="","",INDEX('Line Detail'!$D$6:$D$505,$M304)))</f>
        <v/>
      </c>
      <c r="E304" s="13" t="str">
        <f aca="false">IF($M304=0,"",IF(INDEX('Line Detail'!$E$6:$E$505,$M304)="","",INDEX('Line Detail'!$E$6:$E$505,$M304)))</f>
        <v/>
      </c>
      <c r="F304" s="6" t="str">
        <f aca="false">IF($M304=0,"",IF(INDEX('Line Detail'!$F$6:$F$505,$M304)="","",INDEX('Line Detail'!$F$6:$F$505,$M304)))</f>
        <v/>
      </c>
      <c r="G304" s="62" t="str">
        <f aca="false">IF($M304=0,"",IF(INDEX('Line Detail'!$G$6:$G$505,$M304)="","",INDEX('Line Detail'!$G$6:$G$505,$M304)))</f>
        <v/>
      </c>
      <c r="H304" s="13" t="str">
        <f aca="false">IF($M304=0,"",IF(INDEX('Line Detail'!$H$6:$H$505,$M304)="","",INDEX('Line Detail'!$H$6:$H$505,$M304)))</f>
        <v/>
      </c>
      <c r="I304" s="34" t="str">
        <f aca="false">IF($M304=0,"",IF(INDEX('Line Detail'!$O$6:$O$505,$M304)="","",INDEX('Line Detail'!$O$6:$O$505,$M304)))</f>
        <v/>
      </c>
      <c r="J304" s="34" t="str">
        <f aca="false">IF($M304=0,"",IF(INDEX('Line Detail'!$R$6:$R$505,$M304)="","",INDEX('Line Detail'!$R$6:$R$505,$M304)))</f>
        <v/>
      </c>
      <c r="K304" s="6" t="str">
        <f aca="false">IF($M304=0,"",IF(INDEX('Line Detail'!$S$6:$S$505,$M304)="","",INDEX('Line Detail'!$S$6:$S$505,$M304)))</f>
        <v/>
      </c>
      <c r="L304" s="1"/>
      <c r="M304" s="63" t="n">
        <f aca="false">IFERROR(MATCH(299,'Line Detail'!$W$6:$W$505,0),0)</f>
        <v>0</v>
      </c>
    </row>
    <row r="305" customFormat="false" ht="15" hidden="false" customHeight="false" outlineLevel="0" collapsed="false">
      <c r="A305" s="13" t="str">
        <f aca="false">IF($M305=0,"",300)</f>
        <v/>
      </c>
      <c r="B305" s="13" t="str">
        <f aca="false">IF($M305=0,"",IF(INDEX('Line Detail'!$B$6:$B$505,$M305)="","",INDEX('Line Detail'!$B$6:$B$505,$M305)))</f>
        <v/>
      </c>
      <c r="C305" s="13" t="str">
        <f aca="false">IF($M305=0,"",IF(INDEX('Line Detail'!$C$6:$C$505,$M305)="","",INDEX('Line Detail'!$C$6:$C$505,$M305)))</f>
        <v/>
      </c>
      <c r="D305" s="13" t="str">
        <f aca="false">IF($M305=0,"",IF(INDEX('Line Detail'!$D$6:$D$505,$M305)="","",INDEX('Line Detail'!$D$6:$D$505,$M305)))</f>
        <v/>
      </c>
      <c r="E305" s="13" t="str">
        <f aca="false">IF($M305=0,"",IF(INDEX('Line Detail'!$E$6:$E$505,$M305)="","",INDEX('Line Detail'!$E$6:$E$505,$M305)))</f>
        <v/>
      </c>
      <c r="F305" s="6" t="str">
        <f aca="false">IF($M305=0,"",IF(INDEX('Line Detail'!$F$6:$F$505,$M305)="","",INDEX('Line Detail'!$F$6:$F$505,$M305)))</f>
        <v/>
      </c>
      <c r="G305" s="62" t="str">
        <f aca="false">IF($M305=0,"",IF(INDEX('Line Detail'!$G$6:$G$505,$M305)="","",INDEX('Line Detail'!$G$6:$G$505,$M305)))</f>
        <v/>
      </c>
      <c r="H305" s="13" t="str">
        <f aca="false">IF($M305=0,"",IF(INDEX('Line Detail'!$H$6:$H$505,$M305)="","",INDEX('Line Detail'!$H$6:$H$505,$M305)))</f>
        <v/>
      </c>
      <c r="I305" s="34" t="str">
        <f aca="false">IF($M305=0,"",IF(INDEX('Line Detail'!$O$6:$O$505,$M305)="","",INDEX('Line Detail'!$O$6:$O$505,$M305)))</f>
        <v/>
      </c>
      <c r="J305" s="34" t="str">
        <f aca="false">IF($M305=0,"",IF(INDEX('Line Detail'!$R$6:$R$505,$M305)="","",INDEX('Line Detail'!$R$6:$R$505,$M305)))</f>
        <v/>
      </c>
      <c r="K305" s="6" t="str">
        <f aca="false">IF($M305=0,"",IF(INDEX('Line Detail'!$S$6:$S$505,$M305)="","",INDEX('Line Detail'!$S$6:$S$505,$M305)))</f>
        <v/>
      </c>
      <c r="L305" s="1"/>
      <c r="M305" s="63" t="n">
        <f aca="false">IFERROR(MATCH(300,'Line Detail'!$W$6:$W$505,0),0)</f>
        <v>0</v>
      </c>
    </row>
    <row r="306" customFormat="false" ht="15" hidden="false" customHeight="false" outlineLevel="0" collapsed="false">
      <c r="A306" s="13" t="str">
        <f aca="false">IF($M306=0,"",301)</f>
        <v/>
      </c>
      <c r="B306" s="13" t="str">
        <f aca="false">IF($M306=0,"",IF(INDEX('Line Detail'!$B$6:$B$505,$M306)="","",INDEX('Line Detail'!$B$6:$B$505,$M306)))</f>
        <v/>
      </c>
      <c r="C306" s="13" t="str">
        <f aca="false">IF($M306=0,"",IF(INDEX('Line Detail'!$C$6:$C$505,$M306)="","",INDEX('Line Detail'!$C$6:$C$505,$M306)))</f>
        <v/>
      </c>
      <c r="D306" s="13" t="str">
        <f aca="false">IF($M306=0,"",IF(INDEX('Line Detail'!$D$6:$D$505,$M306)="","",INDEX('Line Detail'!$D$6:$D$505,$M306)))</f>
        <v/>
      </c>
      <c r="E306" s="13" t="str">
        <f aca="false">IF($M306=0,"",IF(INDEX('Line Detail'!$E$6:$E$505,$M306)="","",INDEX('Line Detail'!$E$6:$E$505,$M306)))</f>
        <v/>
      </c>
      <c r="F306" s="6" t="str">
        <f aca="false">IF($M306=0,"",IF(INDEX('Line Detail'!$F$6:$F$505,$M306)="","",INDEX('Line Detail'!$F$6:$F$505,$M306)))</f>
        <v/>
      </c>
      <c r="G306" s="62" t="str">
        <f aca="false">IF($M306=0,"",IF(INDEX('Line Detail'!$G$6:$G$505,$M306)="","",INDEX('Line Detail'!$G$6:$G$505,$M306)))</f>
        <v/>
      </c>
      <c r="H306" s="13" t="str">
        <f aca="false">IF($M306=0,"",IF(INDEX('Line Detail'!$H$6:$H$505,$M306)="","",INDEX('Line Detail'!$H$6:$H$505,$M306)))</f>
        <v/>
      </c>
      <c r="I306" s="34" t="str">
        <f aca="false">IF($M306=0,"",IF(INDEX('Line Detail'!$O$6:$O$505,$M306)="","",INDEX('Line Detail'!$O$6:$O$505,$M306)))</f>
        <v/>
      </c>
      <c r="J306" s="34" t="str">
        <f aca="false">IF($M306=0,"",IF(INDEX('Line Detail'!$R$6:$R$505,$M306)="","",INDEX('Line Detail'!$R$6:$R$505,$M306)))</f>
        <v/>
      </c>
      <c r="K306" s="6" t="str">
        <f aca="false">IF($M306=0,"",IF(INDEX('Line Detail'!$S$6:$S$505,$M306)="","",INDEX('Line Detail'!$S$6:$S$505,$M306)))</f>
        <v/>
      </c>
      <c r="L306" s="1"/>
      <c r="M306" s="63" t="n">
        <f aca="false">IFERROR(MATCH(301,'Line Detail'!$W$6:$W$505,0),0)</f>
        <v>0</v>
      </c>
    </row>
    <row r="307" customFormat="false" ht="15" hidden="false" customHeight="false" outlineLevel="0" collapsed="false">
      <c r="A307" s="13" t="str">
        <f aca="false">IF($M307=0,"",302)</f>
        <v/>
      </c>
      <c r="B307" s="13" t="str">
        <f aca="false">IF($M307=0,"",IF(INDEX('Line Detail'!$B$6:$B$505,$M307)="","",INDEX('Line Detail'!$B$6:$B$505,$M307)))</f>
        <v/>
      </c>
      <c r="C307" s="13" t="str">
        <f aca="false">IF($M307=0,"",IF(INDEX('Line Detail'!$C$6:$C$505,$M307)="","",INDEX('Line Detail'!$C$6:$C$505,$M307)))</f>
        <v/>
      </c>
      <c r="D307" s="13" t="str">
        <f aca="false">IF($M307=0,"",IF(INDEX('Line Detail'!$D$6:$D$505,$M307)="","",INDEX('Line Detail'!$D$6:$D$505,$M307)))</f>
        <v/>
      </c>
      <c r="E307" s="13" t="str">
        <f aca="false">IF($M307=0,"",IF(INDEX('Line Detail'!$E$6:$E$505,$M307)="","",INDEX('Line Detail'!$E$6:$E$505,$M307)))</f>
        <v/>
      </c>
      <c r="F307" s="6" t="str">
        <f aca="false">IF($M307=0,"",IF(INDEX('Line Detail'!$F$6:$F$505,$M307)="","",INDEX('Line Detail'!$F$6:$F$505,$M307)))</f>
        <v/>
      </c>
      <c r="G307" s="62" t="str">
        <f aca="false">IF($M307=0,"",IF(INDEX('Line Detail'!$G$6:$G$505,$M307)="","",INDEX('Line Detail'!$G$6:$G$505,$M307)))</f>
        <v/>
      </c>
      <c r="H307" s="13" t="str">
        <f aca="false">IF($M307=0,"",IF(INDEX('Line Detail'!$H$6:$H$505,$M307)="","",INDEX('Line Detail'!$H$6:$H$505,$M307)))</f>
        <v/>
      </c>
      <c r="I307" s="34" t="str">
        <f aca="false">IF($M307=0,"",IF(INDEX('Line Detail'!$O$6:$O$505,$M307)="","",INDEX('Line Detail'!$O$6:$O$505,$M307)))</f>
        <v/>
      </c>
      <c r="J307" s="34" t="str">
        <f aca="false">IF($M307=0,"",IF(INDEX('Line Detail'!$R$6:$R$505,$M307)="","",INDEX('Line Detail'!$R$6:$R$505,$M307)))</f>
        <v/>
      </c>
      <c r="K307" s="6" t="str">
        <f aca="false">IF($M307=0,"",IF(INDEX('Line Detail'!$S$6:$S$505,$M307)="","",INDEX('Line Detail'!$S$6:$S$505,$M307)))</f>
        <v/>
      </c>
      <c r="L307" s="1"/>
      <c r="M307" s="63" t="n">
        <f aca="false">IFERROR(MATCH(302,'Line Detail'!$W$6:$W$505,0),0)</f>
        <v>0</v>
      </c>
    </row>
    <row r="308" customFormat="false" ht="15" hidden="false" customHeight="false" outlineLevel="0" collapsed="false">
      <c r="A308" s="13" t="str">
        <f aca="false">IF($M308=0,"",303)</f>
        <v/>
      </c>
      <c r="B308" s="13" t="str">
        <f aca="false">IF($M308=0,"",IF(INDEX('Line Detail'!$B$6:$B$505,$M308)="","",INDEX('Line Detail'!$B$6:$B$505,$M308)))</f>
        <v/>
      </c>
      <c r="C308" s="13" t="str">
        <f aca="false">IF($M308=0,"",IF(INDEX('Line Detail'!$C$6:$C$505,$M308)="","",INDEX('Line Detail'!$C$6:$C$505,$M308)))</f>
        <v/>
      </c>
      <c r="D308" s="13" t="str">
        <f aca="false">IF($M308=0,"",IF(INDEX('Line Detail'!$D$6:$D$505,$M308)="","",INDEX('Line Detail'!$D$6:$D$505,$M308)))</f>
        <v/>
      </c>
      <c r="E308" s="13" t="str">
        <f aca="false">IF($M308=0,"",IF(INDEX('Line Detail'!$E$6:$E$505,$M308)="","",INDEX('Line Detail'!$E$6:$E$505,$M308)))</f>
        <v/>
      </c>
      <c r="F308" s="6" t="str">
        <f aca="false">IF($M308=0,"",IF(INDEX('Line Detail'!$F$6:$F$505,$M308)="","",INDEX('Line Detail'!$F$6:$F$505,$M308)))</f>
        <v/>
      </c>
      <c r="G308" s="62" t="str">
        <f aca="false">IF($M308=0,"",IF(INDEX('Line Detail'!$G$6:$G$505,$M308)="","",INDEX('Line Detail'!$G$6:$G$505,$M308)))</f>
        <v/>
      </c>
      <c r="H308" s="13" t="str">
        <f aca="false">IF($M308=0,"",IF(INDEX('Line Detail'!$H$6:$H$505,$M308)="","",INDEX('Line Detail'!$H$6:$H$505,$M308)))</f>
        <v/>
      </c>
      <c r="I308" s="34" t="str">
        <f aca="false">IF($M308=0,"",IF(INDEX('Line Detail'!$O$6:$O$505,$M308)="","",INDEX('Line Detail'!$O$6:$O$505,$M308)))</f>
        <v/>
      </c>
      <c r="J308" s="34" t="str">
        <f aca="false">IF($M308=0,"",IF(INDEX('Line Detail'!$R$6:$R$505,$M308)="","",INDEX('Line Detail'!$R$6:$R$505,$M308)))</f>
        <v/>
      </c>
      <c r="K308" s="6" t="str">
        <f aca="false">IF($M308=0,"",IF(INDEX('Line Detail'!$S$6:$S$505,$M308)="","",INDEX('Line Detail'!$S$6:$S$505,$M308)))</f>
        <v/>
      </c>
      <c r="L308" s="1"/>
      <c r="M308" s="63" t="n">
        <f aca="false">IFERROR(MATCH(303,'Line Detail'!$W$6:$W$505,0),0)</f>
        <v>0</v>
      </c>
    </row>
    <row r="309" customFormat="false" ht="15" hidden="false" customHeight="false" outlineLevel="0" collapsed="false">
      <c r="A309" s="13" t="str">
        <f aca="false">IF($M309=0,"",304)</f>
        <v/>
      </c>
      <c r="B309" s="13" t="str">
        <f aca="false">IF($M309=0,"",IF(INDEX('Line Detail'!$B$6:$B$505,$M309)="","",INDEX('Line Detail'!$B$6:$B$505,$M309)))</f>
        <v/>
      </c>
      <c r="C309" s="13" t="str">
        <f aca="false">IF($M309=0,"",IF(INDEX('Line Detail'!$C$6:$C$505,$M309)="","",INDEX('Line Detail'!$C$6:$C$505,$M309)))</f>
        <v/>
      </c>
      <c r="D309" s="13" t="str">
        <f aca="false">IF($M309=0,"",IF(INDEX('Line Detail'!$D$6:$D$505,$M309)="","",INDEX('Line Detail'!$D$6:$D$505,$M309)))</f>
        <v/>
      </c>
      <c r="E309" s="13" t="str">
        <f aca="false">IF($M309=0,"",IF(INDEX('Line Detail'!$E$6:$E$505,$M309)="","",INDEX('Line Detail'!$E$6:$E$505,$M309)))</f>
        <v/>
      </c>
      <c r="F309" s="6" t="str">
        <f aca="false">IF($M309=0,"",IF(INDEX('Line Detail'!$F$6:$F$505,$M309)="","",INDEX('Line Detail'!$F$6:$F$505,$M309)))</f>
        <v/>
      </c>
      <c r="G309" s="62" t="str">
        <f aca="false">IF($M309=0,"",IF(INDEX('Line Detail'!$G$6:$G$505,$M309)="","",INDEX('Line Detail'!$G$6:$G$505,$M309)))</f>
        <v/>
      </c>
      <c r="H309" s="13" t="str">
        <f aca="false">IF($M309=0,"",IF(INDEX('Line Detail'!$H$6:$H$505,$M309)="","",INDEX('Line Detail'!$H$6:$H$505,$M309)))</f>
        <v/>
      </c>
      <c r="I309" s="34" t="str">
        <f aca="false">IF($M309=0,"",IF(INDEX('Line Detail'!$O$6:$O$505,$M309)="","",INDEX('Line Detail'!$O$6:$O$505,$M309)))</f>
        <v/>
      </c>
      <c r="J309" s="34" t="str">
        <f aca="false">IF($M309=0,"",IF(INDEX('Line Detail'!$R$6:$R$505,$M309)="","",INDEX('Line Detail'!$R$6:$R$505,$M309)))</f>
        <v/>
      </c>
      <c r="K309" s="6" t="str">
        <f aca="false">IF($M309=0,"",IF(INDEX('Line Detail'!$S$6:$S$505,$M309)="","",INDEX('Line Detail'!$S$6:$S$505,$M309)))</f>
        <v/>
      </c>
      <c r="L309" s="1"/>
      <c r="M309" s="63" t="n">
        <f aca="false">IFERROR(MATCH(304,'Line Detail'!$W$6:$W$505,0),0)</f>
        <v>0</v>
      </c>
    </row>
    <row r="310" customFormat="false" ht="15" hidden="false" customHeight="false" outlineLevel="0" collapsed="false">
      <c r="A310" s="13" t="str">
        <f aca="false">IF($M310=0,"",305)</f>
        <v/>
      </c>
      <c r="B310" s="13" t="str">
        <f aca="false">IF($M310=0,"",IF(INDEX('Line Detail'!$B$6:$B$505,$M310)="","",INDEX('Line Detail'!$B$6:$B$505,$M310)))</f>
        <v/>
      </c>
      <c r="C310" s="13" t="str">
        <f aca="false">IF($M310=0,"",IF(INDEX('Line Detail'!$C$6:$C$505,$M310)="","",INDEX('Line Detail'!$C$6:$C$505,$M310)))</f>
        <v/>
      </c>
      <c r="D310" s="13" t="str">
        <f aca="false">IF($M310=0,"",IF(INDEX('Line Detail'!$D$6:$D$505,$M310)="","",INDEX('Line Detail'!$D$6:$D$505,$M310)))</f>
        <v/>
      </c>
      <c r="E310" s="13" t="str">
        <f aca="false">IF($M310=0,"",IF(INDEX('Line Detail'!$E$6:$E$505,$M310)="","",INDEX('Line Detail'!$E$6:$E$505,$M310)))</f>
        <v/>
      </c>
      <c r="F310" s="6" t="str">
        <f aca="false">IF($M310=0,"",IF(INDEX('Line Detail'!$F$6:$F$505,$M310)="","",INDEX('Line Detail'!$F$6:$F$505,$M310)))</f>
        <v/>
      </c>
      <c r="G310" s="62" t="str">
        <f aca="false">IF($M310=0,"",IF(INDEX('Line Detail'!$G$6:$G$505,$M310)="","",INDEX('Line Detail'!$G$6:$G$505,$M310)))</f>
        <v/>
      </c>
      <c r="H310" s="13" t="str">
        <f aca="false">IF($M310=0,"",IF(INDEX('Line Detail'!$H$6:$H$505,$M310)="","",INDEX('Line Detail'!$H$6:$H$505,$M310)))</f>
        <v/>
      </c>
      <c r="I310" s="34" t="str">
        <f aca="false">IF($M310=0,"",IF(INDEX('Line Detail'!$O$6:$O$505,$M310)="","",INDEX('Line Detail'!$O$6:$O$505,$M310)))</f>
        <v/>
      </c>
      <c r="J310" s="34" t="str">
        <f aca="false">IF($M310=0,"",IF(INDEX('Line Detail'!$R$6:$R$505,$M310)="","",INDEX('Line Detail'!$R$6:$R$505,$M310)))</f>
        <v/>
      </c>
      <c r="K310" s="6" t="str">
        <f aca="false">IF($M310=0,"",IF(INDEX('Line Detail'!$S$6:$S$505,$M310)="","",INDEX('Line Detail'!$S$6:$S$505,$M310)))</f>
        <v/>
      </c>
      <c r="L310" s="1"/>
      <c r="M310" s="63" t="n">
        <f aca="false">IFERROR(MATCH(305,'Line Detail'!$W$6:$W$505,0),0)</f>
        <v>0</v>
      </c>
    </row>
    <row r="311" customFormat="false" ht="15" hidden="false" customHeight="false" outlineLevel="0" collapsed="false">
      <c r="A311" s="13" t="str">
        <f aca="false">IF($M311=0,"",306)</f>
        <v/>
      </c>
      <c r="B311" s="13" t="str">
        <f aca="false">IF($M311=0,"",IF(INDEX('Line Detail'!$B$6:$B$505,$M311)="","",INDEX('Line Detail'!$B$6:$B$505,$M311)))</f>
        <v/>
      </c>
      <c r="C311" s="13" t="str">
        <f aca="false">IF($M311=0,"",IF(INDEX('Line Detail'!$C$6:$C$505,$M311)="","",INDEX('Line Detail'!$C$6:$C$505,$M311)))</f>
        <v/>
      </c>
      <c r="D311" s="13" t="str">
        <f aca="false">IF($M311=0,"",IF(INDEX('Line Detail'!$D$6:$D$505,$M311)="","",INDEX('Line Detail'!$D$6:$D$505,$M311)))</f>
        <v/>
      </c>
      <c r="E311" s="13" t="str">
        <f aca="false">IF($M311=0,"",IF(INDEX('Line Detail'!$E$6:$E$505,$M311)="","",INDEX('Line Detail'!$E$6:$E$505,$M311)))</f>
        <v/>
      </c>
      <c r="F311" s="6" t="str">
        <f aca="false">IF($M311=0,"",IF(INDEX('Line Detail'!$F$6:$F$505,$M311)="","",INDEX('Line Detail'!$F$6:$F$505,$M311)))</f>
        <v/>
      </c>
      <c r="G311" s="62" t="str">
        <f aca="false">IF($M311=0,"",IF(INDEX('Line Detail'!$G$6:$G$505,$M311)="","",INDEX('Line Detail'!$G$6:$G$505,$M311)))</f>
        <v/>
      </c>
      <c r="H311" s="13" t="str">
        <f aca="false">IF($M311=0,"",IF(INDEX('Line Detail'!$H$6:$H$505,$M311)="","",INDEX('Line Detail'!$H$6:$H$505,$M311)))</f>
        <v/>
      </c>
      <c r="I311" s="34" t="str">
        <f aca="false">IF($M311=0,"",IF(INDEX('Line Detail'!$O$6:$O$505,$M311)="","",INDEX('Line Detail'!$O$6:$O$505,$M311)))</f>
        <v/>
      </c>
      <c r="J311" s="34" t="str">
        <f aca="false">IF($M311=0,"",IF(INDEX('Line Detail'!$R$6:$R$505,$M311)="","",INDEX('Line Detail'!$R$6:$R$505,$M311)))</f>
        <v/>
      </c>
      <c r="K311" s="6" t="str">
        <f aca="false">IF($M311=0,"",IF(INDEX('Line Detail'!$S$6:$S$505,$M311)="","",INDEX('Line Detail'!$S$6:$S$505,$M311)))</f>
        <v/>
      </c>
      <c r="L311" s="1"/>
      <c r="M311" s="63" t="n">
        <f aca="false">IFERROR(MATCH(306,'Line Detail'!$W$6:$W$505,0),0)</f>
        <v>0</v>
      </c>
    </row>
    <row r="312" customFormat="false" ht="15" hidden="false" customHeight="false" outlineLevel="0" collapsed="false">
      <c r="A312" s="13" t="str">
        <f aca="false">IF($M312=0,"",307)</f>
        <v/>
      </c>
      <c r="B312" s="13" t="str">
        <f aca="false">IF($M312=0,"",IF(INDEX('Line Detail'!$B$6:$B$505,$M312)="","",INDEX('Line Detail'!$B$6:$B$505,$M312)))</f>
        <v/>
      </c>
      <c r="C312" s="13" t="str">
        <f aca="false">IF($M312=0,"",IF(INDEX('Line Detail'!$C$6:$C$505,$M312)="","",INDEX('Line Detail'!$C$6:$C$505,$M312)))</f>
        <v/>
      </c>
      <c r="D312" s="13" t="str">
        <f aca="false">IF($M312=0,"",IF(INDEX('Line Detail'!$D$6:$D$505,$M312)="","",INDEX('Line Detail'!$D$6:$D$505,$M312)))</f>
        <v/>
      </c>
      <c r="E312" s="13" t="str">
        <f aca="false">IF($M312=0,"",IF(INDEX('Line Detail'!$E$6:$E$505,$M312)="","",INDEX('Line Detail'!$E$6:$E$505,$M312)))</f>
        <v/>
      </c>
      <c r="F312" s="6" t="str">
        <f aca="false">IF($M312=0,"",IF(INDEX('Line Detail'!$F$6:$F$505,$M312)="","",INDEX('Line Detail'!$F$6:$F$505,$M312)))</f>
        <v/>
      </c>
      <c r="G312" s="62" t="str">
        <f aca="false">IF($M312=0,"",IF(INDEX('Line Detail'!$G$6:$G$505,$M312)="","",INDEX('Line Detail'!$G$6:$G$505,$M312)))</f>
        <v/>
      </c>
      <c r="H312" s="13" t="str">
        <f aca="false">IF($M312=0,"",IF(INDEX('Line Detail'!$H$6:$H$505,$M312)="","",INDEX('Line Detail'!$H$6:$H$505,$M312)))</f>
        <v/>
      </c>
      <c r="I312" s="34" t="str">
        <f aca="false">IF($M312=0,"",IF(INDEX('Line Detail'!$O$6:$O$505,$M312)="","",INDEX('Line Detail'!$O$6:$O$505,$M312)))</f>
        <v/>
      </c>
      <c r="J312" s="34" t="str">
        <f aca="false">IF($M312=0,"",IF(INDEX('Line Detail'!$R$6:$R$505,$M312)="","",INDEX('Line Detail'!$R$6:$R$505,$M312)))</f>
        <v/>
      </c>
      <c r="K312" s="6" t="str">
        <f aca="false">IF($M312=0,"",IF(INDEX('Line Detail'!$S$6:$S$505,$M312)="","",INDEX('Line Detail'!$S$6:$S$505,$M312)))</f>
        <v/>
      </c>
      <c r="L312" s="1"/>
      <c r="M312" s="63" t="n">
        <f aca="false">IFERROR(MATCH(307,'Line Detail'!$W$6:$W$505,0),0)</f>
        <v>0</v>
      </c>
    </row>
    <row r="313" customFormat="false" ht="15" hidden="false" customHeight="false" outlineLevel="0" collapsed="false">
      <c r="A313" s="13" t="str">
        <f aca="false">IF($M313=0,"",308)</f>
        <v/>
      </c>
      <c r="B313" s="13" t="str">
        <f aca="false">IF($M313=0,"",IF(INDEX('Line Detail'!$B$6:$B$505,$M313)="","",INDEX('Line Detail'!$B$6:$B$505,$M313)))</f>
        <v/>
      </c>
      <c r="C313" s="13" t="str">
        <f aca="false">IF($M313=0,"",IF(INDEX('Line Detail'!$C$6:$C$505,$M313)="","",INDEX('Line Detail'!$C$6:$C$505,$M313)))</f>
        <v/>
      </c>
      <c r="D313" s="13" t="str">
        <f aca="false">IF($M313=0,"",IF(INDEX('Line Detail'!$D$6:$D$505,$M313)="","",INDEX('Line Detail'!$D$6:$D$505,$M313)))</f>
        <v/>
      </c>
      <c r="E313" s="13" t="str">
        <f aca="false">IF($M313=0,"",IF(INDEX('Line Detail'!$E$6:$E$505,$M313)="","",INDEX('Line Detail'!$E$6:$E$505,$M313)))</f>
        <v/>
      </c>
      <c r="F313" s="6" t="str">
        <f aca="false">IF($M313=0,"",IF(INDEX('Line Detail'!$F$6:$F$505,$M313)="","",INDEX('Line Detail'!$F$6:$F$505,$M313)))</f>
        <v/>
      </c>
      <c r="G313" s="62" t="str">
        <f aca="false">IF($M313=0,"",IF(INDEX('Line Detail'!$G$6:$G$505,$M313)="","",INDEX('Line Detail'!$G$6:$G$505,$M313)))</f>
        <v/>
      </c>
      <c r="H313" s="13" t="str">
        <f aca="false">IF($M313=0,"",IF(INDEX('Line Detail'!$H$6:$H$505,$M313)="","",INDEX('Line Detail'!$H$6:$H$505,$M313)))</f>
        <v/>
      </c>
      <c r="I313" s="34" t="str">
        <f aca="false">IF($M313=0,"",IF(INDEX('Line Detail'!$O$6:$O$505,$M313)="","",INDEX('Line Detail'!$O$6:$O$505,$M313)))</f>
        <v/>
      </c>
      <c r="J313" s="34" t="str">
        <f aca="false">IF($M313=0,"",IF(INDEX('Line Detail'!$R$6:$R$505,$M313)="","",INDEX('Line Detail'!$R$6:$R$505,$M313)))</f>
        <v/>
      </c>
      <c r="K313" s="6" t="str">
        <f aca="false">IF($M313=0,"",IF(INDEX('Line Detail'!$S$6:$S$505,$M313)="","",INDEX('Line Detail'!$S$6:$S$505,$M313)))</f>
        <v/>
      </c>
      <c r="L313" s="1"/>
      <c r="M313" s="63" t="n">
        <f aca="false">IFERROR(MATCH(308,'Line Detail'!$W$6:$W$505,0),0)</f>
        <v>0</v>
      </c>
    </row>
    <row r="314" customFormat="false" ht="15" hidden="false" customHeight="false" outlineLevel="0" collapsed="false">
      <c r="A314" s="13" t="str">
        <f aca="false">IF($M314=0,"",309)</f>
        <v/>
      </c>
      <c r="B314" s="13" t="str">
        <f aca="false">IF($M314=0,"",IF(INDEX('Line Detail'!$B$6:$B$505,$M314)="","",INDEX('Line Detail'!$B$6:$B$505,$M314)))</f>
        <v/>
      </c>
      <c r="C314" s="13" t="str">
        <f aca="false">IF($M314=0,"",IF(INDEX('Line Detail'!$C$6:$C$505,$M314)="","",INDEX('Line Detail'!$C$6:$C$505,$M314)))</f>
        <v/>
      </c>
      <c r="D314" s="13" t="str">
        <f aca="false">IF($M314=0,"",IF(INDEX('Line Detail'!$D$6:$D$505,$M314)="","",INDEX('Line Detail'!$D$6:$D$505,$M314)))</f>
        <v/>
      </c>
      <c r="E314" s="13" t="str">
        <f aca="false">IF($M314=0,"",IF(INDEX('Line Detail'!$E$6:$E$505,$M314)="","",INDEX('Line Detail'!$E$6:$E$505,$M314)))</f>
        <v/>
      </c>
      <c r="F314" s="6" t="str">
        <f aca="false">IF($M314=0,"",IF(INDEX('Line Detail'!$F$6:$F$505,$M314)="","",INDEX('Line Detail'!$F$6:$F$505,$M314)))</f>
        <v/>
      </c>
      <c r="G314" s="62" t="str">
        <f aca="false">IF($M314=0,"",IF(INDEX('Line Detail'!$G$6:$G$505,$M314)="","",INDEX('Line Detail'!$G$6:$G$505,$M314)))</f>
        <v/>
      </c>
      <c r="H314" s="13" t="str">
        <f aca="false">IF($M314=0,"",IF(INDEX('Line Detail'!$H$6:$H$505,$M314)="","",INDEX('Line Detail'!$H$6:$H$505,$M314)))</f>
        <v/>
      </c>
      <c r="I314" s="34" t="str">
        <f aca="false">IF($M314=0,"",IF(INDEX('Line Detail'!$O$6:$O$505,$M314)="","",INDEX('Line Detail'!$O$6:$O$505,$M314)))</f>
        <v/>
      </c>
      <c r="J314" s="34" t="str">
        <f aca="false">IF($M314=0,"",IF(INDEX('Line Detail'!$R$6:$R$505,$M314)="","",INDEX('Line Detail'!$R$6:$R$505,$M314)))</f>
        <v/>
      </c>
      <c r="K314" s="6" t="str">
        <f aca="false">IF($M314=0,"",IF(INDEX('Line Detail'!$S$6:$S$505,$M314)="","",INDEX('Line Detail'!$S$6:$S$505,$M314)))</f>
        <v/>
      </c>
      <c r="L314" s="1"/>
      <c r="M314" s="63" t="n">
        <f aca="false">IFERROR(MATCH(309,'Line Detail'!$W$6:$W$505,0),0)</f>
        <v>0</v>
      </c>
    </row>
    <row r="315" customFormat="false" ht="15" hidden="false" customHeight="false" outlineLevel="0" collapsed="false">
      <c r="A315" s="13" t="str">
        <f aca="false">IF($M315=0,"",310)</f>
        <v/>
      </c>
      <c r="B315" s="13" t="str">
        <f aca="false">IF($M315=0,"",IF(INDEX('Line Detail'!$B$6:$B$505,$M315)="","",INDEX('Line Detail'!$B$6:$B$505,$M315)))</f>
        <v/>
      </c>
      <c r="C315" s="13" t="str">
        <f aca="false">IF($M315=0,"",IF(INDEX('Line Detail'!$C$6:$C$505,$M315)="","",INDEX('Line Detail'!$C$6:$C$505,$M315)))</f>
        <v/>
      </c>
      <c r="D315" s="13" t="str">
        <f aca="false">IF($M315=0,"",IF(INDEX('Line Detail'!$D$6:$D$505,$M315)="","",INDEX('Line Detail'!$D$6:$D$505,$M315)))</f>
        <v/>
      </c>
      <c r="E315" s="13" t="str">
        <f aca="false">IF($M315=0,"",IF(INDEX('Line Detail'!$E$6:$E$505,$M315)="","",INDEX('Line Detail'!$E$6:$E$505,$M315)))</f>
        <v/>
      </c>
      <c r="F315" s="6" t="str">
        <f aca="false">IF($M315=0,"",IF(INDEX('Line Detail'!$F$6:$F$505,$M315)="","",INDEX('Line Detail'!$F$6:$F$505,$M315)))</f>
        <v/>
      </c>
      <c r="G315" s="62" t="str">
        <f aca="false">IF($M315=0,"",IF(INDEX('Line Detail'!$G$6:$G$505,$M315)="","",INDEX('Line Detail'!$G$6:$G$505,$M315)))</f>
        <v/>
      </c>
      <c r="H315" s="13" t="str">
        <f aca="false">IF($M315=0,"",IF(INDEX('Line Detail'!$H$6:$H$505,$M315)="","",INDEX('Line Detail'!$H$6:$H$505,$M315)))</f>
        <v/>
      </c>
      <c r="I315" s="34" t="str">
        <f aca="false">IF($M315=0,"",IF(INDEX('Line Detail'!$O$6:$O$505,$M315)="","",INDEX('Line Detail'!$O$6:$O$505,$M315)))</f>
        <v/>
      </c>
      <c r="J315" s="34" t="str">
        <f aca="false">IF($M315=0,"",IF(INDEX('Line Detail'!$R$6:$R$505,$M315)="","",INDEX('Line Detail'!$R$6:$R$505,$M315)))</f>
        <v/>
      </c>
      <c r="K315" s="6" t="str">
        <f aca="false">IF($M315=0,"",IF(INDEX('Line Detail'!$S$6:$S$505,$M315)="","",INDEX('Line Detail'!$S$6:$S$505,$M315)))</f>
        <v/>
      </c>
      <c r="L315" s="1"/>
      <c r="M315" s="63" t="n">
        <f aca="false">IFERROR(MATCH(310,'Line Detail'!$W$6:$W$505,0),0)</f>
        <v>0</v>
      </c>
    </row>
    <row r="316" customFormat="false" ht="15" hidden="false" customHeight="false" outlineLevel="0" collapsed="false">
      <c r="A316" s="13" t="str">
        <f aca="false">IF($M316=0,"",311)</f>
        <v/>
      </c>
      <c r="B316" s="13" t="str">
        <f aca="false">IF($M316=0,"",IF(INDEX('Line Detail'!$B$6:$B$505,$M316)="","",INDEX('Line Detail'!$B$6:$B$505,$M316)))</f>
        <v/>
      </c>
      <c r="C316" s="13" t="str">
        <f aca="false">IF($M316=0,"",IF(INDEX('Line Detail'!$C$6:$C$505,$M316)="","",INDEX('Line Detail'!$C$6:$C$505,$M316)))</f>
        <v/>
      </c>
      <c r="D316" s="13" t="str">
        <f aca="false">IF($M316=0,"",IF(INDEX('Line Detail'!$D$6:$D$505,$M316)="","",INDEX('Line Detail'!$D$6:$D$505,$M316)))</f>
        <v/>
      </c>
      <c r="E316" s="13" t="str">
        <f aca="false">IF($M316=0,"",IF(INDEX('Line Detail'!$E$6:$E$505,$M316)="","",INDEX('Line Detail'!$E$6:$E$505,$M316)))</f>
        <v/>
      </c>
      <c r="F316" s="6" t="str">
        <f aca="false">IF($M316=0,"",IF(INDEX('Line Detail'!$F$6:$F$505,$M316)="","",INDEX('Line Detail'!$F$6:$F$505,$M316)))</f>
        <v/>
      </c>
      <c r="G316" s="62" t="str">
        <f aca="false">IF($M316=0,"",IF(INDEX('Line Detail'!$G$6:$G$505,$M316)="","",INDEX('Line Detail'!$G$6:$G$505,$M316)))</f>
        <v/>
      </c>
      <c r="H316" s="13" t="str">
        <f aca="false">IF($M316=0,"",IF(INDEX('Line Detail'!$H$6:$H$505,$M316)="","",INDEX('Line Detail'!$H$6:$H$505,$M316)))</f>
        <v/>
      </c>
      <c r="I316" s="34" t="str">
        <f aca="false">IF($M316=0,"",IF(INDEX('Line Detail'!$O$6:$O$505,$M316)="","",INDEX('Line Detail'!$O$6:$O$505,$M316)))</f>
        <v/>
      </c>
      <c r="J316" s="34" t="str">
        <f aca="false">IF($M316=0,"",IF(INDEX('Line Detail'!$R$6:$R$505,$M316)="","",INDEX('Line Detail'!$R$6:$R$505,$M316)))</f>
        <v/>
      </c>
      <c r="K316" s="6" t="str">
        <f aca="false">IF($M316=0,"",IF(INDEX('Line Detail'!$S$6:$S$505,$M316)="","",INDEX('Line Detail'!$S$6:$S$505,$M316)))</f>
        <v/>
      </c>
      <c r="L316" s="1"/>
      <c r="M316" s="63" t="n">
        <f aca="false">IFERROR(MATCH(311,'Line Detail'!$W$6:$W$505,0),0)</f>
        <v>0</v>
      </c>
    </row>
    <row r="317" customFormat="false" ht="15" hidden="false" customHeight="false" outlineLevel="0" collapsed="false">
      <c r="A317" s="13" t="str">
        <f aca="false">IF($M317=0,"",312)</f>
        <v/>
      </c>
      <c r="B317" s="13" t="str">
        <f aca="false">IF($M317=0,"",IF(INDEX('Line Detail'!$B$6:$B$505,$M317)="","",INDEX('Line Detail'!$B$6:$B$505,$M317)))</f>
        <v/>
      </c>
      <c r="C317" s="13" t="str">
        <f aca="false">IF($M317=0,"",IF(INDEX('Line Detail'!$C$6:$C$505,$M317)="","",INDEX('Line Detail'!$C$6:$C$505,$M317)))</f>
        <v/>
      </c>
      <c r="D317" s="13" t="str">
        <f aca="false">IF($M317=0,"",IF(INDEX('Line Detail'!$D$6:$D$505,$M317)="","",INDEX('Line Detail'!$D$6:$D$505,$M317)))</f>
        <v/>
      </c>
      <c r="E317" s="13" t="str">
        <f aca="false">IF($M317=0,"",IF(INDEX('Line Detail'!$E$6:$E$505,$M317)="","",INDEX('Line Detail'!$E$6:$E$505,$M317)))</f>
        <v/>
      </c>
      <c r="F317" s="6" t="str">
        <f aca="false">IF($M317=0,"",IF(INDEX('Line Detail'!$F$6:$F$505,$M317)="","",INDEX('Line Detail'!$F$6:$F$505,$M317)))</f>
        <v/>
      </c>
      <c r="G317" s="62" t="str">
        <f aca="false">IF($M317=0,"",IF(INDEX('Line Detail'!$G$6:$G$505,$M317)="","",INDEX('Line Detail'!$G$6:$G$505,$M317)))</f>
        <v/>
      </c>
      <c r="H317" s="13" t="str">
        <f aca="false">IF($M317=0,"",IF(INDEX('Line Detail'!$H$6:$H$505,$M317)="","",INDEX('Line Detail'!$H$6:$H$505,$M317)))</f>
        <v/>
      </c>
      <c r="I317" s="34" t="str">
        <f aca="false">IF($M317=0,"",IF(INDEX('Line Detail'!$O$6:$O$505,$M317)="","",INDEX('Line Detail'!$O$6:$O$505,$M317)))</f>
        <v/>
      </c>
      <c r="J317" s="34" t="str">
        <f aca="false">IF($M317=0,"",IF(INDEX('Line Detail'!$R$6:$R$505,$M317)="","",INDEX('Line Detail'!$R$6:$R$505,$M317)))</f>
        <v/>
      </c>
      <c r="K317" s="6" t="str">
        <f aca="false">IF($M317=0,"",IF(INDEX('Line Detail'!$S$6:$S$505,$M317)="","",INDEX('Line Detail'!$S$6:$S$505,$M317)))</f>
        <v/>
      </c>
      <c r="L317" s="1"/>
      <c r="M317" s="63" t="n">
        <f aca="false">IFERROR(MATCH(312,'Line Detail'!$W$6:$W$505,0),0)</f>
        <v>0</v>
      </c>
    </row>
    <row r="318" customFormat="false" ht="15" hidden="false" customHeight="false" outlineLevel="0" collapsed="false">
      <c r="A318" s="13" t="str">
        <f aca="false">IF($M318=0,"",313)</f>
        <v/>
      </c>
      <c r="B318" s="13" t="str">
        <f aca="false">IF($M318=0,"",IF(INDEX('Line Detail'!$B$6:$B$505,$M318)="","",INDEX('Line Detail'!$B$6:$B$505,$M318)))</f>
        <v/>
      </c>
      <c r="C318" s="13" t="str">
        <f aca="false">IF($M318=0,"",IF(INDEX('Line Detail'!$C$6:$C$505,$M318)="","",INDEX('Line Detail'!$C$6:$C$505,$M318)))</f>
        <v/>
      </c>
      <c r="D318" s="13" t="str">
        <f aca="false">IF($M318=0,"",IF(INDEX('Line Detail'!$D$6:$D$505,$M318)="","",INDEX('Line Detail'!$D$6:$D$505,$M318)))</f>
        <v/>
      </c>
      <c r="E318" s="13" t="str">
        <f aca="false">IF($M318=0,"",IF(INDEX('Line Detail'!$E$6:$E$505,$M318)="","",INDEX('Line Detail'!$E$6:$E$505,$M318)))</f>
        <v/>
      </c>
      <c r="F318" s="6" t="str">
        <f aca="false">IF($M318=0,"",IF(INDEX('Line Detail'!$F$6:$F$505,$M318)="","",INDEX('Line Detail'!$F$6:$F$505,$M318)))</f>
        <v/>
      </c>
      <c r="G318" s="62" t="str">
        <f aca="false">IF($M318=0,"",IF(INDEX('Line Detail'!$G$6:$G$505,$M318)="","",INDEX('Line Detail'!$G$6:$G$505,$M318)))</f>
        <v/>
      </c>
      <c r="H318" s="13" t="str">
        <f aca="false">IF($M318=0,"",IF(INDEX('Line Detail'!$H$6:$H$505,$M318)="","",INDEX('Line Detail'!$H$6:$H$505,$M318)))</f>
        <v/>
      </c>
      <c r="I318" s="34" t="str">
        <f aca="false">IF($M318=0,"",IF(INDEX('Line Detail'!$O$6:$O$505,$M318)="","",INDEX('Line Detail'!$O$6:$O$505,$M318)))</f>
        <v/>
      </c>
      <c r="J318" s="34" t="str">
        <f aca="false">IF($M318=0,"",IF(INDEX('Line Detail'!$R$6:$R$505,$M318)="","",INDEX('Line Detail'!$R$6:$R$505,$M318)))</f>
        <v/>
      </c>
      <c r="K318" s="6" t="str">
        <f aca="false">IF($M318=0,"",IF(INDEX('Line Detail'!$S$6:$S$505,$M318)="","",INDEX('Line Detail'!$S$6:$S$505,$M318)))</f>
        <v/>
      </c>
      <c r="L318" s="1"/>
      <c r="M318" s="63" t="n">
        <f aca="false">IFERROR(MATCH(313,'Line Detail'!$W$6:$W$505,0),0)</f>
        <v>0</v>
      </c>
    </row>
    <row r="319" customFormat="false" ht="15" hidden="false" customHeight="false" outlineLevel="0" collapsed="false">
      <c r="A319" s="13" t="str">
        <f aca="false">IF($M319=0,"",314)</f>
        <v/>
      </c>
      <c r="B319" s="13" t="str">
        <f aca="false">IF($M319=0,"",IF(INDEX('Line Detail'!$B$6:$B$505,$M319)="","",INDEX('Line Detail'!$B$6:$B$505,$M319)))</f>
        <v/>
      </c>
      <c r="C319" s="13" t="str">
        <f aca="false">IF($M319=0,"",IF(INDEX('Line Detail'!$C$6:$C$505,$M319)="","",INDEX('Line Detail'!$C$6:$C$505,$M319)))</f>
        <v/>
      </c>
      <c r="D319" s="13" t="str">
        <f aca="false">IF($M319=0,"",IF(INDEX('Line Detail'!$D$6:$D$505,$M319)="","",INDEX('Line Detail'!$D$6:$D$505,$M319)))</f>
        <v/>
      </c>
      <c r="E319" s="13" t="str">
        <f aca="false">IF($M319=0,"",IF(INDEX('Line Detail'!$E$6:$E$505,$M319)="","",INDEX('Line Detail'!$E$6:$E$505,$M319)))</f>
        <v/>
      </c>
      <c r="F319" s="6" t="str">
        <f aca="false">IF($M319=0,"",IF(INDEX('Line Detail'!$F$6:$F$505,$M319)="","",INDEX('Line Detail'!$F$6:$F$505,$M319)))</f>
        <v/>
      </c>
      <c r="G319" s="62" t="str">
        <f aca="false">IF($M319=0,"",IF(INDEX('Line Detail'!$G$6:$G$505,$M319)="","",INDEX('Line Detail'!$G$6:$G$505,$M319)))</f>
        <v/>
      </c>
      <c r="H319" s="13" t="str">
        <f aca="false">IF($M319=0,"",IF(INDEX('Line Detail'!$H$6:$H$505,$M319)="","",INDEX('Line Detail'!$H$6:$H$505,$M319)))</f>
        <v/>
      </c>
      <c r="I319" s="34" t="str">
        <f aca="false">IF($M319=0,"",IF(INDEX('Line Detail'!$O$6:$O$505,$M319)="","",INDEX('Line Detail'!$O$6:$O$505,$M319)))</f>
        <v/>
      </c>
      <c r="J319" s="34" t="str">
        <f aca="false">IF($M319=0,"",IF(INDEX('Line Detail'!$R$6:$R$505,$M319)="","",INDEX('Line Detail'!$R$6:$R$505,$M319)))</f>
        <v/>
      </c>
      <c r="K319" s="6" t="str">
        <f aca="false">IF($M319=0,"",IF(INDEX('Line Detail'!$S$6:$S$505,$M319)="","",INDEX('Line Detail'!$S$6:$S$505,$M319)))</f>
        <v/>
      </c>
      <c r="L319" s="1"/>
      <c r="M319" s="63" t="n">
        <f aca="false">IFERROR(MATCH(314,'Line Detail'!$W$6:$W$505,0),0)</f>
        <v>0</v>
      </c>
    </row>
    <row r="320" customFormat="false" ht="15" hidden="false" customHeight="false" outlineLevel="0" collapsed="false">
      <c r="A320" s="13" t="str">
        <f aca="false">IF($M320=0,"",315)</f>
        <v/>
      </c>
      <c r="B320" s="13" t="str">
        <f aca="false">IF($M320=0,"",IF(INDEX('Line Detail'!$B$6:$B$505,$M320)="","",INDEX('Line Detail'!$B$6:$B$505,$M320)))</f>
        <v/>
      </c>
      <c r="C320" s="13" t="str">
        <f aca="false">IF($M320=0,"",IF(INDEX('Line Detail'!$C$6:$C$505,$M320)="","",INDEX('Line Detail'!$C$6:$C$505,$M320)))</f>
        <v/>
      </c>
      <c r="D320" s="13" t="str">
        <f aca="false">IF($M320=0,"",IF(INDEX('Line Detail'!$D$6:$D$505,$M320)="","",INDEX('Line Detail'!$D$6:$D$505,$M320)))</f>
        <v/>
      </c>
      <c r="E320" s="13" t="str">
        <f aca="false">IF($M320=0,"",IF(INDEX('Line Detail'!$E$6:$E$505,$M320)="","",INDEX('Line Detail'!$E$6:$E$505,$M320)))</f>
        <v/>
      </c>
      <c r="F320" s="6" t="str">
        <f aca="false">IF($M320=0,"",IF(INDEX('Line Detail'!$F$6:$F$505,$M320)="","",INDEX('Line Detail'!$F$6:$F$505,$M320)))</f>
        <v/>
      </c>
      <c r="G320" s="62" t="str">
        <f aca="false">IF($M320=0,"",IF(INDEX('Line Detail'!$G$6:$G$505,$M320)="","",INDEX('Line Detail'!$G$6:$G$505,$M320)))</f>
        <v/>
      </c>
      <c r="H320" s="13" t="str">
        <f aca="false">IF($M320=0,"",IF(INDEX('Line Detail'!$H$6:$H$505,$M320)="","",INDEX('Line Detail'!$H$6:$H$505,$M320)))</f>
        <v/>
      </c>
      <c r="I320" s="34" t="str">
        <f aca="false">IF($M320=0,"",IF(INDEX('Line Detail'!$O$6:$O$505,$M320)="","",INDEX('Line Detail'!$O$6:$O$505,$M320)))</f>
        <v/>
      </c>
      <c r="J320" s="34" t="str">
        <f aca="false">IF($M320=0,"",IF(INDEX('Line Detail'!$R$6:$R$505,$M320)="","",INDEX('Line Detail'!$R$6:$R$505,$M320)))</f>
        <v/>
      </c>
      <c r="K320" s="6" t="str">
        <f aca="false">IF($M320=0,"",IF(INDEX('Line Detail'!$S$6:$S$505,$M320)="","",INDEX('Line Detail'!$S$6:$S$505,$M320)))</f>
        <v/>
      </c>
      <c r="L320" s="1"/>
      <c r="M320" s="63" t="n">
        <f aca="false">IFERROR(MATCH(315,'Line Detail'!$W$6:$W$505,0),0)</f>
        <v>0</v>
      </c>
    </row>
    <row r="321" customFormat="false" ht="15" hidden="false" customHeight="false" outlineLevel="0" collapsed="false">
      <c r="A321" s="13" t="str">
        <f aca="false">IF($M321=0,"",316)</f>
        <v/>
      </c>
      <c r="B321" s="13" t="str">
        <f aca="false">IF($M321=0,"",IF(INDEX('Line Detail'!$B$6:$B$505,$M321)="","",INDEX('Line Detail'!$B$6:$B$505,$M321)))</f>
        <v/>
      </c>
      <c r="C321" s="13" t="str">
        <f aca="false">IF($M321=0,"",IF(INDEX('Line Detail'!$C$6:$C$505,$M321)="","",INDEX('Line Detail'!$C$6:$C$505,$M321)))</f>
        <v/>
      </c>
      <c r="D321" s="13" t="str">
        <f aca="false">IF($M321=0,"",IF(INDEX('Line Detail'!$D$6:$D$505,$M321)="","",INDEX('Line Detail'!$D$6:$D$505,$M321)))</f>
        <v/>
      </c>
      <c r="E321" s="13" t="str">
        <f aca="false">IF($M321=0,"",IF(INDEX('Line Detail'!$E$6:$E$505,$M321)="","",INDEX('Line Detail'!$E$6:$E$505,$M321)))</f>
        <v/>
      </c>
      <c r="F321" s="6" t="str">
        <f aca="false">IF($M321=0,"",IF(INDEX('Line Detail'!$F$6:$F$505,$M321)="","",INDEX('Line Detail'!$F$6:$F$505,$M321)))</f>
        <v/>
      </c>
      <c r="G321" s="62" t="str">
        <f aca="false">IF($M321=0,"",IF(INDEX('Line Detail'!$G$6:$G$505,$M321)="","",INDEX('Line Detail'!$G$6:$G$505,$M321)))</f>
        <v/>
      </c>
      <c r="H321" s="13" t="str">
        <f aca="false">IF($M321=0,"",IF(INDEX('Line Detail'!$H$6:$H$505,$M321)="","",INDEX('Line Detail'!$H$6:$H$505,$M321)))</f>
        <v/>
      </c>
      <c r="I321" s="34" t="str">
        <f aca="false">IF($M321=0,"",IF(INDEX('Line Detail'!$O$6:$O$505,$M321)="","",INDEX('Line Detail'!$O$6:$O$505,$M321)))</f>
        <v/>
      </c>
      <c r="J321" s="34" t="str">
        <f aca="false">IF($M321=0,"",IF(INDEX('Line Detail'!$R$6:$R$505,$M321)="","",INDEX('Line Detail'!$R$6:$R$505,$M321)))</f>
        <v/>
      </c>
      <c r="K321" s="6" t="str">
        <f aca="false">IF($M321=0,"",IF(INDEX('Line Detail'!$S$6:$S$505,$M321)="","",INDEX('Line Detail'!$S$6:$S$505,$M321)))</f>
        <v/>
      </c>
      <c r="L321" s="1"/>
      <c r="M321" s="63" t="n">
        <f aca="false">IFERROR(MATCH(316,'Line Detail'!$W$6:$W$505,0),0)</f>
        <v>0</v>
      </c>
    </row>
    <row r="322" customFormat="false" ht="15" hidden="false" customHeight="false" outlineLevel="0" collapsed="false">
      <c r="A322" s="13" t="str">
        <f aca="false">IF($M322=0,"",317)</f>
        <v/>
      </c>
      <c r="B322" s="13" t="str">
        <f aca="false">IF($M322=0,"",IF(INDEX('Line Detail'!$B$6:$B$505,$M322)="","",INDEX('Line Detail'!$B$6:$B$505,$M322)))</f>
        <v/>
      </c>
      <c r="C322" s="13" t="str">
        <f aca="false">IF($M322=0,"",IF(INDEX('Line Detail'!$C$6:$C$505,$M322)="","",INDEX('Line Detail'!$C$6:$C$505,$M322)))</f>
        <v/>
      </c>
      <c r="D322" s="13" t="str">
        <f aca="false">IF($M322=0,"",IF(INDEX('Line Detail'!$D$6:$D$505,$M322)="","",INDEX('Line Detail'!$D$6:$D$505,$M322)))</f>
        <v/>
      </c>
      <c r="E322" s="13" t="str">
        <f aca="false">IF($M322=0,"",IF(INDEX('Line Detail'!$E$6:$E$505,$M322)="","",INDEX('Line Detail'!$E$6:$E$505,$M322)))</f>
        <v/>
      </c>
      <c r="F322" s="6" t="str">
        <f aca="false">IF($M322=0,"",IF(INDEX('Line Detail'!$F$6:$F$505,$M322)="","",INDEX('Line Detail'!$F$6:$F$505,$M322)))</f>
        <v/>
      </c>
      <c r="G322" s="62" t="str">
        <f aca="false">IF($M322=0,"",IF(INDEX('Line Detail'!$G$6:$G$505,$M322)="","",INDEX('Line Detail'!$G$6:$G$505,$M322)))</f>
        <v/>
      </c>
      <c r="H322" s="13" t="str">
        <f aca="false">IF($M322=0,"",IF(INDEX('Line Detail'!$H$6:$H$505,$M322)="","",INDEX('Line Detail'!$H$6:$H$505,$M322)))</f>
        <v/>
      </c>
      <c r="I322" s="34" t="str">
        <f aca="false">IF($M322=0,"",IF(INDEX('Line Detail'!$O$6:$O$505,$M322)="","",INDEX('Line Detail'!$O$6:$O$505,$M322)))</f>
        <v/>
      </c>
      <c r="J322" s="34" t="str">
        <f aca="false">IF($M322=0,"",IF(INDEX('Line Detail'!$R$6:$R$505,$M322)="","",INDEX('Line Detail'!$R$6:$R$505,$M322)))</f>
        <v/>
      </c>
      <c r="K322" s="6" t="str">
        <f aca="false">IF($M322=0,"",IF(INDEX('Line Detail'!$S$6:$S$505,$M322)="","",INDEX('Line Detail'!$S$6:$S$505,$M322)))</f>
        <v/>
      </c>
      <c r="L322" s="1"/>
      <c r="M322" s="63" t="n">
        <f aca="false">IFERROR(MATCH(317,'Line Detail'!$W$6:$W$505,0),0)</f>
        <v>0</v>
      </c>
    </row>
    <row r="323" customFormat="false" ht="15" hidden="false" customHeight="false" outlineLevel="0" collapsed="false">
      <c r="A323" s="13" t="str">
        <f aca="false">IF($M323=0,"",318)</f>
        <v/>
      </c>
      <c r="B323" s="13" t="str">
        <f aca="false">IF($M323=0,"",IF(INDEX('Line Detail'!$B$6:$B$505,$M323)="","",INDEX('Line Detail'!$B$6:$B$505,$M323)))</f>
        <v/>
      </c>
      <c r="C323" s="13" t="str">
        <f aca="false">IF($M323=0,"",IF(INDEX('Line Detail'!$C$6:$C$505,$M323)="","",INDEX('Line Detail'!$C$6:$C$505,$M323)))</f>
        <v/>
      </c>
      <c r="D323" s="13" t="str">
        <f aca="false">IF($M323=0,"",IF(INDEX('Line Detail'!$D$6:$D$505,$M323)="","",INDEX('Line Detail'!$D$6:$D$505,$M323)))</f>
        <v/>
      </c>
      <c r="E323" s="13" t="str">
        <f aca="false">IF($M323=0,"",IF(INDEX('Line Detail'!$E$6:$E$505,$M323)="","",INDEX('Line Detail'!$E$6:$E$505,$M323)))</f>
        <v/>
      </c>
      <c r="F323" s="6" t="str">
        <f aca="false">IF($M323=0,"",IF(INDEX('Line Detail'!$F$6:$F$505,$M323)="","",INDEX('Line Detail'!$F$6:$F$505,$M323)))</f>
        <v/>
      </c>
      <c r="G323" s="62" t="str">
        <f aca="false">IF($M323=0,"",IF(INDEX('Line Detail'!$G$6:$G$505,$M323)="","",INDEX('Line Detail'!$G$6:$G$505,$M323)))</f>
        <v/>
      </c>
      <c r="H323" s="13" t="str">
        <f aca="false">IF($M323=0,"",IF(INDEX('Line Detail'!$H$6:$H$505,$M323)="","",INDEX('Line Detail'!$H$6:$H$505,$M323)))</f>
        <v/>
      </c>
      <c r="I323" s="34" t="str">
        <f aca="false">IF($M323=0,"",IF(INDEX('Line Detail'!$O$6:$O$505,$M323)="","",INDEX('Line Detail'!$O$6:$O$505,$M323)))</f>
        <v/>
      </c>
      <c r="J323" s="34" t="str">
        <f aca="false">IF($M323=0,"",IF(INDEX('Line Detail'!$R$6:$R$505,$M323)="","",INDEX('Line Detail'!$R$6:$R$505,$M323)))</f>
        <v/>
      </c>
      <c r="K323" s="6" t="str">
        <f aca="false">IF($M323=0,"",IF(INDEX('Line Detail'!$S$6:$S$505,$M323)="","",INDEX('Line Detail'!$S$6:$S$505,$M323)))</f>
        <v/>
      </c>
      <c r="L323" s="1"/>
      <c r="M323" s="63" t="n">
        <f aca="false">IFERROR(MATCH(318,'Line Detail'!$W$6:$W$505,0),0)</f>
        <v>0</v>
      </c>
    </row>
    <row r="324" customFormat="false" ht="15" hidden="false" customHeight="false" outlineLevel="0" collapsed="false">
      <c r="A324" s="13" t="str">
        <f aca="false">IF($M324=0,"",319)</f>
        <v/>
      </c>
      <c r="B324" s="13" t="str">
        <f aca="false">IF($M324=0,"",IF(INDEX('Line Detail'!$B$6:$B$505,$M324)="","",INDEX('Line Detail'!$B$6:$B$505,$M324)))</f>
        <v/>
      </c>
      <c r="C324" s="13" t="str">
        <f aca="false">IF($M324=0,"",IF(INDEX('Line Detail'!$C$6:$C$505,$M324)="","",INDEX('Line Detail'!$C$6:$C$505,$M324)))</f>
        <v/>
      </c>
      <c r="D324" s="13" t="str">
        <f aca="false">IF($M324=0,"",IF(INDEX('Line Detail'!$D$6:$D$505,$M324)="","",INDEX('Line Detail'!$D$6:$D$505,$M324)))</f>
        <v/>
      </c>
      <c r="E324" s="13" t="str">
        <f aca="false">IF($M324=0,"",IF(INDEX('Line Detail'!$E$6:$E$505,$M324)="","",INDEX('Line Detail'!$E$6:$E$505,$M324)))</f>
        <v/>
      </c>
      <c r="F324" s="6" t="str">
        <f aca="false">IF($M324=0,"",IF(INDEX('Line Detail'!$F$6:$F$505,$M324)="","",INDEX('Line Detail'!$F$6:$F$505,$M324)))</f>
        <v/>
      </c>
      <c r="G324" s="62" t="str">
        <f aca="false">IF($M324=0,"",IF(INDEX('Line Detail'!$G$6:$G$505,$M324)="","",INDEX('Line Detail'!$G$6:$G$505,$M324)))</f>
        <v/>
      </c>
      <c r="H324" s="13" t="str">
        <f aca="false">IF($M324=0,"",IF(INDEX('Line Detail'!$H$6:$H$505,$M324)="","",INDEX('Line Detail'!$H$6:$H$505,$M324)))</f>
        <v/>
      </c>
      <c r="I324" s="34" t="str">
        <f aca="false">IF($M324=0,"",IF(INDEX('Line Detail'!$O$6:$O$505,$M324)="","",INDEX('Line Detail'!$O$6:$O$505,$M324)))</f>
        <v/>
      </c>
      <c r="J324" s="34" t="str">
        <f aca="false">IF($M324=0,"",IF(INDEX('Line Detail'!$R$6:$R$505,$M324)="","",INDEX('Line Detail'!$R$6:$R$505,$M324)))</f>
        <v/>
      </c>
      <c r="K324" s="6" t="str">
        <f aca="false">IF($M324=0,"",IF(INDEX('Line Detail'!$S$6:$S$505,$M324)="","",INDEX('Line Detail'!$S$6:$S$505,$M324)))</f>
        <v/>
      </c>
      <c r="L324" s="1"/>
      <c r="M324" s="63" t="n">
        <f aca="false">IFERROR(MATCH(319,'Line Detail'!$W$6:$W$505,0),0)</f>
        <v>0</v>
      </c>
    </row>
    <row r="325" customFormat="false" ht="15" hidden="false" customHeight="false" outlineLevel="0" collapsed="false">
      <c r="A325" s="13" t="str">
        <f aca="false">IF($M325=0,"",320)</f>
        <v/>
      </c>
      <c r="B325" s="13" t="str">
        <f aca="false">IF($M325=0,"",IF(INDEX('Line Detail'!$B$6:$B$505,$M325)="","",INDEX('Line Detail'!$B$6:$B$505,$M325)))</f>
        <v/>
      </c>
      <c r="C325" s="13" t="str">
        <f aca="false">IF($M325=0,"",IF(INDEX('Line Detail'!$C$6:$C$505,$M325)="","",INDEX('Line Detail'!$C$6:$C$505,$M325)))</f>
        <v/>
      </c>
      <c r="D325" s="13" t="str">
        <f aca="false">IF($M325=0,"",IF(INDEX('Line Detail'!$D$6:$D$505,$M325)="","",INDEX('Line Detail'!$D$6:$D$505,$M325)))</f>
        <v/>
      </c>
      <c r="E325" s="13" t="str">
        <f aca="false">IF($M325=0,"",IF(INDEX('Line Detail'!$E$6:$E$505,$M325)="","",INDEX('Line Detail'!$E$6:$E$505,$M325)))</f>
        <v/>
      </c>
      <c r="F325" s="6" t="str">
        <f aca="false">IF($M325=0,"",IF(INDEX('Line Detail'!$F$6:$F$505,$M325)="","",INDEX('Line Detail'!$F$6:$F$505,$M325)))</f>
        <v/>
      </c>
      <c r="G325" s="62" t="str">
        <f aca="false">IF($M325=0,"",IF(INDEX('Line Detail'!$G$6:$G$505,$M325)="","",INDEX('Line Detail'!$G$6:$G$505,$M325)))</f>
        <v/>
      </c>
      <c r="H325" s="13" t="str">
        <f aca="false">IF($M325=0,"",IF(INDEX('Line Detail'!$H$6:$H$505,$M325)="","",INDEX('Line Detail'!$H$6:$H$505,$M325)))</f>
        <v/>
      </c>
      <c r="I325" s="34" t="str">
        <f aca="false">IF($M325=0,"",IF(INDEX('Line Detail'!$O$6:$O$505,$M325)="","",INDEX('Line Detail'!$O$6:$O$505,$M325)))</f>
        <v/>
      </c>
      <c r="J325" s="34" t="str">
        <f aca="false">IF($M325=0,"",IF(INDEX('Line Detail'!$R$6:$R$505,$M325)="","",INDEX('Line Detail'!$R$6:$R$505,$M325)))</f>
        <v/>
      </c>
      <c r="K325" s="6" t="str">
        <f aca="false">IF($M325=0,"",IF(INDEX('Line Detail'!$S$6:$S$505,$M325)="","",INDEX('Line Detail'!$S$6:$S$505,$M325)))</f>
        <v/>
      </c>
      <c r="L325" s="1"/>
      <c r="M325" s="63" t="n">
        <f aca="false">IFERROR(MATCH(320,'Line Detail'!$W$6:$W$505,0),0)</f>
        <v>0</v>
      </c>
    </row>
    <row r="326" customFormat="false" ht="15" hidden="false" customHeight="false" outlineLevel="0" collapsed="false">
      <c r="A326" s="13" t="str">
        <f aca="false">IF($M326=0,"",321)</f>
        <v/>
      </c>
      <c r="B326" s="13" t="str">
        <f aca="false">IF($M326=0,"",IF(INDEX('Line Detail'!$B$6:$B$505,$M326)="","",INDEX('Line Detail'!$B$6:$B$505,$M326)))</f>
        <v/>
      </c>
      <c r="C326" s="13" t="str">
        <f aca="false">IF($M326=0,"",IF(INDEX('Line Detail'!$C$6:$C$505,$M326)="","",INDEX('Line Detail'!$C$6:$C$505,$M326)))</f>
        <v/>
      </c>
      <c r="D326" s="13" t="str">
        <f aca="false">IF($M326=0,"",IF(INDEX('Line Detail'!$D$6:$D$505,$M326)="","",INDEX('Line Detail'!$D$6:$D$505,$M326)))</f>
        <v/>
      </c>
      <c r="E326" s="13" t="str">
        <f aca="false">IF($M326=0,"",IF(INDEX('Line Detail'!$E$6:$E$505,$M326)="","",INDEX('Line Detail'!$E$6:$E$505,$M326)))</f>
        <v/>
      </c>
      <c r="F326" s="6" t="str">
        <f aca="false">IF($M326=0,"",IF(INDEX('Line Detail'!$F$6:$F$505,$M326)="","",INDEX('Line Detail'!$F$6:$F$505,$M326)))</f>
        <v/>
      </c>
      <c r="G326" s="62" t="str">
        <f aca="false">IF($M326=0,"",IF(INDEX('Line Detail'!$G$6:$G$505,$M326)="","",INDEX('Line Detail'!$G$6:$G$505,$M326)))</f>
        <v/>
      </c>
      <c r="H326" s="13" t="str">
        <f aca="false">IF($M326=0,"",IF(INDEX('Line Detail'!$H$6:$H$505,$M326)="","",INDEX('Line Detail'!$H$6:$H$505,$M326)))</f>
        <v/>
      </c>
      <c r="I326" s="34" t="str">
        <f aca="false">IF($M326=0,"",IF(INDEX('Line Detail'!$O$6:$O$505,$M326)="","",INDEX('Line Detail'!$O$6:$O$505,$M326)))</f>
        <v/>
      </c>
      <c r="J326" s="34" t="str">
        <f aca="false">IF($M326=0,"",IF(INDEX('Line Detail'!$R$6:$R$505,$M326)="","",INDEX('Line Detail'!$R$6:$R$505,$M326)))</f>
        <v/>
      </c>
      <c r="K326" s="6" t="str">
        <f aca="false">IF($M326=0,"",IF(INDEX('Line Detail'!$S$6:$S$505,$M326)="","",INDEX('Line Detail'!$S$6:$S$505,$M326)))</f>
        <v/>
      </c>
      <c r="L326" s="1"/>
      <c r="M326" s="63" t="n">
        <f aca="false">IFERROR(MATCH(321,'Line Detail'!$W$6:$W$505,0),0)</f>
        <v>0</v>
      </c>
    </row>
    <row r="327" customFormat="false" ht="15" hidden="false" customHeight="false" outlineLevel="0" collapsed="false">
      <c r="A327" s="13" t="str">
        <f aca="false">IF($M327=0,"",322)</f>
        <v/>
      </c>
      <c r="B327" s="13" t="str">
        <f aca="false">IF($M327=0,"",IF(INDEX('Line Detail'!$B$6:$B$505,$M327)="","",INDEX('Line Detail'!$B$6:$B$505,$M327)))</f>
        <v/>
      </c>
      <c r="C327" s="13" t="str">
        <f aca="false">IF($M327=0,"",IF(INDEX('Line Detail'!$C$6:$C$505,$M327)="","",INDEX('Line Detail'!$C$6:$C$505,$M327)))</f>
        <v/>
      </c>
      <c r="D327" s="13" t="str">
        <f aca="false">IF($M327=0,"",IF(INDEX('Line Detail'!$D$6:$D$505,$M327)="","",INDEX('Line Detail'!$D$6:$D$505,$M327)))</f>
        <v/>
      </c>
      <c r="E327" s="13" t="str">
        <f aca="false">IF($M327=0,"",IF(INDEX('Line Detail'!$E$6:$E$505,$M327)="","",INDEX('Line Detail'!$E$6:$E$505,$M327)))</f>
        <v/>
      </c>
      <c r="F327" s="6" t="str">
        <f aca="false">IF($M327=0,"",IF(INDEX('Line Detail'!$F$6:$F$505,$M327)="","",INDEX('Line Detail'!$F$6:$F$505,$M327)))</f>
        <v/>
      </c>
      <c r="G327" s="62" t="str">
        <f aca="false">IF($M327=0,"",IF(INDEX('Line Detail'!$G$6:$G$505,$M327)="","",INDEX('Line Detail'!$G$6:$G$505,$M327)))</f>
        <v/>
      </c>
      <c r="H327" s="13" t="str">
        <f aca="false">IF($M327=0,"",IF(INDEX('Line Detail'!$H$6:$H$505,$M327)="","",INDEX('Line Detail'!$H$6:$H$505,$M327)))</f>
        <v/>
      </c>
      <c r="I327" s="34" t="str">
        <f aca="false">IF($M327=0,"",IF(INDEX('Line Detail'!$O$6:$O$505,$M327)="","",INDEX('Line Detail'!$O$6:$O$505,$M327)))</f>
        <v/>
      </c>
      <c r="J327" s="34" t="str">
        <f aca="false">IF($M327=0,"",IF(INDEX('Line Detail'!$R$6:$R$505,$M327)="","",INDEX('Line Detail'!$R$6:$R$505,$M327)))</f>
        <v/>
      </c>
      <c r="K327" s="6" t="str">
        <f aca="false">IF($M327=0,"",IF(INDEX('Line Detail'!$S$6:$S$505,$M327)="","",INDEX('Line Detail'!$S$6:$S$505,$M327)))</f>
        <v/>
      </c>
      <c r="L327" s="1"/>
      <c r="M327" s="63" t="n">
        <f aca="false">IFERROR(MATCH(322,'Line Detail'!$W$6:$W$505,0),0)</f>
        <v>0</v>
      </c>
    </row>
    <row r="328" customFormat="false" ht="15" hidden="false" customHeight="false" outlineLevel="0" collapsed="false">
      <c r="A328" s="13" t="str">
        <f aca="false">IF($M328=0,"",323)</f>
        <v/>
      </c>
      <c r="B328" s="13" t="str">
        <f aca="false">IF($M328=0,"",IF(INDEX('Line Detail'!$B$6:$B$505,$M328)="","",INDEX('Line Detail'!$B$6:$B$505,$M328)))</f>
        <v/>
      </c>
      <c r="C328" s="13" t="str">
        <f aca="false">IF($M328=0,"",IF(INDEX('Line Detail'!$C$6:$C$505,$M328)="","",INDEX('Line Detail'!$C$6:$C$505,$M328)))</f>
        <v/>
      </c>
      <c r="D328" s="13" t="str">
        <f aca="false">IF($M328=0,"",IF(INDEX('Line Detail'!$D$6:$D$505,$M328)="","",INDEX('Line Detail'!$D$6:$D$505,$M328)))</f>
        <v/>
      </c>
      <c r="E328" s="13" t="str">
        <f aca="false">IF($M328=0,"",IF(INDEX('Line Detail'!$E$6:$E$505,$M328)="","",INDEX('Line Detail'!$E$6:$E$505,$M328)))</f>
        <v/>
      </c>
      <c r="F328" s="6" t="str">
        <f aca="false">IF($M328=0,"",IF(INDEX('Line Detail'!$F$6:$F$505,$M328)="","",INDEX('Line Detail'!$F$6:$F$505,$M328)))</f>
        <v/>
      </c>
      <c r="G328" s="62" t="str">
        <f aca="false">IF($M328=0,"",IF(INDEX('Line Detail'!$G$6:$G$505,$M328)="","",INDEX('Line Detail'!$G$6:$G$505,$M328)))</f>
        <v/>
      </c>
      <c r="H328" s="13" t="str">
        <f aca="false">IF($M328=0,"",IF(INDEX('Line Detail'!$H$6:$H$505,$M328)="","",INDEX('Line Detail'!$H$6:$H$505,$M328)))</f>
        <v/>
      </c>
      <c r="I328" s="34" t="str">
        <f aca="false">IF($M328=0,"",IF(INDEX('Line Detail'!$O$6:$O$505,$M328)="","",INDEX('Line Detail'!$O$6:$O$505,$M328)))</f>
        <v/>
      </c>
      <c r="J328" s="34" t="str">
        <f aca="false">IF($M328=0,"",IF(INDEX('Line Detail'!$R$6:$R$505,$M328)="","",INDEX('Line Detail'!$R$6:$R$505,$M328)))</f>
        <v/>
      </c>
      <c r="K328" s="6" t="str">
        <f aca="false">IF($M328=0,"",IF(INDEX('Line Detail'!$S$6:$S$505,$M328)="","",INDEX('Line Detail'!$S$6:$S$505,$M328)))</f>
        <v/>
      </c>
      <c r="L328" s="1"/>
      <c r="M328" s="63" t="n">
        <f aca="false">IFERROR(MATCH(323,'Line Detail'!$W$6:$W$505,0),0)</f>
        <v>0</v>
      </c>
    </row>
    <row r="329" customFormat="false" ht="15" hidden="false" customHeight="false" outlineLevel="0" collapsed="false">
      <c r="A329" s="13" t="str">
        <f aca="false">IF($M329=0,"",324)</f>
        <v/>
      </c>
      <c r="B329" s="13" t="str">
        <f aca="false">IF($M329=0,"",IF(INDEX('Line Detail'!$B$6:$B$505,$M329)="","",INDEX('Line Detail'!$B$6:$B$505,$M329)))</f>
        <v/>
      </c>
      <c r="C329" s="13" t="str">
        <f aca="false">IF($M329=0,"",IF(INDEX('Line Detail'!$C$6:$C$505,$M329)="","",INDEX('Line Detail'!$C$6:$C$505,$M329)))</f>
        <v/>
      </c>
      <c r="D329" s="13" t="str">
        <f aca="false">IF($M329=0,"",IF(INDEX('Line Detail'!$D$6:$D$505,$M329)="","",INDEX('Line Detail'!$D$6:$D$505,$M329)))</f>
        <v/>
      </c>
      <c r="E329" s="13" t="str">
        <f aca="false">IF($M329=0,"",IF(INDEX('Line Detail'!$E$6:$E$505,$M329)="","",INDEX('Line Detail'!$E$6:$E$505,$M329)))</f>
        <v/>
      </c>
      <c r="F329" s="6" t="str">
        <f aca="false">IF($M329=0,"",IF(INDEX('Line Detail'!$F$6:$F$505,$M329)="","",INDEX('Line Detail'!$F$6:$F$505,$M329)))</f>
        <v/>
      </c>
      <c r="G329" s="62" t="str">
        <f aca="false">IF($M329=0,"",IF(INDEX('Line Detail'!$G$6:$G$505,$M329)="","",INDEX('Line Detail'!$G$6:$G$505,$M329)))</f>
        <v/>
      </c>
      <c r="H329" s="13" t="str">
        <f aca="false">IF($M329=0,"",IF(INDEX('Line Detail'!$H$6:$H$505,$M329)="","",INDEX('Line Detail'!$H$6:$H$505,$M329)))</f>
        <v/>
      </c>
      <c r="I329" s="34" t="str">
        <f aca="false">IF($M329=0,"",IF(INDEX('Line Detail'!$O$6:$O$505,$M329)="","",INDEX('Line Detail'!$O$6:$O$505,$M329)))</f>
        <v/>
      </c>
      <c r="J329" s="34" t="str">
        <f aca="false">IF($M329=0,"",IF(INDEX('Line Detail'!$R$6:$R$505,$M329)="","",INDEX('Line Detail'!$R$6:$R$505,$M329)))</f>
        <v/>
      </c>
      <c r="K329" s="6" t="str">
        <f aca="false">IF($M329=0,"",IF(INDEX('Line Detail'!$S$6:$S$505,$M329)="","",INDEX('Line Detail'!$S$6:$S$505,$M329)))</f>
        <v/>
      </c>
      <c r="L329" s="1"/>
      <c r="M329" s="63" t="n">
        <f aca="false">IFERROR(MATCH(324,'Line Detail'!$W$6:$W$505,0),0)</f>
        <v>0</v>
      </c>
    </row>
    <row r="330" customFormat="false" ht="15" hidden="false" customHeight="false" outlineLevel="0" collapsed="false">
      <c r="A330" s="13" t="str">
        <f aca="false">IF($M330=0,"",325)</f>
        <v/>
      </c>
      <c r="B330" s="13" t="str">
        <f aca="false">IF($M330=0,"",IF(INDEX('Line Detail'!$B$6:$B$505,$M330)="","",INDEX('Line Detail'!$B$6:$B$505,$M330)))</f>
        <v/>
      </c>
      <c r="C330" s="13" t="str">
        <f aca="false">IF($M330=0,"",IF(INDEX('Line Detail'!$C$6:$C$505,$M330)="","",INDEX('Line Detail'!$C$6:$C$505,$M330)))</f>
        <v/>
      </c>
      <c r="D330" s="13" t="str">
        <f aca="false">IF($M330=0,"",IF(INDEX('Line Detail'!$D$6:$D$505,$M330)="","",INDEX('Line Detail'!$D$6:$D$505,$M330)))</f>
        <v/>
      </c>
      <c r="E330" s="13" t="str">
        <f aca="false">IF($M330=0,"",IF(INDEX('Line Detail'!$E$6:$E$505,$M330)="","",INDEX('Line Detail'!$E$6:$E$505,$M330)))</f>
        <v/>
      </c>
      <c r="F330" s="6" t="str">
        <f aca="false">IF($M330=0,"",IF(INDEX('Line Detail'!$F$6:$F$505,$M330)="","",INDEX('Line Detail'!$F$6:$F$505,$M330)))</f>
        <v/>
      </c>
      <c r="G330" s="62" t="str">
        <f aca="false">IF($M330=0,"",IF(INDEX('Line Detail'!$G$6:$G$505,$M330)="","",INDEX('Line Detail'!$G$6:$G$505,$M330)))</f>
        <v/>
      </c>
      <c r="H330" s="13" t="str">
        <f aca="false">IF($M330=0,"",IF(INDEX('Line Detail'!$H$6:$H$505,$M330)="","",INDEX('Line Detail'!$H$6:$H$505,$M330)))</f>
        <v/>
      </c>
      <c r="I330" s="34" t="str">
        <f aca="false">IF($M330=0,"",IF(INDEX('Line Detail'!$O$6:$O$505,$M330)="","",INDEX('Line Detail'!$O$6:$O$505,$M330)))</f>
        <v/>
      </c>
      <c r="J330" s="34" t="str">
        <f aca="false">IF($M330=0,"",IF(INDEX('Line Detail'!$R$6:$R$505,$M330)="","",INDEX('Line Detail'!$R$6:$R$505,$M330)))</f>
        <v/>
      </c>
      <c r="K330" s="6" t="str">
        <f aca="false">IF($M330=0,"",IF(INDEX('Line Detail'!$S$6:$S$505,$M330)="","",INDEX('Line Detail'!$S$6:$S$505,$M330)))</f>
        <v/>
      </c>
      <c r="L330" s="1"/>
      <c r="M330" s="63" t="n">
        <f aca="false">IFERROR(MATCH(325,'Line Detail'!$W$6:$W$505,0),0)</f>
        <v>0</v>
      </c>
    </row>
    <row r="331" customFormat="false" ht="15" hidden="false" customHeight="false" outlineLevel="0" collapsed="false">
      <c r="A331" s="13" t="str">
        <f aca="false">IF($M331=0,"",326)</f>
        <v/>
      </c>
      <c r="B331" s="13" t="str">
        <f aca="false">IF($M331=0,"",IF(INDEX('Line Detail'!$B$6:$B$505,$M331)="","",INDEX('Line Detail'!$B$6:$B$505,$M331)))</f>
        <v/>
      </c>
      <c r="C331" s="13" t="str">
        <f aca="false">IF($M331=0,"",IF(INDEX('Line Detail'!$C$6:$C$505,$M331)="","",INDEX('Line Detail'!$C$6:$C$505,$M331)))</f>
        <v/>
      </c>
      <c r="D331" s="13" t="str">
        <f aca="false">IF($M331=0,"",IF(INDEX('Line Detail'!$D$6:$D$505,$M331)="","",INDEX('Line Detail'!$D$6:$D$505,$M331)))</f>
        <v/>
      </c>
      <c r="E331" s="13" t="str">
        <f aca="false">IF($M331=0,"",IF(INDEX('Line Detail'!$E$6:$E$505,$M331)="","",INDEX('Line Detail'!$E$6:$E$505,$M331)))</f>
        <v/>
      </c>
      <c r="F331" s="6" t="str">
        <f aca="false">IF($M331=0,"",IF(INDEX('Line Detail'!$F$6:$F$505,$M331)="","",INDEX('Line Detail'!$F$6:$F$505,$M331)))</f>
        <v/>
      </c>
      <c r="G331" s="62" t="str">
        <f aca="false">IF($M331=0,"",IF(INDEX('Line Detail'!$G$6:$G$505,$M331)="","",INDEX('Line Detail'!$G$6:$G$505,$M331)))</f>
        <v/>
      </c>
      <c r="H331" s="13" t="str">
        <f aca="false">IF($M331=0,"",IF(INDEX('Line Detail'!$H$6:$H$505,$M331)="","",INDEX('Line Detail'!$H$6:$H$505,$M331)))</f>
        <v/>
      </c>
      <c r="I331" s="34" t="str">
        <f aca="false">IF($M331=0,"",IF(INDEX('Line Detail'!$O$6:$O$505,$M331)="","",INDEX('Line Detail'!$O$6:$O$505,$M331)))</f>
        <v/>
      </c>
      <c r="J331" s="34" t="str">
        <f aca="false">IF($M331=0,"",IF(INDEX('Line Detail'!$R$6:$R$505,$M331)="","",INDEX('Line Detail'!$R$6:$R$505,$M331)))</f>
        <v/>
      </c>
      <c r="K331" s="6" t="str">
        <f aca="false">IF($M331=0,"",IF(INDEX('Line Detail'!$S$6:$S$505,$M331)="","",INDEX('Line Detail'!$S$6:$S$505,$M331)))</f>
        <v/>
      </c>
      <c r="L331" s="1"/>
      <c r="M331" s="63" t="n">
        <f aca="false">IFERROR(MATCH(326,'Line Detail'!$W$6:$W$505,0),0)</f>
        <v>0</v>
      </c>
    </row>
    <row r="332" customFormat="false" ht="15" hidden="false" customHeight="false" outlineLevel="0" collapsed="false">
      <c r="A332" s="13" t="str">
        <f aca="false">IF($M332=0,"",327)</f>
        <v/>
      </c>
      <c r="B332" s="13" t="str">
        <f aca="false">IF($M332=0,"",IF(INDEX('Line Detail'!$B$6:$B$505,$M332)="","",INDEX('Line Detail'!$B$6:$B$505,$M332)))</f>
        <v/>
      </c>
      <c r="C332" s="13" t="str">
        <f aca="false">IF($M332=0,"",IF(INDEX('Line Detail'!$C$6:$C$505,$M332)="","",INDEX('Line Detail'!$C$6:$C$505,$M332)))</f>
        <v/>
      </c>
      <c r="D332" s="13" t="str">
        <f aca="false">IF($M332=0,"",IF(INDEX('Line Detail'!$D$6:$D$505,$M332)="","",INDEX('Line Detail'!$D$6:$D$505,$M332)))</f>
        <v/>
      </c>
      <c r="E332" s="13" t="str">
        <f aca="false">IF($M332=0,"",IF(INDEX('Line Detail'!$E$6:$E$505,$M332)="","",INDEX('Line Detail'!$E$6:$E$505,$M332)))</f>
        <v/>
      </c>
      <c r="F332" s="6" t="str">
        <f aca="false">IF($M332=0,"",IF(INDEX('Line Detail'!$F$6:$F$505,$M332)="","",INDEX('Line Detail'!$F$6:$F$505,$M332)))</f>
        <v/>
      </c>
      <c r="G332" s="62" t="str">
        <f aca="false">IF($M332=0,"",IF(INDEX('Line Detail'!$G$6:$G$505,$M332)="","",INDEX('Line Detail'!$G$6:$G$505,$M332)))</f>
        <v/>
      </c>
      <c r="H332" s="13" t="str">
        <f aca="false">IF($M332=0,"",IF(INDEX('Line Detail'!$H$6:$H$505,$M332)="","",INDEX('Line Detail'!$H$6:$H$505,$M332)))</f>
        <v/>
      </c>
      <c r="I332" s="34" t="str">
        <f aca="false">IF($M332=0,"",IF(INDEX('Line Detail'!$O$6:$O$505,$M332)="","",INDEX('Line Detail'!$O$6:$O$505,$M332)))</f>
        <v/>
      </c>
      <c r="J332" s="34" t="str">
        <f aca="false">IF($M332=0,"",IF(INDEX('Line Detail'!$R$6:$R$505,$M332)="","",INDEX('Line Detail'!$R$6:$R$505,$M332)))</f>
        <v/>
      </c>
      <c r="K332" s="6" t="str">
        <f aca="false">IF($M332=0,"",IF(INDEX('Line Detail'!$S$6:$S$505,$M332)="","",INDEX('Line Detail'!$S$6:$S$505,$M332)))</f>
        <v/>
      </c>
      <c r="L332" s="1"/>
      <c r="M332" s="63" t="n">
        <f aca="false">IFERROR(MATCH(327,'Line Detail'!$W$6:$W$505,0),0)</f>
        <v>0</v>
      </c>
    </row>
    <row r="333" customFormat="false" ht="15" hidden="false" customHeight="false" outlineLevel="0" collapsed="false">
      <c r="A333" s="13" t="str">
        <f aca="false">IF($M333=0,"",328)</f>
        <v/>
      </c>
      <c r="B333" s="13" t="str">
        <f aca="false">IF($M333=0,"",IF(INDEX('Line Detail'!$B$6:$B$505,$M333)="","",INDEX('Line Detail'!$B$6:$B$505,$M333)))</f>
        <v/>
      </c>
      <c r="C333" s="13" t="str">
        <f aca="false">IF($M333=0,"",IF(INDEX('Line Detail'!$C$6:$C$505,$M333)="","",INDEX('Line Detail'!$C$6:$C$505,$M333)))</f>
        <v/>
      </c>
      <c r="D333" s="13" t="str">
        <f aca="false">IF($M333=0,"",IF(INDEX('Line Detail'!$D$6:$D$505,$M333)="","",INDEX('Line Detail'!$D$6:$D$505,$M333)))</f>
        <v/>
      </c>
      <c r="E333" s="13" t="str">
        <f aca="false">IF($M333=0,"",IF(INDEX('Line Detail'!$E$6:$E$505,$M333)="","",INDEX('Line Detail'!$E$6:$E$505,$M333)))</f>
        <v/>
      </c>
      <c r="F333" s="6" t="str">
        <f aca="false">IF($M333=0,"",IF(INDEX('Line Detail'!$F$6:$F$505,$M333)="","",INDEX('Line Detail'!$F$6:$F$505,$M333)))</f>
        <v/>
      </c>
      <c r="G333" s="62" t="str">
        <f aca="false">IF($M333=0,"",IF(INDEX('Line Detail'!$G$6:$G$505,$M333)="","",INDEX('Line Detail'!$G$6:$G$505,$M333)))</f>
        <v/>
      </c>
      <c r="H333" s="13" t="str">
        <f aca="false">IF($M333=0,"",IF(INDEX('Line Detail'!$H$6:$H$505,$M333)="","",INDEX('Line Detail'!$H$6:$H$505,$M333)))</f>
        <v/>
      </c>
      <c r="I333" s="34" t="str">
        <f aca="false">IF($M333=0,"",IF(INDEX('Line Detail'!$O$6:$O$505,$M333)="","",INDEX('Line Detail'!$O$6:$O$505,$M333)))</f>
        <v/>
      </c>
      <c r="J333" s="34" t="str">
        <f aca="false">IF($M333=0,"",IF(INDEX('Line Detail'!$R$6:$R$505,$M333)="","",INDEX('Line Detail'!$R$6:$R$505,$M333)))</f>
        <v/>
      </c>
      <c r="K333" s="6" t="str">
        <f aca="false">IF($M333=0,"",IF(INDEX('Line Detail'!$S$6:$S$505,$M333)="","",INDEX('Line Detail'!$S$6:$S$505,$M333)))</f>
        <v/>
      </c>
      <c r="L333" s="1"/>
      <c r="M333" s="63" t="n">
        <f aca="false">IFERROR(MATCH(328,'Line Detail'!$W$6:$W$505,0),0)</f>
        <v>0</v>
      </c>
    </row>
    <row r="334" customFormat="false" ht="15" hidden="false" customHeight="false" outlineLevel="0" collapsed="false">
      <c r="A334" s="13" t="str">
        <f aca="false">IF($M334=0,"",329)</f>
        <v/>
      </c>
      <c r="B334" s="13" t="str">
        <f aca="false">IF($M334=0,"",IF(INDEX('Line Detail'!$B$6:$B$505,$M334)="","",INDEX('Line Detail'!$B$6:$B$505,$M334)))</f>
        <v/>
      </c>
      <c r="C334" s="13" t="str">
        <f aca="false">IF($M334=0,"",IF(INDEX('Line Detail'!$C$6:$C$505,$M334)="","",INDEX('Line Detail'!$C$6:$C$505,$M334)))</f>
        <v/>
      </c>
      <c r="D334" s="13" t="str">
        <f aca="false">IF($M334=0,"",IF(INDEX('Line Detail'!$D$6:$D$505,$M334)="","",INDEX('Line Detail'!$D$6:$D$505,$M334)))</f>
        <v/>
      </c>
      <c r="E334" s="13" t="str">
        <f aca="false">IF($M334=0,"",IF(INDEX('Line Detail'!$E$6:$E$505,$M334)="","",INDEX('Line Detail'!$E$6:$E$505,$M334)))</f>
        <v/>
      </c>
      <c r="F334" s="6" t="str">
        <f aca="false">IF($M334=0,"",IF(INDEX('Line Detail'!$F$6:$F$505,$M334)="","",INDEX('Line Detail'!$F$6:$F$505,$M334)))</f>
        <v/>
      </c>
      <c r="G334" s="62" t="str">
        <f aca="false">IF($M334=0,"",IF(INDEX('Line Detail'!$G$6:$G$505,$M334)="","",INDEX('Line Detail'!$G$6:$G$505,$M334)))</f>
        <v/>
      </c>
      <c r="H334" s="13" t="str">
        <f aca="false">IF($M334=0,"",IF(INDEX('Line Detail'!$H$6:$H$505,$M334)="","",INDEX('Line Detail'!$H$6:$H$505,$M334)))</f>
        <v/>
      </c>
      <c r="I334" s="34" t="str">
        <f aca="false">IF($M334=0,"",IF(INDEX('Line Detail'!$O$6:$O$505,$M334)="","",INDEX('Line Detail'!$O$6:$O$505,$M334)))</f>
        <v/>
      </c>
      <c r="J334" s="34" t="str">
        <f aca="false">IF($M334=0,"",IF(INDEX('Line Detail'!$R$6:$R$505,$M334)="","",INDEX('Line Detail'!$R$6:$R$505,$M334)))</f>
        <v/>
      </c>
      <c r="K334" s="6" t="str">
        <f aca="false">IF($M334=0,"",IF(INDEX('Line Detail'!$S$6:$S$505,$M334)="","",INDEX('Line Detail'!$S$6:$S$505,$M334)))</f>
        <v/>
      </c>
      <c r="L334" s="1"/>
      <c r="M334" s="63" t="n">
        <f aca="false">IFERROR(MATCH(329,'Line Detail'!$W$6:$W$505,0),0)</f>
        <v>0</v>
      </c>
    </row>
    <row r="335" customFormat="false" ht="15" hidden="false" customHeight="false" outlineLevel="0" collapsed="false">
      <c r="A335" s="13" t="str">
        <f aca="false">IF($M335=0,"",330)</f>
        <v/>
      </c>
      <c r="B335" s="13" t="str">
        <f aca="false">IF($M335=0,"",IF(INDEX('Line Detail'!$B$6:$B$505,$M335)="","",INDEX('Line Detail'!$B$6:$B$505,$M335)))</f>
        <v/>
      </c>
      <c r="C335" s="13" t="str">
        <f aca="false">IF($M335=0,"",IF(INDEX('Line Detail'!$C$6:$C$505,$M335)="","",INDEX('Line Detail'!$C$6:$C$505,$M335)))</f>
        <v/>
      </c>
      <c r="D335" s="13" t="str">
        <f aca="false">IF($M335=0,"",IF(INDEX('Line Detail'!$D$6:$D$505,$M335)="","",INDEX('Line Detail'!$D$6:$D$505,$M335)))</f>
        <v/>
      </c>
      <c r="E335" s="13" t="str">
        <f aca="false">IF($M335=0,"",IF(INDEX('Line Detail'!$E$6:$E$505,$M335)="","",INDEX('Line Detail'!$E$6:$E$505,$M335)))</f>
        <v/>
      </c>
      <c r="F335" s="6" t="str">
        <f aca="false">IF($M335=0,"",IF(INDEX('Line Detail'!$F$6:$F$505,$M335)="","",INDEX('Line Detail'!$F$6:$F$505,$M335)))</f>
        <v/>
      </c>
      <c r="G335" s="62" t="str">
        <f aca="false">IF($M335=0,"",IF(INDEX('Line Detail'!$G$6:$G$505,$M335)="","",INDEX('Line Detail'!$G$6:$G$505,$M335)))</f>
        <v/>
      </c>
      <c r="H335" s="13" t="str">
        <f aca="false">IF($M335=0,"",IF(INDEX('Line Detail'!$H$6:$H$505,$M335)="","",INDEX('Line Detail'!$H$6:$H$505,$M335)))</f>
        <v/>
      </c>
      <c r="I335" s="34" t="str">
        <f aca="false">IF($M335=0,"",IF(INDEX('Line Detail'!$O$6:$O$505,$M335)="","",INDEX('Line Detail'!$O$6:$O$505,$M335)))</f>
        <v/>
      </c>
      <c r="J335" s="34" t="str">
        <f aca="false">IF($M335=0,"",IF(INDEX('Line Detail'!$R$6:$R$505,$M335)="","",INDEX('Line Detail'!$R$6:$R$505,$M335)))</f>
        <v/>
      </c>
      <c r="K335" s="6" t="str">
        <f aca="false">IF($M335=0,"",IF(INDEX('Line Detail'!$S$6:$S$505,$M335)="","",INDEX('Line Detail'!$S$6:$S$505,$M335)))</f>
        <v/>
      </c>
      <c r="L335" s="1"/>
      <c r="M335" s="63" t="n">
        <f aca="false">IFERROR(MATCH(330,'Line Detail'!$W$6:$W$505,0),0)</f>
        <v>0</v>
      </c>
    </row>
    <row r="336" customFormat="false" ht="15" hidden="false" customHeight="false" outlineLevel="0" collapsed="false">
      <c r="A336" s="13" t="str">
        <f aca="false">IF($M336=0,"",331)</f>
        <v/>
      </c>
      <c r="B336" s="13" t="str">
        <f aca="false">IF($M336=0,"",IF(INDEX('Line Detail'!$B$6:$B$505,$M336)="","",INDEX('Line Detail'!$B$6:$B$505,$M336)))</f>
        <v/>
      </c>
      <c r="C336" s="13" t="str">
        <f aca="false">IF($M336=0,"",IF(INDEX('Line Detail'!$C$6:$C$505,$M336)="","",INDEX('Line Detail'!$C$6:$C$505,$M336)))</f>
        <v/>
      </c>
      <c r="D336" s="13" t="str">
        <f aca="false">IF($M336=0,"",IF(INDEX('Line Detail'!$D$6:$D$505,$M336)="","",INDEX('Line Detail'!$D$6:$D$505,$M336)))</f>
        <v/>
      </c>
      <c r="E336" s="13" t="str">
        <f aca="false">IF($M336=0,"",IF(INDEX('Line Detail'!$E$6:$E$505,$M336)="","",INDEX('Line Detail'!$E$6:$E$505,$M336)))</f>
        <v/>
      </c>
      <c r="F336" s="6" t="str">
        <f aca="false">IF($M336=0,"",IF(INDEX('Line Detail'!$F$6:$F$505,$M336)="","",INDEX('Line Detail'!$F$6:$F$505,$M336)))</f>
        <v/>
      </c>
      <c r="G336" s="62" t="str">
        <f aca="false">IF($M336=0,"",IF(INDEX('Line Detail'!$G$6:$G$505,$M336)="","",INDEX('Line Detail'!$G$6:$G$505,$M336)))</f>
        <v/>
      </c>
      <c r="H336" s="13" t="str">
        <f aca="false">IF($M336=0,"",IF(INDEX('Line Detail'!$H$6:$H$505,$M336)="","",INDEX('Line Detail'!$H$6:$H$505,$M336)))</f>
        <v/>
      </c>
      <c r="I336" s="34" t="str">
        <f aca="false">IF($M336=0,"",IF(INDEX('Line Detail'!$O$6:$O$505,$M336)="","",INDEX('Line Detail'!$O$6:$O$505,$M336)))</f>
        <v/>
      </c>
      <c r="J336" s="34" t="str">
        <f aca="false">IF($M336=0,"",IF(INDEX('Line Detail'!$R$6:$R$505,$M336)="","",INDEX('Line Detail'!$R$6:$R$505,$M336)))</f>
        <v/>
      </c>
      <c r="K336" s="6" t="str">
        <f aca="false">IF($M336=0,"",IF(INDEX('Line Detail'!$S$6:$S$505,$M336)="","",INDEX('Line Detail'!$S$6:$S$505,$M336)))</f>
        <v/>
      </c>
      <c r="L336" s="1"/>
      <c r="M336" s="63" t="n">
        <f aca="false">IFERROR(MATCH(331,'Line Detail'!$W$6:$W$505,0),0)</f>
        <v>0</v>
      </c>
    </row>
    <row r="337" customFormat="false" ht="15" hidden="false" customHeight="false" outlineLevel="0" collapsed="false">
      <c r="A337" s="13" t="str">
        <f aca="false">IF($M337=0,"",332)</f>
        <v/>
      </c>
      <c r="B337" s="13" t="str">
        <f aca="false">IF($M337=0,"",IF(INDEX('Line Detail'!$B$6:$B$505,$M337)="","",INDEX('Line Detail'!$B$6:$B$505,$M337)))</f>
        <v/>
      </c>
      <c r="C337" s="13" t="str">
        <f aca="false">IF($M337=0,"",IF(INDEX('Line Detail'!$C$6:$C$505,$M337)="","",INDEX('Line Detail'!$C$6:$C$505,$M337)))</f>
        <v/>
      </c>
      <c r="D337" s="13" t="str">
        <f aca="false">IF($M337=0,"",IF(INDEX('Line Detail'!$D$6:$D$505,$M337)="","",INDEX('Line Detail'!$D$6:$D$505,$M337)))</f>
        <v/>
      </c>
      <c r="E337" s="13" t="str">
        <f aca="false">IF($M337=0,"",IF(INDEX('Line Detail'!$E$6:$E$505,$M337)="","",INDEX('Line Detail'!$E$6:$E$505,$M337)))</f>
        <v/>
      </c>
      <c r="F337" s="6" t="str">
        <f aca="false">IF($M337=0,"",IF(INDEX('Line Detail'!$F$6:$F$505,$M337)="","",INDEX('Line Detail'!$F$6:$F$505,$M337)))</f>
        <v/>
      </c>
      <c r="G337" s="62" t="str">
        <f aca="false">IF($M337=0,"",IF(INDEX('Line Detail'!$G$6:$G$505,$M337)="","",INDEX('Line Detail'!$G$6:$G$505,$M337)))</f>
        <v/>
      </c>
      <c r="H337" s="13" t="str">
        <f aca="false">IF($M337=0,"",IF(INDEX('Line Detail'!$H$6:$H$505,$M337)="","",INDEX('Line Detail'!$H$6:$H$505,$M337)))</f>
        <v/>
      </c>
      <c r="I337" s="34" t="str">
        <f aca="false">IF($M337=0,"",IF(INDEX('Line Detail'!$O$6:$O$505,$M337)="","",INDEX('Line Detail'!$O$6:$O$505,$M337)))</f>
        <v/>
      </c>
      <c r="J337" s="34" t="str">
        <f aca="false">IF($M337=0,"",IF(INDEX('Line Detail'!$R$6:$R$505,$M337)="","",INDEX('Line Detail'!$R$6:$R$505,$M337)))</f>
        <v/>
      </c>
      <c r="K337" s="6" t="str">
        <f aca="false">IF($M337=0,"",IF(INDEX('Line Detail'!$S$6:$S$505,$M337)="","",INDEX('Line Detail'!$S$6:$S$505,$M337)))</f>
        <v/>
      </c>
      <c r="L337" s="1"/>
      <c r="M337" s="63" t="n">
        <f aca="false">IFERROR(MATCH(332,'Line Detail'!$W$6:$W$505,0),0)</f>
        <v>0</v>
      </c>
    </row>
    <row r="338" customFormat="false" ht="15" hidden="false" customHeight="false" outlineLevel="0" collapsed="false">
      <c r="A338" s="13" t="str">
        <f aca="false">IF($M338=0,"",333)</f>
        <v/>
      </c>
      <c r="B338" s="13" t="str">
        <f aca="false">IF($M338=0,"",IF(INDEX('Line Detail'!$B$6:$B$505,$M338)="","",INDEX('Line Detail'!$B$6:$B$505,$M338)))</f>
        <v/>
      </c>
      <c r="C338" s="13" t="str">
        <f aca="false">IF($M338=0,"",IF(INDEX('Line Detail'!$C$6:$C$505,$M338)="","",INDEX('Line Detail'!$C$6:$C$505,$M338)))</f>
        <v/>
      </c>
      <c r="D338" s="13" t="str">
        <f aca="false">IF($M338=0,"",IF(INDEX('Line Detail'!$D$6:$D$505,$M338)="","",INDEX('Line Detail'!$D$6:$D$505,$M338)))</f>
        <v/>
      </c>
      <c r="E338" s="13" t="str">
        <f aca="false">IF($M338=0,"",IF(INDEX('Line Detail'!$E$6:$E$505,$M338)="","",INDEX('Line Detail'!$E$6:$E$505,$M338)))</f>
        <v/>
      </c>
      <c r="F338" s="6" t="str">
        <f aca="false">IF($M338=0,"",IF(INDEX('Line Detail'!$F$6:$F$505,$M338)="","",INDEX('Line Detail'!$F$6:$F$505,$M338)))</f>
        <v/>
      </c>
      <c r="G338" s="62" t="str">
        <f aca="false">IF($M338=0,"",IF(INDEX('Line Detail'!$G$6:$G$505,$M338)="","",INDEX('Line Detail'!$G$6:$G$505,$M338)))</f>
        <v/>
      </c>
      <c r="H338" s="13" t="str">
        <f aca="false">IF($M338=0,"",IF(INDEX('Line Detail'!$H$6:$H$505,$M338)="","",INDEX('Line Detail'!$H$6:$H$505,$M338)))</f>
        <v/>
      </c>
      <c r="I338" s="34" t="str">
        <f aca="false">IF($M338=0,"",IF(INDEX('Line Detail'!$O$6:$O$505,$M338)="","",INDEX('Line Detail'!$O$6:$O$505,$M338)))</f>
        <v/>
      </c>
      <c r="J338" s="34" t="str">
        <f aca="false">IF($M338=0,"",IF(INDEX('Line Detail'!$R$6:$R$505,$M338)="","",INDEX('Line Detail'!$R$6:$R$505,$M338)))</f>
        <v/>
      </c>
      <c r="K338" s="6" t="str">
        <f aca="false">IF($M338=0,"",IF(INDEX('Line Detail'!$S$6:$S$505,$M338)="","",INDEX('Line Detail'!$S$6:$S$505,$M338)))</f>
        <v/>
      </c>
      <c r="L338" s="1"/>
      <c r="M338" s="63" t="n">
        <f aca="false">IFERROR(MATCH(333,'Line Detail'!$W$6:$W$505,0),0)</f>
        <v>0</v>
      </c>
    </row>
    <row r="339" customFormat="false" ht="15" hidden="false" customHeight="false" outlineLevel="0" collapsed="false">
      <c r="A339" s="13" t="str">
        <f aca="false">IF($M339=0,"",334)</f>
        <v/>
      </c>
      <c r="B339" s="13" t="str">
        <f aca="false">IF($M339=0,"",IF(INDEX('Line Detail'!$B$6:$B$505,$M339)="","",INDEX('Line Detail'!$B$6:$B$505,$M339)))</f>
        <v/>
      </c>
      <c r="C339" s="13" t="str">
        <f aca="false">IF($M339=0,"",IF(INDEX('Line Detail'!$C$6:$C$505,$M339)="","",INDEX('Line Detail'!$C$6:$C$505,$M339)))</f>
        <v/>
      </c>
      <c r="D339" s="13" t="str">
        <f aca="false">IF($M339=0,"",IF(INDEX('Line Detail'!$D$6:$D$505,$M339)="","",INDEX('Line Detail'!$D$6:$D$505,$M339)))</f>
        <v/>
      </c>
      <c r="E339" s="13" t="str">
        <f aca="false">IF($M339=0,"",IF(INDEX('Line Detail'!$E$6:$E$505,$M339)="","",INDEX('Line Detail'!$E$6:$E$505,$M339)))</f>
        <v/>
      </c>
      <c r="F339" s="6" t="str">
        <f aca="false">IF($M339=0,"",IF(INDEX('Line Detail'!$F$6:$F$505,$M339)="","",INDEX('Line Detail'!$F$6:$F$505,$M339)))</f>
        <v/>
      </c>
      <c r="G339" s="62" t="str">
        <f aca="false">IF($M339=0,"",IF(INDEX('Line Detail'!$G$6:$G$505,$M339)="","",INDEX('Line Detail'!$G$6:$G$505,$M339)))</f>
        <v/>
      </c>
      <c r="H339" s="13" t="str">
        <f aca="false">IF($M339=0,"",IF(INDEX('Line Detail'!$H$6:$H$505,$M339)="","",INDEX('Line Detail'!$H$6:$H$505,$M339)))</f>
        <v/>
      </c>
      <c r="I339" s="34" t="str">
        <f aca="false">IF($M339=0,"",IF(INDEX('Line Detail'!$O$6:$O$505,$M339)="","",INDEX('Line Detail'!$O$6:$O$505,$M339)))</f>
        <v/>
      </c>
      <c r="J339" s="34" t="str">
        <f aca="false">IF($M339=0,"",IF(INDEX('Line Detail'!$R$6:$R$505,$M339)="","",INDEX('Line Detail'!$R$6:$R$505,$M339)))</f>
        <v/>
      </c>
      <c r="K339" s="6" t="str">
        <f aca="false">IF($M339=0,"",IF(INDEX('Line Detail'!$S$6:$S$505,$M339)="","",INDEX('Line Detail'!$S$6:$S$505,$M339)))</f>
        <v/>
      </c>
      <c r="L339" s="1"/>
      <c r="M339" s="63" t="n">
        <f aca="false">IFERROR(MATCH(334,'Line Detail'!$W$6:$W$505,0),0)</f>
        <v>0</v>
      </c>
    </row>
    <row r="340" customFormat="false" ht="15" hidden="false" customHeight="false" outlineLevel="0" collapsed="false">
      <c r="A340" s="13" t="str">
        <f aca="false">IF($M340=0,"",335)</f>
        <v/>
      </c>
      <c r="B340" s="13" t="str">
        <f aca="false">IF($M340=0,"",IF(INDEX('Line Detail'!$B$6:$B$505,$M340)="","",INDEX('Line Detail'!$B$6:$B$505,$M340)))</f>
        <v/>
      </c>
      <c r="C340" s="13" t="str">
        <f aca="false">IF($M340=0,"",IF(INDEX('Line Detail'!$C$6:$C$505,$M340)="","",INDEX('Line Detail'!$C$6:$C$505,$M340)))</f>
        <v/>
      </c>
      <c r="D340" s="13" t="str">
        <f aca="false">IF($M340=0,"",IF(INDEX('Line Detail'!$D$6:$D$505,$M340)="","",INDEX('Line Detail'!$D$6:$D$505,$M340)))</f>
        <v/>
      </c>
      <c r="E340" s="13" t="str">
        <f aca="false">IF($M340=0,"",IF(INDEX('Line Detail'!$E$6:$E$505,$M340)="","",INDEX('Line Detail'!$E$6:$E$505,$M340)))</f>
        <v/>
      </c>
      <c r="F340" s="6" t="str">
        <f aca="false">IF($M340=0,"",IF(INDEX('Line Detail'!$F$6:$F$505,$M340)="","",INDEX('Line Detail'!$F$6:$F$505,$M340)))</f>
        <v/>
      </c>
      <c r="G340" s="62" t="str">
        <f aca="false">IF($M340=0,"",IF(INDEX('Line Detail'!$G$6:$G$505,$M340)="","",INDEX('Line Detail'!$G$6:$G$505,$M340)))</f>
        <v/>
      </c>
      <c r="H340" s="13" t="str">
        <f aca="false">IF($M340=0,"",IF(INDEX('Line Detail'!$H$6:$H$505,$M340)="","",INDEX('Line Detail'!$H$6:$H$505,$M340)))</f>
        <v/>
      </c>
      <c r="I340" s="34" t="str">
        <f aca="false">IF($M340=0,"",IF(INDEX('Line Detail'!$O$6:$O$505,$M340)="","",INDEX('Line Detail'!$O$6:$O$505,$M340)))</f>
        <v/>
      </c>
      <c r="J340" s="34" t="str">
        <f aca="false">IF($M340=0,"",IF(INDEX('Line Detail'!$R$6:$R$505,$M340)="","",INDEX('Line Detail'!$R$6:$R$505,$M340)))</f>
        <v/>
      </c>
      <c r="K340" s="6" t="str">
        <f aca="false">IF($M340=0,"",IF(INDEX('Line Detail'!$S$6:$S$505,$M340)="","",INDEX('Line Detail'!$S$6:$S$505,$M340)))</f>
        <v/>
      </c>
      <c r="L340" s="1"/>
      <c r="M340" s="63" t="n">
        <f aca="false">IFERROR(MATCH(335,'Line Detail'!$W$6:$W$505,0),0)</f>
        <v>0</v>
      </c>
    </row>
    <row r="341" customFormat="false" ht="15" hidden="false" customHeight="false" outlineLevel="0" collapsed="false">
      <c r="A341" s="13" t="str">
        <f aca="false">IF($M341=0,"",336)</f>
        <v/>
      </c>
      <c r="B341" s="13" t="str">
        <f aca="false">IF($M341=0,"",IF(INDEX('Line Detail'!$B$6:$B$505,$M341)="","",INDEX('Line Detail'!$B$6:$B$505,$M341)))</f>
        <v/>
      </c>
      <c r="C341" s="13" t="str">
        <f aca="false">IF($M341=0,"",IF(INDEX('Line Detail'!$C$6:$C$505,$M341)="","",INDEX('Line Detail'!$C$6:$C$505,$M341)))</f>
        <v/>
      </c>
      <c r="D341" s="13" t="str">
        <f aca="false">IF($M341=0,"",IF(INDEX('Line Detail'!$D$6:$D$505,$M341)="","",INDEX('Line Detail'!$D$6:$D$505,$M341)))</f>
        <v/>
      </c>
      <c r="E341" s="13" t="str">
        <f aca="false">IF($M341=0,"",IF(INDEX('Line Detail'!$E$6:$E$505,$M341)="","",INDEX('Line Detail'!$E$6:$E$505,$M341)))</f>
        <v/>
      </c>
      <c r="F341" s="6" t="str">
        <f aca="false">IF($M341=0,"",IF(INDEX('Line Detail'!$F$6:$F$505,$M341)="","",INDEX('Line Detail'!$F$6:$F$505,$M341)))</f>
        <v/>
      </c>
      <c r="G341" s="62" t="str">
        <f aca="false">IF($M341=0,"",IF(INDEX('Line Detail'!$G$6:$G$505,$M341)="","",INDEX('Line Detail'!$G$6:$G$505,$M341)))</f>
        <v/>
      </c>
      <c r="H341" s="13" t="str">
        <f aca="false">IF($M341=0,"",IF(INDEX('Line Detail'!$H$6:$H$505,$M341)="","",INDEX('Line Detail'!$H$6:$H$505,$M341)))</f>
        <v/>
      </c>
      <c r="I341" s="34" t="str">
        <f aca="false">IF($M341=0,"",IF(INDEX('Line Detail'!$O$6:$O$505,$M341)="","",INDEX('Line Detail'!$O$6:$O$505,$M341)))</f>
        <v/>
      </c>
      <c r="J341" s="34" t="str">
        <f aca="false">IF($M341=0,"",IF(INDEX('Line Detail'!$R$6:$R$505,$M341)="","",INDEX('Line Detail'!$R$6:$R$505,$M341)))</f>
        <v/>
      </c>
      <c r="K341" s="6" t="str">
        <f aca="false">IF($M341=0,"",IF(INDEX('Line Detail'!$S$6:$S$505,$M341)="","",INDEX('Line Detail'!$S$6:$S$505,$M341)))</f>
        <v/>
      </c>
      <c r="L341" s="1"/>
      <c r="M341" s="63" t="n">
        <f aca="false">IFERROR(MATCH(336,'Line Detail'!$W$6:$W$505,0),0)</f>
        <v>0</v>
      </c>
    </row>
    <row r="342" customFormat="false" ht="15" hidden="false" customHeight="false" outlineLevel="0" collapsed="false">
      <c r="A342" s="13" t="str">
        <f aca="false">IF($M342=0,"",337)</f>
        <v/>
      </c>
      <c r="B342" s="13" t="str">
        <f aca="false">IF($M342=0,"",IF(INDEX('Line Detail'!$B$6:$B$505,$M342)="","",INDEX('Line Detail'!$B$6:$B$505,$M342)))</f>
        <v/>
      </c>
      <c r="C342" s="13" t="str">
        <f aca="false">IF($M342=0,"",IF(INDEX('Line Detail'!$C$6:$C$505,$M342)="","",INDEX('Line Detail'!$C$6:$C$505,$M342)))</f>
        <v/>
      </c>
      <c r="D342" s="13" t="str">
        <f aca="false">IF($M342=0,"",IF(INDEX('Line Detail'!$D$6:$D$505,$M342)="","",INDEX('Line Detail'!$D$6:$D$505,$M342)))</f>
        <v/>
      </c>
      <c r="E342" s="13" t="str">
        <f aca="false">IF($M342=0,"",IF(INDEX('Line Detail'!$E$6:$E$505,$M342)="","",INDEX('Line Detail'!$E$6:$E$505,$M342)))</f>
        <v/>
      </c>
      <c r="F342" s="6" t="str">
        <f aca="false">IF($M342=0,"",IF(INDEX('Line Detail'!$F$6:$F$505,$M342)="","",INDEX('Line Detail'!$F$6:$F$505,$M342)))</f>
        <v/>
      </c>
      <c r="G342" s="62" t="str">
        <f aca="false">IF($M342=0,"",IF(INDEX('Line Detail'!$G$6:$G$505,$M342)="","",INDEX('Line Detail'!$G$6:$G$505,$M342)))</f>
        <v/>
      </c>
      <c r="H342" s="13" t="str">
        <f aca="false">IF($M342=0,"",IF(INDEX('Line Detail'!$H$6:$H$505,$M342)="","",INDEX('Line Detail'!$H$6:$H$505,$M342)))</f>
        <v/>
      </c>
      <c r="I342" s="34" t="str">
        <f aca="false">IF($M342=0,"",IF(INDEX('Line Detail'!$O$6:$O$505,$M342)="","",INDEX('Line Detail'!$O$6:$O$505,$M342)))</f>
        <v/>
      </c>
      <c r="J342" s="34" t="str">
        <f aca="false">IF($M342=0,"",IF(INDEX('Line Detail'!$R$6:$R$505,$M342)="","",INDEX('Line Detail'!$R$6:$R$505,$M342)))</f>
        <v/>
      </c>
      <c r="K342" s="6" t="str">
        <f aca="false">IF($M342=0,"",IF(INDEX('Line Detail'!$S$6:$S$505,$M342)="","",INDEX('Line Detail'!$S$6:$S$505,$M342)))</f>
        <v/>
      </c>
      <c r="L342" s="1"/>
      <c r="M342" s="63" t="n">
        <f aca="false">IFERROR(MATCH(337,'Line Detail'!$W$6:$W$505,0),0)</f>
        <v>0</v>
      </c>
    </row>
    <row r="343" customFormat="false" ht="15" hidden="false" customHeight="false" outlineLevel="0" collapsed="false">
      <c r="A343" s="13" t="str">
        <f aca="false">IF($M343=0,"",338)</f>
        <v/>
      </c>
      <c r="B343" s="13" t="str">
        <f aca="false">IF($M343=0,"",IF(INDEX('Line Detail'!$B$6:$B$505,$M343)="","",INDEX('Line Detail'!$B$6:$B$505,$M343)))</f>
        <v/>
      </c>
      <c r="C343" s="13" t="str">
        <f aca="false">IF($M343=0,"",IF(INDEX('Line Detail'!$C$6:$C$505,$M343)="","",INDEX('Line Detail'!$C$6:$C$505,$M343)))</f>
        <v/>
      </c>
      <c r="D343" s="13" t="str">
        <f aca="false">IF($M343=0,"",IF(INDEX('Line Detail'!$D$6:$D$505,$M343)="","",INDEX('Line Detail'!$D$6:$D$505,$M343)))</f>
        <v/>
      </c>
      <c r="E343" s="13" t="str">
        <f aca="false">IF($M343=0,"",IF(INDEX('Line Detail'!$E$6:$E$505,$M343)="","",INDEX('Line Detail'!$E$6:$E$505,$M343)))</f>
        <v/>
      </c>
      <c r="F343" s="6" t="str">
        <f aca="false">IF($M343=0,"",IF(INDEX('Line Detail'!$F$6:$F$505,$M343)="","",INDEX('Line Detail'!$F$6:$F$505,$M343)))</f>
        <v/>
      </c>
      <c r="G343" s="62" t="str">
        <f aca="false">IF($M343=0,"",IF(INDEX('Line Detail'!$G$6:$G$505,$M343)="","",INDEX('Line Detail'!$G$6:$G$505,$M343)))</f>
        <v/>
      </c>
      <c r="H343" s="13" t="str">
        <f aca="false">IF($M343=0,"",IF(INDEX('Line Detail'!$H$6:$H$505,$M343)="","",INDEX('Line Detail'!$H$6:$H$505,$M343)))</f>
        <v/>
      </c>
      <c r="I343" s="34" t="str">
        <f aca="false">IF($M343=0,"",IF(INDEX('Line Detail'!$O$6:$O$505,$M343)="","",INDEX('Line Detail'!$O$6:$O$505,$M343)))</f>
        <v/>
      </c>
      <c r="J343" s="34" t="str">
        <f aca="false">IF($M343=0,"",IF(INDEX('Line Detail'!$R$6:$R$505,$M343)="","",INDEX('Line Detail'!$R$6:$R$505,$M343)))</f>
        <v/>
      </c>
      <c r="K343" s="6" t="str">
        <f aca="false">IF($M343=0,"",IF(INDEX('Line Detail'!$S$6:$S$505,$M343)="","",INDEX('Line Detail'!$S$6:$S$505,$M343)))</f>
        <v/>
      </c>
      <c r="L343" s="1"/>
      <c r="M343" s="63" t="n">
        <f aca="false">IFERROR(MATCH(338,'Line Detail'!$W$6:$W$505,0),0)</f>
        <v>0</v>
      </c>
    </row>
    <row r="344" customFormat="false" ht="15" hidden="false" customHeight="false" outlineLevel="0" collapsed="false">
      <c r="A344" s="13" t="str">
        <f aca="false">IF($M344=0,"",339)</f>
        <v/>
      </c>
      <c r="B344" s="13" t="str">
        <f aca="false">IF($M344=0,"",IF(INDEX('Line Detail'!$B$6:$B$505,$M344)="","",INDEX('Line Detail'!$B$6:$B$505,$M344)))</f>
        <v/>
      </c>
      <c r="C344" s="13" t="str">
        <f aca="false">IF($M344=0,"",IF(INDEX('Line Detail'!$C$6:$C$505,$M344)="","",INDEX('Line Detail'!$C$6:$C$505,$M344)))</f>
        <v/>
      </c>
      <c r="D344" s="13" t="str">
        <f aca="false">IF($M344=0,"",IF(INDEX('Line Detail'!$D$6:$D$505,$M344)="","",INDEX('Line Detail'!$D$6:$D$505,$M344)))</f>
        <v/>
      </c>
      <c r="E344" s="13" t="str">
        <f aca="false">IF($M344=0,"",IF(INDEX('Line Detail'!$E$6:$E$505,$M344)="","",INDEX('Line Detail'!$E$6:$E$505,$M344)))</f>
        <v/>
      </c>
      <c r="F344" s="6" t="str">
        <f aca="false">IF($M344=0,"",IF(INDEX('Line Detail'!$F$6:$F$505,$M344)="","",INDEX('Line Detail'!$F$6:$F$505,$M344)))</f>
        <v/>
      </c>
      <c r="G344" s="62" t="str">
        <f aca="false">IF($M344=0,"",IF(INDEX('Line Detail'!$G$6:$G$505,$M344)="","",INDEX('Line Detail'!$G$6:$G$505,$M344)))</f>
        <v/>
      </c>
      <c r="H344" s="13" t="str">
        <f aca="false">IF($M344=0,"",IF(INDEX('Line Detail'!$H$6:$H$505,$M344)="","",INDEX('Line Detail'!$H$6:$H$505,$M344)))</f>
        <v/>
      </c>
      <c r="I344" s="34" t="str">
        <f aca="false">IF($M344=0,"",IF(INDEX('Line Detail'!$O$6:$O$505,$M344)="","",INDEX('Line Detail'!$O$6:$O$505,$M344)))</f>
        <v/>
      </c>
      <c r="J344" s="34" t="str">
        <f aca="false">IF($M344=0,"",IF(INDEX('Line Detail'!$R$6:$R$505,$M344)="","",INDEX('Line Detail'!$R$6:$R$505,$M344)))</f>
        <v/>
      </c>
      <c r="K344" s="6" t="str">
        <f aca="false">IF($M344=0,"",IF(INDEX('Line Detail'!$S$6:$S$505,$M344)="","",INDEX('Line Detail'!$S$6:$S$505,$M344)))</f>
        <v/>
      </c>
      <c r="L344" s="1"/>
      <c r="M344" s="63" t="n">
        <f aca="false">IFERROR(MATCH(339,'Line Detail'!$W$6:$W$505,0),0)</f>
        <v>0</v>
      </c>
    </row>
    <row r="345" customFormat="false" ht="15" hidden="false" customHeight="false" outlineLevel="0" collapsed="false">
      <c r="A345" s="13" t="str">
        <f aca="false">IF($M345=0,"",340)</f>
        <v/>
      </c>
      <c r="B345" s="13" t="str">
        <f aca="false">IF($M345=0,"",IF(INDEX('Line Detail'!$B$6:$B$505,$M345)="","",INDEX('Line Detail'!$B$6:$B$505,$M345)))</f>
        <v/>
      </c>
      <c r="C345" s="13" t="str">
        <f aca="false">IF($M345=0,"",IF(INDEX('Line Detail'!$C$6:$C$505,$M345)="","",INDEX('Line Detail'!$C$6:$C$505,$M345)))</f>
        <v/>
      </c>
      <c r="D345" s="13" t="str">
        <f aca="false">IF($M345=0,"",IF(INDEX('Line Detail'!$D$6:$D$505,$M345)="","",INDEX('Line Detail'!$D$6:$D$505,$M345)))</f>
        <v/>
      </c>
      <c r="E345" s="13" t="str">
        <f aca="false">IF($M345=0,"",IF(INDEX('Line Detail'!$E$6:$E$505,$M345)="","",INDEX('Line Detail'!$E$6:$E$505,$M345)))</f>
        <v/>
      </c>
      <c r="F345" s="6" t="str">
        <f aca="false">IF($M345=0,"",IF(INDEX('Line Detail'!$F$6:$F$505,$M345)="","",INDEX('Line Detail'!$F$6:$F$505,$M345)))</f>
        <v/>
      </c>
      <c r="G345" s="62" t="str">
        <f aca="false">IF($M345=0,"",IF(INDEX('Line Detail'!$G$6:$G$505,$M345)="","",INDEX('Line Detail'!$G$6:$G$505,$M345)))</f>
        <v/>
      </c>
      <c r="H345" s="13" t="str">
        <f aca="false">IF($M345=0,"",IF(INDEX('Line Detail'!$H$6:$H$505,$M345)="","",INDEX('Line Detail'!$H$6:$H$505,$M345)))</f>
        <v/>
      </c>
      <c r="I345" s="34" t="str">
        <f aca="false">IF($M345=0,"",IF(INDEX('Line Detail'!$O$6:$O$505,$M345)="","",INDEX('Line Detail'!$O$6:$O$505,$M345)))</f>
        <v/>
      </c>
      <c r="J345" s="34" t="str">
        <f aca="false">IF($M345=0,"",IF(INDEX('Line Detail'!$R$6:$R$505,$M345)="","",INDEX('Line Detail'!$R$6:$R$505,$M345)))</f>
        <v/>
      </c>
      <c r="K345" s="6" t="str">
        <f aca="false">IF($M345=0,"",IF(INDEX('Line Detail'!$S$6:$S$505,$M345)="","",INDEX('Line Detail'!$S$6:$S$505,$M345)))</f>
        <v/>
      </c>
      <c r="L345" s="1"/>
      <c r="M345" s="63" t="n">
        <f aca="false">IFERROR(MATCH(340,'Line Detail'!$W$6:$W$505,0),0)</f>
        <v>0</v>
      </c>
    </row>
    <row r="346" customFormat="false" ht="15" hidden="false" customHeight="false" outlineLevel="0" collapsed="false">
      <c r="A346" s="13" t="str">
        <f aca="false">IF($M346=0,"",341)</f>
        <v/>
      </c>
      <c r="B346" s="13" t="str">
        <f aca="false">IF($M346=0,"",IF(INDEX('Line Detail'!$B$6:$B$505,$M346)="","",INDEX('Line Detail'!$B$6:$B$505,$M346)))</f>
        <v/>
      </c>
      <c r="C346" s="13" t="str">
        <f aca="false">IF($M346=0,"",IF(INDEX('Line Detail'!$C$6:$C$505,$M346)="","",INDEX('Line Detail'!$C$6:$C$505,$M346)))</f>
        <v/>
      </c>
      <c r="D346" s="13" t="str">
        <f aca="false">IF($M346=0,"",IF(INDEX('Line Detail'!$D$6:$D$505,$M346)="","",INDEX('Line Detail'!$D$6:$D$505,$M346)))</f>
        <v/>
      </c>
      <c r="E346" s="13" t="str">
        <f aca="false">IF($M346=0,"",IF(INDEX('Line Detail'!$E$6:$E$505,$M346)="","",INDEX('Line Detail'!$E$6:$E$505,$M346)))</f>
        <v/>
      </c>
      <c r="F346" s="6" t="str">
        <f aca="false">IF($M346=0,"",IF(INDEX('Line Detail'!$F$6:$F$505,$M346)="","",INDEX('Line Detail'!$F$6:$F$505,$M346)))</f>
        <v/>
      </c>
      <c r="G346" s="62" t="str">
        <f aca="false">IF($M346=0,"",IF(INDEX('Line Detail'!$G$6:$G$505,$M346)="","",INDEX('Line Detail'!$G$6:$G$505,$M346)))</f>
        <v/>
      </c>
      <c r="H346" s="13" t="str">
        <f aca="false">IF($M346=0,"",IF(INDEX('Line Detail'!$H$6:$H$505,$M346)="","",INDEX('Line Detail'!$H$6:$H$505,$M346)))</f>
        <v/>
      </c>
      <c r="I346" s="34" t="str">
        <f aca="false">IF($M346=0,"",IF(INDEX('Line Detail'!$O$6:$O$505,$M346)="","",INDEX('Line Detail'!$O$6:$O$505,$M346)))</f>
        <v/>
      </c>
      <c r="J346" s="34" t="str">
        <f aca="false">IF($M346=0,"",IF(INDEX('Line Detail'!$R$6:$R$505,$M346)="","",INDEX('Line Detail'!$R$6:$R$505,$M346)))</f>
        <v/>
      </c>
      <c r="K346" s="6" t="str">
        <f aca="false">IF($M346=0,"",IF(INDEX('Line Detail'!$S$6:$S$505,$M346)="","",INDEX('Line Detail'!$S$6:$S$505,$M346)))</f>
        <v/>
      </c>
      <c r="L346" s="1"/>
      <c r="M346" s="63" t="n">
        <f aca="false">IFERROR(MATCH(341,'Line Detail'!$W$6:$W$505,0),0)</f>
        <v>0</v>
      </c>
    </row>
    <row r="347" customFormat="false" ht="15" hidden="false" customHeight="false" outlineLevel="0" collapsed="false">
      <c r="A347" s="13" t="str">
        <f aca="false">IF($M347=0,"",342)</f>
        <v/>
      </c>
      <c r="B347" s="13" t="str">
        <f aca="false">IF($M347=0,"",IF(INDEX('Line Detail'!$B$6:$B$505,$M347)="","",INDEX('Line Detail'!$B$6:$B$505,$M347)))</f>
        <v/>
      </c>
      <c r="C347" s="13" t="str">
        <f aca="false">IF($M347=0,"",IF(INDEX('Line Detail'!$C$6:$C$505,$M347)="","",INDEX('Line Detail'!$C$6:$C$505,$M347)))</f>
        <v/>
      </c>
      <c r="D347" s="13" t="str">
        <f aca="false">IF($M347=0,"",IF(INDEX('Line Detail'!$D$6:$D$505,$M347)="","",INDEX('Line Detail'!$D$6:$D$505,$M347)))</f>
        <v/>
      </c>
      <c r="E347" s="13" t="str">
        <f aca="false">IF($M347=0,"",IF(INDEX('Line Detail'!$E$6:$E$505,$M347)="","",INDEX('Line Detail'!$E$6:$E$505,$M347)))</f>
        <v/>
      </c>
      <c r="F347" s="6" t="str">
        <f aca="false">IF($M347=0,"",IF(INDEX('Line Detail'!$F$6:$F$505,$M347)="","",INDEX('Line Detail'!$F$6:$F$505,$M347)))</f>
        <v/>
      </c>
      <c r="G347" s="62" t="str">
        <f aca="false">IF($M347=0,"",IF(INDEX('Line Detail'!$G$6:$G$505,$M347)="","",INDEX('Line Detail'!$G$6:$G$505,$M347)))</f>
        <v/>
      </c>
      <c r="H347" s="13" t="str">
        <f aca="false">IF($M347=0,"",IF(INDEX('Line Detail'!$H$6:$H$505,$M347)="","",INDEX('Line Detail'!$H$6:$H$505,$M347)))</f>
        <v/>
      </c>
      <c r="I347" s="34" t="str">
        <f aca="false">IF($M347=0,"",IF(INDEX('Line Detail'!$O$6:$O$505,$M347)="","",INDEX('Line Detail'!$O$6:$O$505,$M347)))</f>
        <v/>
      </c>
      <c r="J347" s="34" t="str">
        <f aca="false">IF($M347=0,"",IF(INDEX('Line Detail'!$R$6:$R$505,$M347)="","",INDEX('Line Detail'!$R$6:$R$505,$M347)))</f>
        <v/>
      </c>
      <c r="K347" s="6" t="str">
        <f aca="false">IF($M347=0,"",IF(INDEX('Line Detail'!$S$6:$S$505,$M347)="","",INDEX('Line Detail'!$S$6:$S$505,$M347)))</f>
        <v/>
      </c>
      <c r="L347" s="1"/>
      <c r="M347" s="63" t="n">
        <f aca="false">IFERROR(MATCH(342,'Line Detail'!$W$6:$W$505,0),0)</f>
        <v>0</v>
      </c>
    </row>
    <row r="348" customFormat="false" ht="15" hidden="false" customHeight="false" outlineLevel="0" collapsed="false">
      <c r="A348" s="13" t="str">
        <f aca="false">IF($M348=0,"",343)</f>
        <v/>
      </c>
      <c r="B348" s="13" t="str">
        <f aca="false">IF($M348=0,"",IF(INDEX('Line Detail'!$B$6:$B$505,$M348)="","",INDEX('Line Detail'!$B$6:$B$505,$M348)))</f>
        <v/>
      </c>
      <c r="C348" s="13" t="str">
        <f aca="false">IF($M348=0,"",IF(INDEX('Line Detail'!$C$6:$C$505,$M348)="","",INDEX('Line Detail'!$C$6:$C$505,$M348)))</f>
        <v/>
      </c>
      <c r="D348" s="13" t="str">
        <f aca="false">IF($M348=0,"",IF(INDEX('Line Detail'!$D$6:$D$505,$M348)="","",INDEX('Line Detail'!$D$6:$D$505,$M348)))</f>
        <v/>
      </c>
      <c r="E348" s="13" t="str">
        <f aca="false">IF($M348=0,"",IF(INDEX('Line Detail'!$E$6:$E$505,$M348)="","",INDEX('Line Detail'!$E$6:$E$505,$M348)))</f>
        <v/>
      </c>
      <c r="F348" s="6" t="str">
        <f aca="false">IF($M348=0,"",IF(INDEX('Line Detail'!$F$6:$F$505,$M348)="","",INDEX('Line Detail'!$F$6:$F$505,$M348)))</f>
        <v/>
      </c>
      <c r="G348" s="62" t="str">
        <f aca="false">IF($M348=0,"",IF(INDEX('Line Detail'!$G$6:$G$505,$M348)="","",INDEX('Line Detail'!$G$6:$G$505,$M348)))</f>
        <v/>
      </c>
      <c r="H348" s="13" t="str">
        <f aca="false">IF($M348=0,"",IF(INDEX('Line Detail'!$H$6:$H$505,$M348)="","",INDEX('Line Detail'!$H$6:$H$505,$M348)))</f>
        <v/>
      </c>
      <c r="I348" s="34" t="str">
        <f aca="false">IF($M348=0,"",IF(INDEX('Line Detail'!$O$6:$O$505,$M348)="","",INDEX('Line Detail'!$O$6:$O$505,$M348)))</f>
        <v/>
      </c>
      <c r="J348" s="34" t="str">
        <f aca="false">IF($M348=0,"",IF(INDEX('Line Detail'!$R$6:$R$505,$M348)="","",INDEX('Line Detail'!$R$6:$R$505,$M348)))</f>
        <v/>
      </c>
      <c r="K348" s="6" t="str">
        <f aca="false">IF($M348=0,"",IF(INDEX('Line Detail'!$S$6:$S$505,$M348)="","",INDEX('Line Detail'!$S$6:$S$505,$M348)))</f>
        <v/>
      </c>
      <c r="L348" s="1"/>
      <c r="M348" s="63" t="n">
        <f aca="false">IFERROR(MATCH(343,'Line Detail'!$W$6:$W$505,0),0)</f>
        <v>0</v>
      </c>
    </row>
    <row r="349" customFormat="false" ht="15" hidden="false" customHeight="false" outlineLevel="0" collapsed="false">
      <c r="A349" s="13" t="str">
        <f aca="false">IF($M349=0,"",344)</f>
        <v/>
      </c>
      <c r="B349" s="13" t="str">
        <f aca="false">IF($M349=0,"",IF(INDEX('Line Detail'!$B$6:$B$505,$M349)="","",INDEX('Line Detail'!$B$6:$B$505,$M349)))</f>
        <v/>
      </c>
      <c r="C349" s="13" t="str">
        <f aca="false">IF($M349=0,"",IF(INDEX('Line Detail'!$C$6:$C$505,$M349)="","",INDEX('Line Detail'!$C$6:$C$505,$M349)))</f>
        <v/>
      </c>
      <c r="D349" s="13" t="str">
        <f aca="false">IF($M349=0,"",IF(INDEX('Line Detail'!$D$6:$D$505,$M349)="","",INDEX('Line Detail'!$D$6:$D$505,$M349)))</f>
        <v/>
      </c>
      <c r="E349" s="13" t="str">
        <f aca="false">IF($M349=0,"",IF(INDEX('Line Detail'!$E$6:$E$505,$M349)="","",INDEX('Line Detail'!$E$6:$E$505,$M349)))</f>
        <v/>
      </c>
      <c r="F349" s="6" t="str">
        <f aca="false">IF($M349=0,"",IF(INDEX('Line Detail'!$F$6:$F$505,$M349)="","",INDEX('Line Detail'!$F$6:$F$505,$M349)))</f>
        <v/>
      </c>
      <c r="G349" s="62" t="str">
        <f aca="false">IF($M349=0,"",IF(INDEX('Line Detail'!$G$6:$G$505,$M349)="","",INDEX('Line Detail'!$G$6:$G$505,$M349)))</f>
        <v/>
      </c>
      <c r="H349" s="13" t="str">
        <f aca="false">IF($M349=0,"",IF(INDEX('Line Detail'!$H$6:$H$505,$M349)="","",INDEX('Line Detail'!$H$6:$H$505,$M349)))</f>
        <v/>
      </c>
      <c r="I349" s="34" t="str">
        <f aca="false">IF($M349=0,"",IF(INDEX('Line Detail'!$O$6:$O$505,$M349)="","",INDEX('Line Detail'!$O$6:$O$505,$M349)))</f>
        <v/>
      </c>
      <c r="J349" s="34" t="str">
        <f aca="false">IF($M349=0,"",IF(INDEX('Line Detail'!$R$6:$R$505,$M349)="","",INDEX('Line Detail'!$R$6:$R$505,$M349)))</f>
        <v/>
      </c>
      <c r="K349" s="6" t="str">
        <f aca="false">IF($M349=0,"",IF(INDEX('Line Detail'!$S$6:$S$505,$M349)="","",INDEX('Line Detail'!$S$6:$S$505,$M349)))</f>
        <v/>
      </c>
      <c r="L349" s="1"/>
      <c r="M349" s="63" t="n">
        <f aca="false">IFERROR(MATCH(344,'Line Detail'!$W$6:$W$505,0),0)</f>
        <v>0</v>
      </c>
    </row>
    <row r="350" customFormat="false" ht="15" hidden="false" customHeight="false" outlineLevel="0" collapsed="false">
      <c r="A350" s="13" t="str">
        <f aca="false">IF($M350=0,"",345)</f>
        <v/>
      </c>
      <c r="B350" s="13" t="str">
        <f aca="false">IF($M350=0,"",IF(INDEX('Line Detail'!$B$6:$B$505,$M350)="","",INDEX('Line Detail'!$B$6:$B$505,$M350)))</f>
        <v/>
      </c>
      <c r="C350" s="13" t="str">
        <f aca="false">IF($M350=0,"",IF(INDEX('Line Detail'!$C$6:$C$505,$M350)="","",INDEX('Line Detail'!$C$6:$C$505,$M350)))</f>
        <v/>
      </c>
      <c r="D350" s="13" t="str">
        <f aca="false">IF($M350=0,"",IF(INDEX('Line Detail'!$D$6:$D$505,$M350)="","",INDEX('Line Detail'!$D$6:$D$505,$M350)))</f>
        <v/>
      </c>
      <c r="E350" s="13" t="str">
        <f aca="false">IF($M350=0,"",IF(INDEX('Line Detail'!$E$6:$E$505,$M350)="","",INDEX('Line Detail'!$E$6:$E$505,$M350)))</f>
        <v/>
      </c>
      <c r="F350" s="6" t="str">
        <f aca="false">IF($M350=0,"",IF(INDEX('Line Detail'!$F$6:$F$505,$M350)="","",INDEX('Line Detail'!$F$6:$F$505,$M350)))</f>
        <v/>
      </c>
      <c r="G350" s="62" t="str">
        <f aca="false">IF($M350=0,"",IF(INDEX('Line Detail'!$G$6:$G$505,$M350)="","",INDEX('Line Detail'!$G$6:$G$505,$M350)))</f>
        <v/>
      </c>
      <c r="H350" s="13" t="str">
        <f aca="false">IF($M350=0,"",IF(INDEX('Line Detail'!$H$6:$H$505,$M350)="","",INDEX('Line Detail'!$H$6:$H$505,$M350)))</f>
        <v/>
      </c>
      <c r="I350" s="34" t="str">
        <f aca="false">IF($M350=0,"",IF(INDEX('Line Detail'!$O$6:$O$505,$M350)="","",INDEX('Line Detail'!$O$6:$O$505,$M350)))</f>
        <v/>
      </c>
      <c r="J350" s="34" t="str">
        <f aca="false">IF($M350=0,"",IF(INDEX('Line Detail'!$R$6:$R$505,$M350)="","",INDEX('Line Detail'!$R$6:$R$505,$M350)))</f>
        <v/>
      </c>
      <c r="K350" s="6" t="str">
        <f aca="false">IF($M350=0,"",IF(INDEX('Line Detail'!$S$6:$S$505,$M350)="","",INDEX('Line Detail'!$S$6:$S$505,$M350)))</f>
        <v/>
      </c>
      <c r="L350" s="1"/>
      <c r="M350" s="63" t="n">
        <f aca="false">IFERROR(MATCH(345,'Line Detail'!$W$6:$W$505,0),0)</f>
        <v>0</v>
      </c>
    </row>
    <row r="351" customFormat="false" ht="15" hidden="false" customHeight="false" outlineLevel="0" collapsed="false">
      <c r="A351" s="13" t="str">
        <f aca="false">IF($M351=0,"",346)</f>
        <v/>
      </c>
      <c r="B351" s="13" t="str">
        <f aca="false">IF($M351=0,"",IF(INDEX('Line Detail'!$B$6:$B$505,$M351)="","",INDEX('Line Detail'!$B$6:$B$505,$M351)))</f>
        <v/>
      </c>
      <c r="C351" s="13" t="str">
        <f aca="false">IF($M351=0,"",IF(INDEX('Line Detail'!$C$6:$C$505,$M351)="","",INDEX('Line Detail'!$C$6:$C$505,$M351)))</f>
        <v/>
      </c>
      <c r="D351" s="13" t="str">
        <f aca="false">IF($M351=0,"",IF(INDEX('Line Detail'!$D$6:$D$505,$M351)="","",INDEX('Line Detail'!$D$6:$D$505,$M351)))</f>
        <v/>
      </c>
      <c r="E351" s="13" t="str">
        <f aca="false">IF($M351=0,"",IF(INDEX('Line Detail'!$E$6:$E$505,$M351)="","",INDEX('Line Detail'!$E$6:$E$505,$M351)))</f>
        <v/>
      </c>
      <c r="F351" s="6" t="str">
        <f aca="false">IF($M351=0,"",IF(INDEX('Line Detail'!$F$6:$F$505,$M351)="","",INDEX('Line Detail'!$F$6:$F$505,$M351)))</f>
        <v/>
      </c>
      <c r="G351" s="62" t="str">
        <f aca="false">IF($M351=0,"",IF(INDEX('Line Detail'!$G$6:$G$505,$M351)="","",INDEX('Line Detail'!$G$6:$G$505,$M351)))</f>
        <v/>
      </c>
      <c r="H351" s="13" t="str">
        <f aca="false">IF($M351=0,"",IF(INDEX('Line Detail'!$H$6:$H$505,$M351)="","",INDEX('Line Detail'!$H$6:$H$505,$M351)))</f>
        <v/>
      </c>
      <c r="I351" s="34" t="str">
        <f aca="false">IF($M351=0,"",IF(INDEX('Line Detail'!$O$6:$O$505,$M351)="","",INDEX('Line Detail'!$O$6:$O$505,$M351)))</f>
        <v/>
      </c>
      <c r="J351" s="34" t="str">
        <f aca="false">IF($M351=0,"",IF(INDEX('Line Detail'!$R$6:$R$505,$M351)="","",INDEX('Line Detail'!$R$6:$R$505,$M351)))</f>
        <v/>
      </c>
      <c r="K351" s="6" t="str">
        <f aca="false">IF($M351=0,"",IF(INDEX('Line Detail'!$S$6:$S$505,$M351)="","",INDEX('Line Detail'!$S$6:$S$505,$M351)))</f>
        <v/>
      </c>
      <c r="L351" s="1"/>
      <c r="M351" s="63" t="n">
        <f aca="false">IFERROR(MATCH(346,'Line Detail'!$W$6:$W$505,0),0)</f>
        <v>0</v>
      </c>
    </row>
    <row r="352" customFormat="false" ht="15" hidden="false" customHeight="false" outlineLevel="0" collapsed="false">
      <c r="A352" s="13" t="str">
        <f aca="false">IF($M352=0,"",347)</f>
        <v/>
      </c>
      <c r="B352" s="13" t="str">
        <f aca="false">IF($M352=0,"",IF(INDEX('Line Detail'!$B$6:$B$505,$M352)="","",INDEX('Line Detail'!$B$6:$B$505,$M352)))</f>
        <v/>
      </c>
      <c r="C352" s="13" t="str">
        <f aca="false">IF($M352=0,"",IF(INDEX('Line Detail'!$C$6:$C$505,$M352)="","",INDEX('Line Detail'!$C$6:$C$505,$M352)))</f>
        <v/>
      </c>
      <c r="D352" s="13" t="str">
        <f aca="false">IF($M352=0,"",IF(INDEX('Line Detail'!$D$6:$D$505,$M352)="","",INDEX('Line Detail'!$D$6:$D$505,$M352)))</f>
        <v/>
      </c>
      <c r="E352" s="13" t="str">
        <f aca="false">IF($M352=0,"",IF(INDEX('Line Detail'!$E$6:$E$505,$M352)="","",INDEX('Line Detail'!$E$6:$E$505,$M352)))</f>
        <v/>
      </c>
      <c r="F352" s="6" t="str">
        <f aca="false">IF($M352=0,"",IF(INDEX('Line Detail'!$F$6:$F$505,$M352)="","",INDEX('Line Detail'!$F$6:$F$505,$M352)))</f>
        <v/>
      </c>
      <c r="G352" s="62" t="str">
        <f aca="false">IF($M352=0,"",IF(INDEX('Line Detail'!$G$6:$G$505,$M352)="","",INDEX('Line Detail'!$G$6:$G$505,$M352)))</f>
        <v/>
      </c>
      <c r="H352" s="13" t="str">
        <f aca="false">IF($M352=0,"",IF(INDEX('Line Detail'!$H$6:$H$505,$M352)="","",INDEX('Line Detail'!$H$6:$H$505,$M352)))</f>
        <v/>
      </c>
      <c r="I352" s="34" t="str">
        <f aca="false">IF($M352=0,"",IF(INDEX('Line Detail'!$O$6:$O$505,$M352)="","",INDEX('Line Detail'!$O$6:$O$505,$M352)))</f>
        <v/>
      </c>
      <c r="J352" s="34" t="str">
        <f aca="false">IF($M352=0,"",IF(INDEX('Line Detail'!$R$6:$R$505,$M352)="","",INDEX('Line Detail'!$R$6:$R$505,$M352)))</f>
        <v/>
      </c>
      <c r="K352" s="6" t="str">
        <f aca="false">IF($M352=0,"",IF(INDEX('Line Detail'!$S$6:$S$505,$M352)="","",INDEX('Line Detail'!$S$6:$S$505,$M352)))</f>
        <v/>
      </c>
      <c r="L352" s="1"/>
      <c r="M352" s="63" t="n">
        <f aca="false">IFERROR(MATCH(347,'Line Detail'!$W$6:$W$505,0),0)</f>
        <v>0</v>
      </c>
    </row>
    <row r="353" customFormat="false" ht="15" hidden="false" customHeight="false" outlineLevel="0" collapsed="false">
      <c r="A353" s="13" t="str">
        <f aca="false">IF($M353=0,"",348)</f>
        <v/>
      </c>
      <c r="B353" s="13" t="str">
        <f aca="false">IF($M353=0,"",IF(INDEX('Line Detail'!$B$6:$B$505,$M353)="","",INDEX('Line Detail'!$B$6:$B$505,$M353)))</f>
        <v/>
      </c>
      <c r="C353" s="13" t="str">
        <f aca="false">IF($M353=0,"",IF(INDEX('Line Detail'!$C$6:$C$505,$M353)="","",INDEX('Line Detail'!$C$6:$C$505,$M353)))</f>
        <v/>
      </c>
      <c r="D353" s="13" t="str">
        <f aca="false">IF($M353=0,"",IF(INDEX('Line Detail'!$D$6:$D$505,$M353)="","",INDEX('Line Detail'!$D$6:$D$505,$M353)))</f>
        <v/>
      </c>
      <c r="E353" s="13" t="str">
        <f aca="false">IF($M353=0,"",IF(INDEX('Line Detail'!$E$6:$E$505,$M353)="","",INDEX('Line Detail'!$E$6:$E$505,$M353)))</f>
        <v/>
      </c>
      <c r="F353" s="6" t="str">
        <f aca="false">IF($M353=0,"",IF(INDEX('Line Detail'!$F$6:$F$505,$M353)="","",INDEX('Line Detail'!$F$6:$F$505,$M353)))</f>
        <v/>
      </c>
      <c r="G353" s="62" t="str">
        <f aca="false">IF($M353=0,"",IF(INDEX('Line Detail'!$G$6:$G$505,$M353)="","",INDEX('Line Detail'!$G$6:$G$505,$M353)))</f>
        <v/>
      </c>
      <c r="H353" s="13" t="str">
        <f aca="false">IF($M353=0,"",IF(INDEX('Line Detail'!$H$6:$H$505,$M353)="","",INDEX('Line Detail'!$H$6:$H$505,$M353)))</f>
        <v/>
      </c>
      <c r="I353" s="34" t="str">
        <f aca="false">IF($M353=0,"",IF(INDEX('Line Detail'!$O$6:$O$505,$M353)="","",INDEX('Line Detail'!$O$6:$O$505,$M353)))</f>
        <v/>
      </c>
      <c r="J353" s="34" t="str">
        <f aca="false">IF($M353=0,"",IF(INDEX('Line Detail'!$R$6:$R$505,$M353)="","",INDEX('Line Detail'!$R$6:$R$505,$M353)))</f>
        <v/>
      </c>
      <c r="K353" s="6" t="str">
        <f aca="false">IF($M353=0,"",IF(INDEX('Line Detail'!$S$6:$S$505,$M353)="","",INDEX('Line Detail'!$S$6:$S$505,$M353)))</f>
        <v/>
      </c>
      <c r="L353" s="1"/>
      <c r="M353" s="63" t="n">
        <f aca="false">IFERROR(MATCH(348,'Line Detail'!$W$6:$W$505,0),0)</f>
        <v>0</v>
      </c>
    </row>
    <row r="354" customFormat="false" ht="15" hidden="false" customHeight="false" outlineLevel="0" collapsed="false">
      <c r="A354" s="13" t="str">
        <f aca="false">IF($M354=0,"",349)</f>
        <v/>
      </c>
      <c r="B354" s="13" t="str">
        <f aca="false">IF($M354=0,"",IF(INDEX('Line Detail'!$B$6:$B$505,$M354)="","",INDEX('Line Detail'!$B$6:$B$505,$M354)))</f>
        <v/>
      </c>
      <c r="C354" s="13" t="str">
        <f aca="false">IF($M354=0,"",IF(INDEX('Line Detail'!$C$6:$C$505,$M354)="","",INDEX('Line Detail'!$C$6:$C$505,$M354)))</f>
        <v/>
      </c>
      <c r="D354" s="13" t="str">
        <f aca="false">IF($M354=0,"",IF(INDEX('Line Detail'!$D$6:$D$505,$M354)="","",INDEX('Line Detail'!$D$6:$D$505,$M354)))</f>
        <v/>
      </c>
      <c r="E354" s="13" t="str">
        <f aca="false">IF($M354=0,"",IF(INDEX('Line Detail'!$E$6:$E$505,$M354)="","",INDEX('Line Detail'!$E$6:$E$505,$M354)))</f>
        <v/>
      </c>
      <c r="F354" s="6" t="str">
        <f aca="false">IF($M354=0,"",IF(INDEX('Line Detail'!$F$6:$F$505,$M354)="","",INDEX('Line Detail'!$F$6:$F$505,$M354)))</f>
        <v/>
      </c>
      <c r="G354" s="62" t="str">
        <f aca="false">IF($M354=0,"",IF(INDEX('Line Detail'!$G$6:$G$505,$M354)="","",INDEX('Line Detail'!$G$6:$G$505,$M354)))</f>
        <v/>
      </c>
      <c r="H354" s="13" t="str">
        <f aca="false">IF($M354=0,"",IF(INDEX('Line Detail'!$H$6:$H$505,$M354)="","",INDEX('Line Detail'!$H$6:$H$505,$M354)))</f>
        <v/>
      </c>
      <c r="I354" s="34" t="str">
        <f aca="false">IF($M354=0,"",IF(INDEX('Line Detail'!$O$6:$O$505,$M354)="","",INDEX('Line Detail'!$O$6:$O$505,$M354)))</f>
        <v/>
      </c>
      <c r="J354" s="34" t="str">
        <f aca="false">IF($M354=0,"",IF(INDEX('Line Detail'!$R$6:$R$505,$M354)="","",INDEX('Line Detail'!$R$6:$R$505,$M354)))</f>
        <v/>
      </c>
      <c r="K354" s="6" t="str">
        <f aca="false">IF($M354=0,"",IF(INDEX('Line Detail'!$S$6:$S$505,$M354)="","",INDEX('Line Detail'!$S$6:$S$505,$M354)))</f>
        <v/>
      </c>
      <c r="L354" s="1"/>
      <c r="M354" s="63" t="n">
        <f aca="false">IFERROR(MATCH(349,'Line Detail'!$W$6:$W$505,0),0)</f>
        <v>0</v>
      </c>
    </row>
    <row r="355" customFormat="false" ht="15" hidden="false" customHeight="false" outlineLevel="0" collapsed="false">
      <c r="A355" s="13" t="str">
        <f aca="false">IF($M355=0,"",350)</f>
        <v/>
      </c>
      <c r="B355" s="13" t="str">
        <f aca="false">IF($M355=0,"",IF(INDEX('Line Detail'!$B$6:$B$505,$M355)="","",INDEX('Line Detail'!$B$6:$B$505,$M355)))</f>
        <v/>
      </c>
      <c r="C355" s="13" t="str">
        <f aca="false">IF($M355=0,"",IF(INDEX('Line Detail'!$C$6:$C$505,$M355)="","",INDEX('Line Detail'!$C$6:$C$505,$M355)))</f>
        <v/>
      </c>
      <c r="D355" s="13" t="str">
        <f aca="false">IF($M355=0,"",IF(INDEX('Line Detail'!$D$6:$D$505,$M355)="","",INDEX('Line Detail'!$D$6:$D$505,$M355)))</f>
        <v/>
      </c>
      <c r="E355" s="13" t="str">
        <f aca="false">IF($M355=0,"",IF(INDEX('Line Detail'!$E$6:$E$505,$M355)="","",INDEX('Line Detail'!$E$6:$E$505,$M355)))</f>
        <v/>
      </c>
      <c r="F355" s="6" t="str">
        <f aca="false">IF($M355=0,"",IF(INDEX('Line Detail'!$F$6:$F$505,$M355)="","",INDEX('Line Detail'!$F$6:$F$505,$M355)))</f>
        <v/>
      </c>
      <c r="G355" s="62" t="str">
        <f aca="false">IF($M355=0,"",IF(INDEX('Line Detail'!$G$6:$G$505,$M355)="","",INDEX('Line Detail'!$G$6:$G$505,$M355)))</f>
        <v/>
      </c>
      <c r="H355" s="13" t="str">
        <f aca="false">IF($M355=0,"",IF(INDEX('Line Detail'!$H$6:$H$505,$M355)="","",INDEX('Line Detail'!$H$6:$H$505,$M355)))</f>
        <v/>
      </c>
      <c r="I355" s="34" t="str">
        <f aca="false">IF($M355=0,"",IF(INDEX('Line Detail'!$O$6:$O$505,$M355)="","",INDEX('Line Detail'!$O$6:$O$505,$M355)))</f>
        <v/>
      </c>
      <c r="J355" s="34" t="str">
        <f aca="false">IF($M355=0,"",IF(INDEX('Line Detail'!$R$6:$R$505,$M355)="","",INDEX('Line Detail'!$R$6:$R$505,$M355)))</f>
        <v/>
      </c>
      <c r="K355" s="6" t="str">
        <f aca="false">IF($M355=0,"",IF(INDEX('Line Detail'!$S$6:$S$505,$M355)="","",INDEX('Line Detail'!$S$6:$S$505,$M355)))</f>
        <v/>
      </c>
      <c r="L355" s="1"/>
      <c r="M355" s="63" t="n">
        <f aca="false">IFERROR(MATCH(350,'Line Detail'!$W$6:$W$505,0),0)</f>
        <v>0</v>
      </c>
    </row>
    <row r="356" customFormat="false" ht="15" hidden="false" customHeight="false" outlineLevel="0" collapsed="false">
      <c r="A356" s="13" t="str">
        <f aca="false">IF($M356=0,"",351)</f>
        <v/>
      </c>
      <c r="B356" s="13" t="str">
        <f aca="false">IF($M356=0,"",IF(INDEX('Line Detail'!$B$6:$B$505,$M356)="","",INDEX('Line Detail'!$B$6:$B$505,$M356)))</f>
        <v/>
      </c>
      <c r="C356" s="13" t="str">
        <f aca="false">IF($M356=0,"",IF(INDEX('Line Detail'!$C$6:$C$505,$M356)="","",INDEX('Line Detail'!$C$6:$C$505,$M356)))</f>
        <v/>
      </c>
      <c r="D356" s="13" t="str">
        <f aca="false">IF($M356=0,"",IF(INDEX('Line Detail'!$D$6:$D$505,$M356)="","",INDEX('Line Detail'!$D$6:$D$505,$M356)))</f>
        <v/>
      </c>
      <c r="E356" s="13" t="str">
        <f aca="false">IF($M356=0,"",IF(INDEX('Line Detail'!$E$6:$E$505,$M356)="","",INDEX('Line Detail'!$E$6:$E$505,$M356)))</f>
        <v/>
      </c>
      <c r="F356" s="6" t="str">
        <f aca="false">IF($M356=0,"",IF(INDEX('Line Detail'!$F$6:$F$505,$M356)="","",INDEX('Line Detail'!$F$6:$F$505,$M356)))</f>
        <v/>
      </c>
      <c r="G356" s="62" t="str">
        <f aca="false">IF($M356=0,"",IF(INDEX('Line Detail'!$G$6:$G$505,$M356)="","",INDEX('Line Detail'!$G$6:$G$505,$M356)))</f>
        <v/>
      </c>
      <c r="H356" s="13" t="str">
        <f aca="false">IF($M356=0,"",IF(INDEX('Line Detail'!$H$6:$H$505,$M356)="","",INDEX('Line Detail'!$H$6:$H$505,$M356)))</f>
        <v/>
      </c>
      <c r="I356" s="34" t="str">
        <f aca="false">IF($M356=0,"",IF(INDEX('Line Detail'!$O$6:$O$505,$M356)="","",INDEX('Line Detail'!$O$6:$O$505,$M356)))</f>
        <v/>
      </c>
      <c r="J356" s="34" t="str">
        <f aca="false">IF($M356=0,"",IF(INDEX('Line Detail'!$R$6:$R$505,$M356)="","",INDEX('Line Detail'!$R$6:$R$505,$M356)))</f>
        <v/>
      </c>
      <c r="K356" s="6" t="str">
        <f aca="false">IF($M356=0,"",IF(INDEX('Line Detail'!$S$6:$S$505,$M356)="","",INDEX('Line Detail'!$S$6:$S$505,$M356)))</f>
        <v/>
      </c>
      <c r="L356" s="1"/>
      <c r="M356" s="63" t="n">
        <f aca="false">IFERROR(MATCH(351,'Line Detail'!$W$6:$W$505,0),0)</f>
        <v>0</v>
      </c>
    </row>
    <row r="357" customFormat="false" ht="15" hidden="false" customHeight="false" outlineLevel="0" collapsed="false">
      <c r="A357" s="13" t="str">
        <f aca="false">IF($M357=0,"",352)</f>
        <v/>
      </c>
      <c r="B357" s="13" t="str">
        <f aca="false">IF($M357=0,"",IF(INDEX('Line Detail'!$B$6:$B$505,$M357)="","",INDEX('Line Detail'!$B$6:$B$505,$M357)))</f>
        <v/>
      </c>
      <c r="C357" s="13" t="str">
        <f aca="false">IF($M357=0,"",IF(INDEX('Line Detail'!$C$6:$C$505,$M357)="","",INDEX('Line Detail'!$C$6:$C$505,$M357)))</f>
        <v/>
      </c>
      <c r="D357" s="13" t="str">
        <f aca="false">IF($M357=0,"",IF(INDEX('Line Detail'!$D$6:$D$505,$M357)="","",INDEX('Line Detail'!$D$6:$D$505,$M357)))</f>
        <v/>
      </c>
      <c r="E357" s="13" t="str">
        <f aca="false">IF($M357=0,"",IF(INDEX('Line Detail'!$E$6:$E$505,$M357)="","",INDEX('Line Detail'!$E$6:$E$505,$M357)))</f>
        <v/>
      </c>
      <c r="F357" s="6" t="str">
        <f aca="false">IF($M357=0,"",IF(INDEX('Line Detail'!$F$6:$F$505,$M357)="","",INDEX('Line Detail'!$F$6:$F$505,$M357)))</f>
        <v/>
      </c>
      <c r="G357" s="62" t="str">
        <f aca="false">IF($M357=0,"",IF(INDEX('Line Detail'!$G$6:$G$505,$M357)="","",INDEX('Line Detail'!$G$6:$G$505,$M357)))</f>
        <v/>
      </c>
      <c r="H357" s="13" t="str">
        <f aca="false">IF($M357=0,"",IF(INDEX('Line Detail'!$H$6:$H$505,$M357)="","",INDEX('Line Detail'!$H$6:$H$505,$M357)))</f>
        <v/>
      </c>
      <c r="I357" s="34" t="str">
        <f aca="false">IF($M357=0,"",IF(INDEX('Line Detail'!$O$6:$O$505,$M357)="","",INDEX('Line Detail'!$O$6:$O$505,$M357)))</f>
        <v/>
      </c>
      <c r="J357" s="34" t="str">
        <f aca="false">IF($M357=0,"",IF(INDEX('Line Detail'!$R$6:$R$505,$M357)="","",INDEX('Line Detail'!$R$6:$R$505,$M357)))</f>
        <v/>
      </c>
      <c r="K357" s="6" t="str">
        <f aca="false">IF($M357=0,"",IF(INDEX('Line Detail'!$S$6:$S$505,$M357)="","",INDEX('Line Detail'!$S$6:$S$505,$M357)))</f>
        <v/>
      </c>
      <c r="L357" s="1"/>
      <c r="M357" s="63" t="n">
        <f aca="false">IFERROR(MATCH(352,'Line Detail'!$W$6:$W$505,0),0)</f>
        <v>0</v>
      </c>
    </row>
    <row r="358" customFormat="false" ht="15" hidden="false" customHeight="false" outlineLevel="0" collapsed="false">
      <c r="A358" s="13" t="str">
        <f aca="false">IF($M358=0,"",353)</f>
        <v/>
      </c>
      <c r="B358" s="13" t="str">
        <f aca="false">IF($M358=0,"",IF(INDEX('Line Detail'!$B$6:$B$505,$M358)="","",INDEX('Line Detail'!$B$6:$B$505,$M358)))</f>
        <v/>
      </c>
      <c r="C358" s="13" t="str">
        <f aca="false">IF($M358=0,"",IF(INDEX('Line Detail'!$C$6:$C$505,$M358)="","",INDEX('Line Detail'!$C$6:$C$505,$M358)))</f>
        <v/>
      </c>
      <c r="D358" s="13" t="str">
        <f aca="false">IF($M358=0,"",IF(INDEX('Line Detail'!$D$6:$D$505,$M358)="","",INDEX('Line Detail'!$D$6:$D$505,$M358)))</f>
        <v/>
      </c>
      <c r="E358" s="13" t="str">
        <f aca="false">IF($M358=0,"",IF(INDEX('Line Detail'!$E$6:$E$505,$M358)="","",INDEX('Line Detail'!$E$6:$E$505,$M358)))</f>
        <v/>
      </c>
      <c r="F358" s="6" t="str">
        <f aca="false">IF($M358=0,"",IF(INDEX('Line Detail'!$F$6:$F$505,$M358)="","",INDEX('Line Detail'!$F$6:$F$505,$M358)))</f>
        <v/>
      </c>
      <c r="G358" s="62" t="str">
        <f aca="false">IF($M358=0,"",IF(INDEX('Line Detail'!$G$6:$G$505,$M358)="","",INDEX('Line Detail'!$G$6:$G$505,$M358)))</f>
        <v/>
      </c>
      <c r="H358" s="13" t="str">
        <f aca="false">IF($M358=0,"",IF(INDEX('Line Detail'!$H$6:$H$505,$M358)="","",INDEX('Line Detail'!$H$6:$H$505,$M358)))</f>
        <v/>
      </c>
      <c r="I358" s="34" t="str">
        <f aca="false">IF($M358=0,"",IF(INDEX('Line Detail'!$O$6:$O$505,$M358)="","",INDEX('Line Detail'!$O$6:$O$505,$M358)))</f>
        <v/>
      </c>
      <c r="J358" s="34" t="str">
        <f aca="false">IF($M358=0,"",IF(INDEX('Line Detail'!$R$6:$R$505,$M358)="","",INDEX('Line Detail'!$R$6:$R$505,$M358)))</f>
        <v/>
      </c>
      <c r="K358" s="6" t="str">
        <f aca="false">IF($M358=0,"",IF(INDEX('Line Detail'!$S$6:$S$505,$M358)="","",INDEX('Line Detail'!$S$6:$S$505,$M358)))</f>
        <v/>
      </c>
      <c r="L358" s="1"/>
      <c r="M358" s="63" t="n">
        <f aca="false">IFERROR(MATCH(353,'Line Detail'!$W$6:$W$505,0),0)</f>
        <v>0</v>
      </c>
    </row>
    <row r="359" customFormat="false" ht="15" hidden="false" customHeight="false" outlineLevel="0" collapsed="false">
      <c r="A359" s="13" t="str">
        <f aca="false">IF($M359=0,"",354)</f>
        <v/>
      </c>
      <c r="B359" s="13" t="str">
        <f aca="false">IF($M359=0,"",IF(INDEX('Line Detail'!$B$6:$B$505,$M359)="","",INDEX('Line Detail'!$B$6:$B$505,$M359)))</f>
        <v/>
      </c>
      <c r="C359" s="13" t="str">
        <f aca="false">IF($M359=0,"",IF(INDEX('Line Detail'!$C$6:$C$505,$M359)="","",INDEX('Line Detail'!$C$6:$C$505,$M359)))</f>
        <v/>
      </c>
      <c r="D359" s="13" t="str">
        <f aca="false">IF($M359=0,"",IF(INDEX('Line Detail'!$D$6:$D$505,$M359)="","",INDEX('Line Detail'!$D$6:$D$505,$M359)))</f>
        <v/>
      </c>
      <c r="E359" s="13" t="str">
        <f aca="false">IF($M359=0,"",IF(INDEX('Line Detail'!$E$6:$E$505,$M359)="","",INDEX('Line Detail'!$E$6:$E$505,$M359)))</f>
        <v/>
      </c>
      <c r="F359" s="6" t="str">
        <f aca="false">IF($M359=0,"",IF(INDEX('Line Detail'!$F$6:$F$505,$M359)="","",INDEX('Line Detail'!$F$6:$F$505,$M359)))</f>
        <v/>
      </c>
      <c r="G359" s="62" t="str">
        <f aca="false">IF($M359=0,"",IF(INDEX('Line Detail'!$G$6:$G$505,$M359)="","",INDEX('Line Detail'!$G$6:$G$505,$M359)))</f>
        <v/>
      </c>
      <c r="H359" s="13" t="str">
        <f aca="false">IF($M359=0,"",IF(INDEX('Line Detail'!$H$6:$H$505,$M359)="","",INDEX('Line Detail'!$H$6:$H$505,$M359)))</f>
        <v/>
      </c>
      <c r="I359" s="34" t="str">
        <f aca="false">IF($M359=0,"",IF(INDEX('Line Detail'!$O$6:$O$505,$M359)="","",INDEX('Line Detail'!$O$6:$O$505,$M359)))</f>
        <v/>
      </c>
      <c r="J359" s="34" t="str">
        <f aca="false">IF($M359=0,"",IF(INDEX('Line Detail'!$R$6:$R$505,$M359)="","",INDEX('Line Detail'!$R$6:$R$505,$M359)))</f>
        <v/>
      </c>
      <c r="K359" s="6" t="str">
        <f aca="false">IF($M359=0,"",IF(INDEX('Line Detail'!$S$6:$S$505,$M359)="","",INDEX('Line Detail'!$S$6:$S$505,$M359)))</f>
        <v/>
      </c>
      <c r="L359" s="1"/>
      <c r="M359" s="63" t="n">
        <f aca="false">IFERROR(MATCH(354,'Line Detail'!$W$6:$W$505,0),0)</f>
        <v>0</v>
      </c>
    </row>
    <row r="360" customFormat="false" ht="15" hidden="false" customHeight="false" outlineLevel="0" collapsed="false">
      <c r="A360" s="13" t="str">
        <f aca="false">IF($M360=0,"",355)</f>
        <v/>
      </c>
      <c r="B360" s="13" t="str">
        <f aca="false">IF($M360=0,"",IF(INDEX('Line Detail'!$B$6:$B$505,$M360)="","",INDEX('Line Detail'!$B$6:$B$505,$M360)))</f>
        <v/>
      </c>
      <c r="C360" s="13" t="str">
        <f aca="false">IF($M360=0,"",IF(INDEX('Line Detail'!$C$6:$C$505,$M360)="","",INDEX('Line Detail'!$C$6:$C$505,$M360)))</f>
        <v/>
      </c>
      <c r="D360" s="13" t="str">
        <f aca="false">IF($M360=0,"",IF(INDEX('Line Detail'!$D$6:$D$505,$M360)="","",INDEX('Line Detail'!$D$6:$D$505,$M360)))</f>
        <v/>
      </c>
      <c r="E360" s="13" t="str">
        <f aca="false">IF($M360=0,"",IF(INDEX('Line Detail'!$E$6:$E$505,$M360)="","",INDEX('Line Detail'!$E$6:$E$505,$M360)))</f>
        <v/>
      </c>
      <c r="F360" s="6" t="str">
        <f aca="false">IF($M360=0,"",IF(INDEX('Line Detail'!$F$6:$F$505,$M360)="","",INDEX('Line Detail'!$F$6:$F$505,$M360)))</f>
        <v/>
      </c>
      <c r="G360" s="62" t="str">
        <f aca="false">IF($M360=0,"",IF(INDEX('Line Detail'!$G$6:$G$505,$M360)="","",INDEX('Line Detail'!$G$6:$G$505,$M360)))</f>
        <v/>
      </c>
      <c r="H360" s="13" t="str">
        <f aca="false">IF($M360=0,"",IF(INDEX('Line Detail'!$H$6:$H$505,$M360)="","",INDEX('Line Detail'!$H$6:$H$505,$M360)))</f>
        <v/>
      </c>
      <c r="I360" s="34" t="str">
        <f aca="false">IF($M360=0,"",IF(INDEX('Line Detail'!$O$6:$O$505,$M360)="","",INDEX('Line Detail'!$O$6:$O$505,$M360)))</f>
        <v/>
      </c>
      <c r="J360" s="34" t="str">
        <f aca="false">IF($M360=0,"",IF(INDEX('Line Detail'!$R$6:$R$505,$M360)="","",INDEX('Line Detail'!$R$6:$R$505,$M360)))</f>
        <v/>
      </c>
      <c r="K360" s="6" t="str">
        <f aca="false">IF($M360=0,"",IF(INDEX('Line Detail'!$S$6:$S$505,$M360)="","",INDEX('Line Detail'!$S$6:$S$505,$M360)))</f>
        <v/>
      </c>
      <c r="L360" s="1"/>
      <c r="M360" s="63" t="n">
        <f aca="false">IFERROR(MATCH(355,'Line Detail'!$W$6:$W$505,0),0)</f>
        <v>0</v>
      </c>
    </row>
    <row r="361" customFormat="false" ht="15" hidden="false" customHeight="false" outlineLevel="0" collapsed="false">
      <c r="A361" s="13" t="str">
        <f aca="false">IF($M361=0,"",356)</f>
        <v/>
      </c>
      <c r="B361" s="13" t="str">
        <f aca="false">IF($M361=0,"",IF(INDEX('Line Detail'!$B$6:$B$505,$M361)="","",INDEX('Line Detail'!$B$6:$B$505,$M361)))</f>
        <v/>
      </c>
      <c r="C361" s="13" t="str">
        <f aca="false">IF($M361=0,"",IF(INDEX('Line Detail'!$C$6:$C$505,$M361)="","",INDEX('Line Detail'!$C$6:$C$505,$M361)))</f>
        <v/>
      </c>
      <c r="D361" s="13" t="str">
        <f aca="false">IF($M361=0,"",IF(INDEX('Line Detail'!$D$6:$D$505,$M361)="","",INDEX('Line Detail'!$D$6:$D$505,$M361)))</f>
        <v/>
      </c>
      <c r="E361" s="13" t="str">
        <f aca="false">IF($M361=0,"",IF(INDEX('Line Detail'!$E$6:$E$505,$M361)="","",INDEX('Line Detail'!$E$6:$E$505,$M361)))</f>
        <v/>
      </c>
      <c r="F361" s="6" t="str">
        <f aca="false">IF($M361=0,"",IF(INDEX('Line Detail'!$F$6:$F$505,$M361)="","",INDEX('Line Detail'!$F$6:$F$505,$M361)))</f>
        <v/>
      </c>
      <c r="G361" s="62" t="str">
        <f aca="false">IF($M361=0,"",IF(INDEX('Line Detail'!$G$6:$G$505,$M361)="","",INDEX('Line Detail'!$G$6:$G$505,$M361)))</f>
        <v/>
      </c>
      <c r="H361" s="13" t="str">
        <f aca="false">IF($M361=0,"",IF(INDEX('Line Detail'!$H$6:$H$505,$M361)="","",INDEX('Line Detail'!$H$6:$H$505,$M361)))</f>
        <v/>
      </c>
      <c r="I361" s="34" t="str">
        <f aca="false">IF($M361=0,"",IF(INDEX('Line Detail'!$O$6:$O$505,$M361)="","",INDEX('Line Detail'!$O$6:$O$505,$M361)))</f>
        <v/>
      </c>
      <c r="J361" s="34" t="str">
        <f aca="false">IF($M361=0,"",IF(INDEX('Line Detail'!$R$6:$R$505,$M361)="","",INDEX('Line Detail'!$R$6:$R$505,$M361)))</f>
        <v/>
      </c>
      <c r="K361" s="6" t="str">
        <f aca="false">IF($M361=0,"",IF(INDEX('Line Detail'!$S$6:$S$505,$M361)="","",INDEX('Line Detail'!$S$6:$S$505,$M361)))</f>
        <v/>
      </c>
      <c r="L361" s="1"/>
      <c r="M361" s="63" t="n">
        <f aca="false">IFERROR(MATCH(356,'Line Detail'!$W$6:$W$505,0),0)</f>
        <v>0</v>
      </c>
    </row>
    <row r="362" customFormat="false" ht="15" hidden="false" customHeight="false" outlineLevel="0" collapsed="false">
      <c r="A362" s="13" t="str">
        <f aca="false">IF($M362=0,"",357)</f>
        <v/>
      </c>
      <c r="B362" s="13" t="str">
        <f aca="false">IF($M362=0,"",IF(INDEX('Line Detail'!$B$6:$B$505,$M362)="","",INDEX('Line Detail'!$B$6:$B$505,$M362)))</f>
        <v/>
      </c>
      <c r="C362" s="13" t="str">
        <f aca="false">IF($M362=0,"",IF(INDEX('Line Detail'!$C$6:$C$505,$M362)="","",INDEX('Line Detail'!$C$6:$C$505,$M362)))</f>
        <v/>
      </c>
      <c r="D362" s="13" t="str">
        <f aca="false">IF($M362=0,"",IF(INDEX('Line Detail'!$D$6:$D$505,$M362)="","",INDEX('Line Detail'!$D$6:$D$505,$M362)))</f>
        <v/>
      </c>
      <c r="E362" s="13" t="str">
        <f aca="false">IF($M362=0,"",IF(INDEX('Line Detail'!$E$6:$E$505,$M362)="","",INDEX('Line Detail'!$E$6:$E$505,$M362)))</f>
        <v/>
      </c>
      <c r="F362" s="6" t="str">
        <f aca="false">IF($M362=0,"",IF(INDEX('Line Detail'!$F$6:$F$505,$M362)="","",INDEX('Line Detail'!$F$6:$F$505,$M362)))</f>
        <v/>
      </c>
      <c r="G362" s="62" t="str">
        <f aca="false">IF($M362=0,"",IF(INDEX('Line Detail'!$G$6:$G$505,$M362)="","",INDEX('Line Detail'!$G$6:$G$505,$M362)))</f>
        <v/>
      </c>
      <c r="H362" s="13" t="str">
        <f aca="false">IF($M362=0,"",IF(INDEX('Line Detail'!$H$6:$H$505,$M362)="","",INDEX('Line Detail'!$H$6:$H$505,$M362)))</f>
        <v/>
      </c>
      <c r="I362" s="34" t="str">
        <f aca="false">IF($M362=0,"",IF(INDEX('Line Detail'!$O$6:$O$505,$M362)="","",INDEX('Line Detail'!$O$6:$O$505,$M362)))</f>
        <v/>
      </c>
      <c r="J362" s="34" t="str">
        <f aca="false">IF($M362=0,"",IF(INDEX('Line Detail'!$R$6:$R$505,$M362)="","",INDEX('Line Detail'!$R$6:$R$505,$M362)))</f>
        <v/>
      </c>
      <c r="K362" s="6" t="str">
        <f aca="false">IF($M362=0,"",IF(INDEX('Line Detail'!$S$6:$S$505,$M362)="","",INDEX('Line Detail'!$S$6:$S$505,$M362)))</f>
        <v/>
      </c>
      <c r="L362" s="1"/>
      <c r="M362" s="63" t="n">
        <f aca="false">IFERROR(MATCH(357,'Line Detail'!$W$6:$W$505,0),0)</f>
        <v>0</v>
      </c>
    </row>
    <row r="363" customFormat="false" ht="15" hidden="false" customHeight="false" outlineLevel="0" collapsed="false">
      <c r="A363" s="13" t="str">
        <f aca="false">IF($M363=0,"",358)</f>
        <v/>
      </c>
      <c r="B363" s="13" t="str">
        <f aca="false">IF($M363=0,"",IF(INDEX('Line Detail'!$B$6:$B$505,$M363)="","",INDEX('Line Detail'!$B$6:$B$505,$M363)))</f>
        <v/>
      </c>
      <c r="C363" s="13" t="str">
        <f aca="false">IF($M363=0,"",IF(INDEX('Line Detail'!$C$6:$C$505,$M363)="","",INDEX('Line Detail'!$C$6:$C$505,$M363)))</f>
        <v/>
      </c>
      <c r="D363" s="13" t="str">
        <f aca="false">IF($M363=0,"",IF(INDEX('Line Detail'!$D$6:$D$505,$M363)="","",INDEX('Line Detail'!$D$6:$D$505,$M363)))</f>
        <v/>
      </c>
      <c r="E363" s="13" t="str">
        <f aca="false">IF($M363=0,"",IF(INDEX('Line Detail'!$E$6:$E$505,$M363)="","",INDEX('Line Detail'!$E$6:$E$505,$M363)))</f>
        <v/>
      </c>
      <c r="F363" s="6" t="str">
        <f aca="false">IF($M363=0,"",IF(INDEX('Line Detail'!$F$6:$F$505,$M363)="","",INDEX('Line Detail'!$F$6:$F$505,$M363)))</f>
        <v/>
      </c>
      <c r="G363" s="62" t="str">
        <f aca="false">IF($M363=0,"",IF(INDEX('Line Detail'!$G$6:$G$505,$M363)="","",INDEX('Line Detail'!$G$6:$G$505,$M363)))</f>
        <v/>
      </c>
      <c r="H363" s="13" t="str">
        <f aca="false">IF($M363=0,"",IF(INDEX('Line Detail'!$H$6:$H$505,$M363)="","",INDEX('Line Detail'!$H$6:$H$505,$M363)))</f>
        <v/>
      </c>
      <c r="I363" s="34" t="str">
        <f aca="false">IF($M363=0,"",IF(INDEX('Line Detail'!$O$6:$O$505,$M363)="","",INDEX('Line Detail'!$O$6:$O$505,$M363)))</f>
        <v/>
      </c>
      <c r="J363" s="34" t="str">
        <f aca="false">IF($M363=0,"",IF(INDEX('Line Detail'!$R$6:$R$505,$M363)="","",INDEX('Line Detail'!$R$6:$R$505,$M363)))</f>
        <v/>
      </c>
      <c r="K363" s="6" t="str">
        <f aca="false">IF($M363=0,"",IF(INDEX('Line Detail'!$S$6:$S$505,$M363)="","",INDEX('Line Detail'!$S$6:$S$505,$M363)))</f>
        <v/>
      </c>
      <c r="L363" s="1"/>
      <c r="M363" s="63" t="n">
        <f aca="false">IFERROR(MATCH(358,'Line Detail'!$W$6:$W$505,0),0)</f>
        <v>0</v>
      </c>
    </row>
    <row r="364" customFormat="false" ht="15" hidden="false" customHeight="false" outlineLevel="0" collapsed="false">
      <c r="A364" s="13" t="str">
        <f aca="false">IF($M364=0,"",359)</f>
        <v/>
      </c>
      <c r="B364" s="13" t="str">
        <f aca="false">IF($M364=0,"",IF(INDEX('Line Detail'!$B$6:$B$505,$M364)="","",INDEX('Line Detail'!$B$6:$B$505,$M364)))</f>
        <v/>
      </c>
      <c r="C364" s="13" t="str">
        <f aca="false">IF($M364=0,"",IF(INDEX('Line Detail'!$C$6:$C$505,$M364)="","",INDEX('Line Detail'!$C$6:$C$505,$M364)))</f>
        <v/>
      </c>
      <c r="D364" s="13" t="str">
        <f aca="false">IF($M364=0,"",IF(INDEX('Line Detail'!$D$6:$D$505,$M364)="","",INDEX('Line Detail'!$D$6:$D$505,$M364)))</f>
        <v/>
      </c>
      <c r="E364" s="13" t="str">
        <f aca="false">IF($M364=0,"",IF(INDEX('Line Detail'!$E$6:$E$505,$M364)="","",INDEX('Line Detail'!$E$6:$E$505,$M364)))</f>
        <v/>
      </c>
      <c r="F364" s="6" t="str">
        <f aca="false">IF($M364=0,"",IF(INDEX('Line Detail'!$F$6:$F$505,$M364)="","",INDEX('Line Detail'!$F$6:$F$505,$M364)))</f>
        <v/>
      </c>
      <c r="G364" s="62" t="str">
        <f aca="false">IF($M364=0,"",IF(INDEX('Line Detail'!$G$6:$G$505,$M364)="","",INDEX('Line Detail'!$G$6:$G$505,$M364)))</f>
        <v/>
      </c>
      <c r="H364" s="13" t="str">
        <f aca="false">IF($M364=0,"",IF(INDEX('Line Detail'!$H$6:$H$505,$M364)="","",INDEX('Line Detail'!$H$6:$H$505,$M364)))</f>
        <v/>
      </c>
      <c r="I364" s="34" t="str">
        <f aca="false">IF($M364=0,"",IF(INDEX('Line Detail'!$O$6:$O$505,$M364)="","",INDEX('Line Detail'!$O$6:$O$505,$M364)))</f>
        <v/>
      </c>
      <c r="J364" s="34" t="str">
        <f aca="false">IF($M364=0,"",IF(INDEX('Line Detail'!$R$6:$R$505,$M364)="","",INDEX('Line Detail'!$R$6:$R$505,$M364)))</f>
        <v/>
      </c>
      <c r="K364" s="6" t="str">
        <f aca="false">IF($M364=0,"",IF(INDEX('Line Detail'!$S$6:$S$505,$M364)="","",INDEX('Line Detail'!$S$6:$S$505,$M364)))</f>
        <v/>
      </c>
      <c r="L364" s="1"/>
      <c r="M364" s="63" t="n">
        <f aca="false">IFERROR(MATCH(359,'Line Detail'!$W$6:$W$505,0),0)</f>
        <v>0</v>
      </c>
    </row>
    <row r="365" customFormat="false" ht="15" hidden="false" customHeight="false" outlineLevel="0" collapsed="false">
      <c r="A365" s="13" t="str">
        <f aca="false">IF($M365=0,"",360)</f>
        <v/>
      </c>
      <c r="B365" s="13" t="str">
        <f aca="false">IF($M365=0,"",IF(INDEX('Line Detail'!$B$6:$B$505,$M365)="","",INDEX('Line Detail'!$B$6:$B$505,$M365)))</f>
        <v/>
      </c>
      <c r="C365" s="13" t="str">
        <f aca="false">IF($M365=0,"",IF(INDEX('Line Detail'!$C$6:$C$505,$M365)="","",INDEX('Line Detail'!$C$6:$C$505,$M365)))</f>
        <v/>
      </c>
      <c r="D365" s="13" t="str">
        <f aca="false">IF($M365=0,"",IF(INDEX('Line Detail'!$D$6:$D$505,$M365)="","",INDEX('Line Detail'!$D$6:$D$505,$M365)))</f>
        <v/>
      </c>
      <c r="E365" s="13" t="str">
        <f aca="false">IF($M365=0,"",IF(INDEX('Line Detail'!$E$6:$E$505,$M365)="","",INDEX('Line Detail'!$E$6:$E$505,$M365)))</f>
        <v/>
      </c>
      <c r="F365" s="6" t="str">
        <f aca="false">IF($M365=0,"",IF(INDEX('Line Detail'!$F$6:$F$505,$M365)="","",INDEX('Line Detail'!$F$6:$F$505,$M365)))</f>
        <v/>
      </c>
      <c r="G365" s="62" t="str">
        <f aca="false">IF($M365=0,"",IF(INDEX('Line Detail'!$G$6:$G$505,$M365)="","",INDEX('Line Detail'!$G$6:$G$505,$M365)))</f>
        <v/>
      </c>
      <c r="H365" s="13" t="str">
        <f aca="false">IF($M365=0,"",IF(INDEX('Line Detail'!$H$6:$H$505,$M365)="","",INDEX('Line Detail'!$H$6:$H$505,$M365)))</f>
        <v/>
      </c>
      <c r="I365" s="34" t="str">
        <f aca="false">IF($M365=0,"",IF(INDEX('Line Detail'!$O$6:$O$505,$M365)="","",INDEX('Line Detail'!$O$6:$O$505,$M365)))</f>
        <v/>
      </c>
      <c r="J365" s="34" t="str">
        <f aca="false">IF($M365=0,"",IF(INDEX('Line Detail'!$R$6:$R$505,$M365)="","",INDEX('Line Detail'!$R$6:$R$505,$M365)))</f>
        <v/>
      </c>
      <c r="K365" s="6" t="str">
        <f aca="false">IF($M365=0,"",IF(INDEX('Line Detail'!$S$6:$S$505,$M365)="","",INDEX('Line Detail'!$S$6:$S$505,$M365)))</f>
        <v/>
      </c>
      <c r="L365" s="1"/>
      <c r="M365" s="63" t="n">
        <f aca="false">IFERROR(MATCH(360,'Line Detail'!$W$6:$W$505,0),0)</f>
        <v>0</v>
      </c>
    </row>
    <row r="366" customFormat="false" ht="15" hidden="false" customHeight="false" outlineLevel="0" collapsed="false">
      <c r="A366" s="13" t="str">
        <f aca="false">IF($M366=0,"",361)</f>
        <v/>
      </c>
      <c r="B366" s="13" t="str">
        <f aca="false">IF($M366=0,"",IF(INDEX('Line Detail'!$B$6:$B$505,$M366)="","",INDEX('Line Detail'!$B$6:$B$505,$M366)))</f>
        <v/>
      </c>
      <c r="C366" s="13" t="str">
        <f aca="false">IF($M366=0,"",IF(INDEX('Line Detail'!$C$6:$C$505,$M366)="","",INDEX('Line Detail'!$C$6:$C$505,$M366)))</f>
        <v/>
      </c>
      <c r="D366" s="13" t="str">
        <f aca="false">IF($M366=0,"",IF(INDEX('Line Detail'!$D$6:$D$505,$M366)="","",INDEX('Line Detail'!$D$6:$D$505,$M366)))</f>
        <v/>
      </c>
      <c r="E366" s="13" t="str">
        <f aca="false">IF($M366=0,"",IF(INDEX('Line Detail'!$E$6:$E$505,$M366)="","",INDEX('Line Detail'!$E$6:$E$505,$M366)))</f>
        <v/>
      </c>
      <c r="F366" s="6" t="str">
        <f aca="false">IF($M366=0,"",IF(INDEX('Line Detail'!$F$6:$F$505,$M366)="","",INDEX('Line Detail'!$F$6:$F$505,$M366)))</f>
        <v/>
      </c>
      <c r="G366" s="62" t="str">
        <f aca="false">IF($M366=0,"",IF(INDEX('Line Detail'!$G$6:$G$505,$M366)="","",INDEX('Line Detail'!$G$6:$G$505,$M366)))</f>
        <v/>
      </c>
      <c r="H366" s="13" t="str">
        <f aca="false">IF($M366=0,"",IF(INDEX('Line Detail'!$H$6:$H$505,$M366)="","",INDEX('Line Detail'!$H$6:$H$505,$M366)))</f>
        <v/>
      </c>
      <c r="I366" s="34" t="str">
        <f aca="false">IF($M366=0,"",IF(INDEX('Line Detail'!$O$6:$O$505,$M366)="","",INDEX('Line Detail'!$O$6:$O$505,$M366)))</f>
        <v/>
      </c>
      <c r="J366" s="34" t="str">
        <f aca="false">IF($M366=0,"",IF(INDEX('Line Detail'!$R$6:$R$505,$M366)="","",INDEX('Line Detail'!$R$6:$R$505,$M366)))</f>
        <v/>
      </c>
      <c r="K366" s="6" t="str">
        <f aca="false">IF($M366=0,"",IF(INDEX('Line Detail'!$S$6:$S$505,$M366)="","",INDEX('Line Detail'!$S$6:$S$505,$M366)))</f>
        <v/>
      </c>
      <c r="L366" s="1"/>
      <c r="M366" s="63" t="n">
        <f aca="false">IFERROR(MATCH(361,'Line Detail'!$W$6:$W$505,0),0)</f>
        <v>0</v>
      </c>
    </row>
    <row r="367" customFormat="false" ht="15" hidden="false" customHeight="false" outlineLevel="0" collapsed="false">
      <c r="A367" s="13" t="str">
        <f aca="false">IF($M367=0,"",362)</f>
        <v/>
      </c>
      <c r="B367" s="13" t="str">
        <f aca="false">IF($M367=0,"",IF(INDEX('Line Detail'!$B$6:$B$505,$M367)="","",INDEX('Line Detail'!$B$6:$B$505,$M367)))</f>
        <v/>
      </c>
      <c r="C367" s="13" t="str">
        <f aca="false">IF($M367=0,"",IF(INDEX('Line Detail'!$C$6:$C$505,$M367)="","",INDEX('Line Detail'!$C$6:$C$505,$M367)))</f>
        <v/>
      </c>
      <c r="D367" s="13" t="str">
        <f aca="false">IF($M367=0,"",IF(INDEX('Line Detail'!$D$6:$D$505,$M367)="","",INDEX('Line Detail'!$D$6:$D$505,$M367)))</f>
        <v/>
      </c>
      <c r="E367" s="13" t="str">
        <f aca="false">IF($M367=0,"",IF(INDEX('Line Detail'!$E$6:$E$505,$M367)="","",INDEX('Line Detail'!$E$6:$E$505,$M367)))</f>
        <v/>
      </c>
      <c r="F367" s="6" t="str">
        <f aca="false">IF($M367=0,"",IF(INDEX('Line Detail'!$F$6:$F$505,$M367)="","",INDEX('Line Detail'!$F$6:$F$505,$M367)))</f>
        <v/>
      </c>
      <c r="G367" s="62" t="str">
        <f aca="false">IF($M367=0,"",IF(INDEX('Line Detail'!$G$6:$G$505,$M367)="","",INDEX('Line Detail'!$G$6:$G$505,$M367)))</f>
        <v/>
      </c>
      <c r="H367" s="13" t="str">
        <f aca="false">IF($M367=0,"",IF(INDEX('Line Detail'!$H$6:$H$505,$M367)="","",INDEX('Line Detail'!$H$6:$H$505,$M367)))</f>
        <v/>
      </c>
      <c r="I367" s="34" t="str">
        <f aca="false">IF($M367=0,"",IF(INDEX('Line Detail'!$O$6:$O$505,$M367)="","",INDEX('Line Detail'!$O$6:$O$505,$M367)))</f>
        <v/>
      </c>
      <c r="J367" s="34" t="str">
        <f aca="false">IF($M367=0,"",IF(INDEX('Line Detail'!$R$6:$R$505,$M367)="","",INDEX('Line Detail'!$R$6:$R$505,$M367)))</f>
        <v/>
      </c>
      <c r="K367" s="6" t="str">
        <f aca="false">IF($M367=0,"",IF(INDEX('Line Detail'!$S$6:$S$505,$M367)="","",INDEX('Line Detail'!$S$6:$S$505,$M367)))</f>
        <v/>
      </c>
      <c r="L367" s="1"/>
      <c r="M367" s="63" t="n">
        <f aca="false">IFERROR(MATCH(362,'Line Detail'!$W$6:$W$505,0),0)</f>
        <v>0</v>
      </c>
    </row>
    <row r="368" customFormat="false" ht="15" hidden="false" customHeight="false" outlineLevel="0" collapsed="false">
      <c r="A368" s="13" t="str">
        <f aca="false">IF($M368=0,"",363)</f>
        <v/>
      </c>
      <c r="B368" s="13" t="str">
        <f aca="false">IF($M368=0,"",IF(INDEX('Line Detail'!$B$6:$B$505,$M368)="","",INDEX('Line Detail'!$B$6:$B$505,$M368)))</f>
        <v/>
      </c>
      <c r="C368" s="13" t="str">
        <f aca="false">IF($M368=0,"",IF(INDEX('Line Detail'!$C$6:$C$505,$M368)="","",INDEX('Line Detail'!$C$6:$C$505,$M368)))</f>
        <v/>
      </c>
      <c r="D368" s="13" t="str">
        <f aca="false">IF($M368=0,"",IF(INDEX('Line Detail'!$D$6:$D$505,$M368)="","",INDEX('Line Detail'!$D$6:$D$505,$M368)))</f>
        <v/>
      </c>
      <c r="E368" s="13" t="str">
        <f aca="false">IF($M368=0,"",IF(INDEX('Line Detail'!$E$6:$E$505,$M368)="","",INDEX('Line Detail'!$E$6:$E$505,$M368)))</f>
        <v/>
      </c>
      <c r="F368" s="6" t="str">
        <f aca="false">IF($M368=0,"",IF(INDEX('Line Detail'!$F$6:$F$505,$M368)="","",INDEX('Line Detail'!$F$6:$F$505,$M368)))</f>
        <v/>
      </c>
      <c r="G368" s="62" t="str">
        <f aca="false">IF($M368=0,"",IF(INDEX('Line Detail'!$G$6:$G$505,$M368)="","",INDEX('Line Detail'!$G$6:$G$505,$M368)))</f>
        <v/>
      </c>
      <c r="H368" s="13" t="str">
        <f aca="false">IF($M368=0,"",IF(INDEX('Line Detail'!$H$6:$H$505,$M368)="","",INDEX('Line Detail'!$H$6:$H$505,$M368)))</f>
        <v/>
      </c>
      <c r="I368" s="34" t="str">
        <f aca="false">IF($M368=0,"",IF(INDEX('Line Detail'!$O$6:$O$505,$M368)="","",INDEX('Line Detail'!$O$6:$O$505,$M368)))</f>
        <v/>
      </c>
      <c r="J368" s="34" t="str">
        <f aca="false">IF($M368=0,"",IF(INDEX('Line Detail'!$R$6:$R$505,$M368)="","",INDEX('Line Detail'!$R$6:$R$505,$M368)))</f>
        <v/>
      </c>
      <c r="K368" s="6" t="str">
        <f aca="false">IF($M368=0,"",IF(INDEX('Line Detail'!$S$6:$S$505,$M368)="","",INDEX('Line Detail'!$S$6:$S$505,$M368)))</f>
        <v/>
      </c>
      <c r="L368" s="1"/>
      <c r="M368" s="63" t="n">
        <f aca="false">IFERROR(MATCH(363,'Line Detail'!$W$6:$W$505,0),0)</f>
        <v>0</v>
      </c>
    </row>
    <row r="369" customFormat="false" ht="15" hidden="false" customHeight="false" outlineLevel="0" collapsed="false">
      <c r="A369" s="13" t="str">
        <f aca="false">IF($M369=0,"",364)</f>
        <v/>
      </c>
      <c r="B369" s="13" t="str">
        <f aca="false">IF($M369=0,"",IF(INDEX('Line Detail'!$B$6:$B$505,$M369)="","",INDEX('Line Detail'!$B$6:$B$505,$M369)))</f>
        <v/>
      </c>
      <c r="C369" s="13" t="str">
        <f aca="false">IF($M369=0,"",IF(INDEX('Line Detail'!$C$6:$C$505,$M369)="","",INDEX('Line Detail'!$C$6:$C$505,$M369)))</f>
        <v/>
      </c>
      <c r="D369" s="13" t="str">
        <f aca="false">IF($M369=0,"",IF(INDEX('Line Detail'!$D$6:$D$505,$M369)="","",INDEX('Line Detail'!$D$6:$D$505,$M369)))</f>
        <v/>
      </c>
      <c r="E369" s="13" t="str">
        <f aca="false">IF($M369=0,"",IF(INDEX('Line Detail'!$E$6:$E$505,$M369)="","",INDEX('Line Detail'!$E$6:$E$505,$M369)))</f>
        <v/>
      </c>
      <c r="F369" s="6" t="str">
        <f aca="false">IF($M369=0,"",IF(INDEX('Line Detail'!$F$6:$F$505,$M369)="","",INDEX('Line Detail'!$F$6:$F$505,$M369)))</f>
        <v/>
      </c>
      <c r="G369" s="62" t="str">
        <f aca="false">IF($M369=0,"",IF(INDEX('Line Detail'!$G$6:$G$505,$M369)="","",INDEX('Line Detail'!$G$6:$G$505,$M369)))</f>
        <v/>
      </c>
      <c r="H369" s="13" t="str">
        <f aca="false">IF($M369=0,"",IF(INDEX('Line Detail'!$H$6:$H$505,$M369)="","",INDEX('Line Detail'!$H$6:$H$505,$M369)))</f>
        <v/>
      </c>
      <c r="I369" s="34" t="str">
        <f aca="false">IF($M369=0,"",IF(INDEX('Line Detail'!$O$6:$O$505,$M369)="","",INDEX('Line Detail'!$O$6:$O$505,$M369)))</f>
        <v/>
      </c>
      <c r="J369" s="34" t="str">
        <f aca="false">IF($M369=0,"",IF(INDEX('Line Detail'!$R$6:$R$505,$M369)="","",INDEX('Line Detail'!$R$6:$R$505,$M369)))</f>
        <v/>
      </c>
      <c r="K369" s="6" t="str">
        <f aca="false">IF($M369=0,"",IF(INDEX('Line Detail'!$S$6:$S$505,$M369)="","",INDEX('Line Detail'!$S$6:$S$505,$M369)))</f>
        <v/>
      </c>
      <c r="L369" s="1"/>
      <c r="M369" s="63" t="n">
        <f aca="false">IFERROR(MATCH(364,'Line Detail'!$W$6:$W$505,0),0)</f>
        <v>0</v>
      </c>
    </row>
    <row r="370" customFormat="false" ht="15" hidden="false" customHeight="false" outlineLevel="0" collapsed="false">
      <c r="A370" s="13" t="str">
        <f aca="false">IF($M370=0,"",365)</f>
        <v/>
      </c>
      <c r="B370" s="13" t="str">
        <f aca="false">IF($M370=0,"",IF(INDEX('Line Detail'!$B$6:$B$505,$M370)="","",INDEX('Line Detail'!$B$6:$B$505,$M370)))</f>
        <v/>
      </c>
      <c r="C370" s="13" t="str">
        <f aca="false">IF($M370=0,"",IF(INDEX('Line Detail'!$C$6:$C$505,$M370)="","",INDEX('Line Detail'!$C$6:$C$505,$M370)))</f>
        <v/>
      </c>
      <c r="D370" s="13" t="str">
        <f aca="false">IF($M370=0,"",IF(INDEX('Line Detail'!$D$6:$D$505,$M370)="","",INDEX('Line Detail'!$D$6:$D$505,$M370)))</f>
        <v/>
      </c>
      <c r="E370" s="13" t="str">
        <f aca="false">IF($M370=0,"",IF(INDEX('Line Detail'!$E$6:$E$505,$M370)="","",INDEX('Line Detail'!$E$6:$E$505,$M370)))</f>
        <v/>
      </c>
      <c r="F370" s="6" t="str">
        <f aca="false">IF($M370=0,"",IF(INDEX('Line Detail'!$F$6:$F$505,$M370)="","",INDEX('Line Detail'!$F$6:$F$505,$M370)))</f>
        <v/>
      </c>
      <c r="G370" s="62" t="str">
        <f aca="false">IF($M370=0,"",IF(INDEX('Line Detail'!$G$6:$G$505,$M370)="","",INDEX('Line Detail'!$G$6:$G$505,$M370)))</f>
        <v/>
      </c>
      <c r="H370" s="13" t="str">
        <f aca="false">IF($M370=0,"",IF(INDEX('Line Detail'!$H$6:$H$505,$M370)="","",INDEX('Line Detail'!$H$6:$H$505,$M370)))</f>
        <v/>
      </c>
      <c r="I370" s="34" t="str">
        <f aca="false">IF($M370=0,"",IF(INDEX('Line Detail'!$O$6:$O$505,$M370)="","",INDEX('Line Detail'!$O$6:$O$505,$M370)))</f>
        <v/>
      </c>
      <c r="J370" s="34" t="str">
        <f aca="false">IF($M370=0,"",IF(INDEX('Line Detail'!$R$6:$R$505,$M370)="","",INDEX('Line Detail'!$R$6:$R$505,$M370)))</f>
        <v/>
      </c>
      <c r="K370" s="6" t="str">
        <f aca="false">IF($M370=0,"",IF(INDEX('Line Detail'!$S$6:$S$505,$M370)="","",INDEX('Line Detail'!$S$6:$S$505,$M370)))</f>
        <v/>
      </c>
      <c r="L370" s="1"/>
      <c r="M370" s="63" t="n">
        <f aca="false">IFERROR(MATCH(365,'Line Detail'!$W$6:$W$505,0),0)</f>
        <v>0</v>
      </c>
    </row>
    <row r="371" customFormat="false" ht="15" hidden="false" customHeight="false" outlineLevel="0" collapsed="false">
      <c r="A371" s="13" t="str">
        <f aca="false">IF($M371=0,"",366)</f>
        <v/>
      </c>
      <c r="B371" s="13" t="str">
        <f aca="false">IF($M371=0,"",IF(INDEX('Line Detail'!$B$6:$B$505,$M371)="","",INDEX('Line Detail'!$B$6:$B$505,$M371)))</f>
        <v/>
      </c>
      <c r="C371" s="13" t="str">
        <f aca="false">IF($M371=0,"",IF(INDEX('Line Detail'!$C$6:$C$505,$M371)="","",INDEX('Line Detail'!$C$6:$C$505,$M371)))</f>
        <v/>
      </c>
      <c r="D371" s="13" t="str">
        <f aca="false">IF($M371=0,"",IF(INDEX('Line Detail'!$D$6:$D$505,$M371)="","",INDEX('Line Detail'!$D$6:$D$505,$M371)))</f>
        <v/>
      </c>
      <c r="E371" s="13" t="str">
        <f aca="false">IF($M371=0,"",IF(INDEX('Line Detail'!$E$6:$E$505,$M371)="","",INDEX('Line Detail'!$E$6:$E$505,$M371)))</f>
        <v/>
      </c>
      <c r="F371" s="6" t="str">
        <f aca="false">IF($M371=0,"",IF(INDEX('Line Detail'!$F$6:$F$505,$M371)="","",INDEX('Line Detail'!$F$6:$F$505,$M371)))</f>
        <v/>
      </c>
      <c r="G371" s="62" t="str">
        <f aca="false">IF($M371=0,"",IF(INDEX('Line Detail'!$G$6:$G$505,$M371)="","",INDEX('Line Detail'!$G$6:$G$505,$M371)))</f>
        <v/>
      </c>
      <c r="H371" s="13" t="str">
        <f aca="false">IF($M371=0,"",IF(INDEX('Line Detail'!$H$6:$H$505,$M371)="","",INDEX('Line Detail'!$H$6:$H$505,$M371)))</f>
        <v/>
      </c>
      <c r="I371" s="34" t="str">
        <f aca="false">IF($M371=0,"",IF(INDEX('Line Detail'!$O$6:$O$505,$M371)="","",INDEX('Line Detail'!$O$6:$O$505,$M371)))</f>
        <v/>
      </c>
      <c r="J371" s="34" t="str">
        <f aca="false">IF($M371=0,"",IF(INDEX('Line Detail'!$R$6:$R$505,$M371)="","",INDEX('Line Detail'!$R$6:$R$505,$M371)))</f>
        <v/>
      </c>
      <c r="K371" s="6" t="str">
        <f aca="false">IF($M371=0,"",IF(INDEX('Line Detail'!$S$6:$S$505,$M371)="","",INDEX('Line Detail'!$S$6:$S$505,$M371)))</f>
        <v/>
      </c>
      <c r="L371" s="1"/>
      <c r="M371" s="63" t="n">
        <f aca="false">IFERROR(MATCH(366,'Line Detail'!$W$6:$W$505,0),0)</f>
        <v>0</v>
      </c>
    </row>
    <row r="372" customFormat="false" ht="15" hidden="false" customHeight="false" outlineLevel="0" collapsed="false">
      <c r="A372" s="13" t="str">
        <f aca="false">IF($M372=0,"",367)</f>
        <v/>
      </c>
      <c r="B372" s="13" t="str">
        <f aca="false">IF($M372=0,"",IF(INDEX('Line Detail'!$B$6:$B$505,$M372)="","",INDEX('Line Detail'!$B$6:$B$505,$M372)))</f>
        <v/>
      </c>
      <c r="C372" s="13" t="str">
        <f aca="false">IF($M372=0,"",IF(INDEX('Line Detail'!$C$6:$C$505,$M372)="","",INDEX('Line Detail'!$C$6:$C$505,$M372)))</f>
        <v/>
      </c>
      <c r="D372" s="13" t="str">
        <f aca="false">IF($M372=0,"",IF(INDEX('Line Detail'!$D$6:$D$505,$M372)="","",INDEX('Line Detail'!$D$6:$D$505,$M372)))</f>
        <v/>
      </c>
      <c r="E372" s="13" t="str">
        <f aca="false">IF($M372=0,"",IF(INDEX('Line Detail'!$E$6:$E$505,$M372)="","",INDEX('Line Detail'!$E$6:$E$505,$M372)))</f>
        <v/>
      </c>
      <c r="F372" s="6" t="str">
        <f aca="false">IF($M372=0,"",IF(INDEX('Line Detail'!$F$6:$F$505,$M372)="","",INDEX('Line Detail'!$F$6:$F$505,$M372)))</f>
        <v/>
      </c>
      <c r="G372" s="62" t="str">
        <f aca="false">IF($M372=0,"",IF(INDEX('Line Detail'!$G$6:$G$505,$M372)="","",INDEX('Line Detail'!$G$6:$G$505,$M372)))</f>
        <v/>
      </c>
      <c r="H372" s="13" t="str">
        <f aca="false">IF($M372=0,"",IF(INDEX('Line Detail'!$H$6:$H$505,$M372)="","",INDEX('Line Detail'!$H$6:$H$505,$M372)))</f>
        <v/>
      </c>
      <c r="I372" s="34" t="str">
        <f aca="false">IF($M372=0,"",IF(INDEX('Line Detail'!$O$6:$O$505,$M372)="","",INDEX('Line Detail'!$O$6:$O$505,$M372)))</f>
        <v/>
      </c>
      <c r="J372" s="34" t="str">
        <f aca="false">IF($M372=0,"",IF(INDEX('Line Detail'!$R$6:$R$505,$M372)="","",INDEX('Line Detail'!$R$6:$R$505,$M372)))</f>
        <v/>
      </c>
      <c r="K372" s="6" t="str">
        <f aca="false">IF($M372=0,"",IF(INDEX('Line Detail'!$S$6:$S$505,$M372)="","",INDEX('Line Detail'!$S$6:$S$505,$M372)))</f>
        <v/>
      </c>
      <c r="L372" s="1"/>
      <c r="M372" s="63" t="n">
        <f aca="false">IFERROR(MATCH(367,'Line Detail'!$W$6:$W$505,0),0)</f>
        <v>0</v>
      </c>
    </row>
    <row r="373" customFormat="false" ht="15" hidden="false" customHeight="false" outlineLevel="0" collapsed="false">
      <c r="A373" s="13" t="str">
        <f aca="false">IF($M373=0,"",368)</f>
        <v/>
      </c>
      <c r="B373" s="13" t="str">
        <f aca="false">IF($M373=0,"",IF(INDEX('Line Detail'!$B$6:$B$505,$M373)="","",INDEX('Line Detail'!$B$6:$B$505,$M373)))</f>
        <v/>
      </c>
      <c r="C373" s="13" t="str">
        <f aca="false">IF($M373=0,"",IF(INDEX('Line Detail'!$C$6:$C$505,$M373)="","",INDEX('Line Detail'!$C$6:$C$505,$M373)))</f>
        <v/>
      </c>
      <c r="D373" s="13" t="str">
        <f aca="false">IF($M373=0,"",IF(INDEX('Line Detail'!$D$6:$D$505,$M373)="","",INDEX('Line Detail'!$D$6:$D$505,$M373)))</f>
        <v/>
      </c>
      <c r="E373" s="13" t="str">
        <f aca="false">IF($M373=0,"",IF(INDEX('Line Detail'!$E$6:$E$505,$M373)="","",INDEX('Line Detail'!$E$6:$E$505,$M373)))</f>
        <v/>
      </c>
      <c r="F373" s="6" t="str">
        <f aca="false">IF($M373=0,"",IF(INDEX('Line Detail'!$F$6:$F$505,$M373)="","",INDEX('Line Detail'!$F$6:$F$505,$M373)))</f>
        <v/>
      </c>
      <c r="G373" s="62" t="str">
        <f aca="false">IF($M373=0,"",IF(INDEX('Line Detail'!$G$6:$G$505,$M373)="","",INDEX('Line Detail'!$G$6:$G$505,$M373)))</f>
        <v/>
      </c>
      <c r="H373" s="13" t="str">
        <f aca="false">IF($M373=0,"",IF(INDEX('Line Detail'!$H$6:$H$505,$M373)="","",INDEX('Line Detail'!$H$6:$H$505,$M373)))</f>
        <v/>
      </c>
      <c r="I373" s="34" t="str">
        <f aca="false">IF($M373=0,"",IF(INDEX('Line Detail'!$O$6:$O$505,$M373)="","",INDEX('Line Detail'!$O$6:$O$505,$M373)))</f>
        <v/>
      </c>
      <c r="J373" s="34" t="str">
        <f aca="false">IF($M373=0,"",IF(INDEX('Line Detail'!$R$6:$R$505,$M373)="","",INDEX('Line Detail'!$R$6:$R$505,$M373)))</f>
        <v/>
      </c>
      <c r="K373" s="6" t="str">
        <f aca="false">IF($M373=0,"",IF(INDEX('Line Detail'!$S$6:$S$505,$M373)="","",INDEX('Line Detail'!$S$6:$S$505,$M373)))</f>
        <v/>
      </c>
      <c r="L373" s="1"/>
      <c r="M373" s="63" t="n">
        <f aca="false">IFERROR(MATCH(368,'Line Detail'!$W$6:$W$505,0),0)</f>
        <v>0</v>
      </c>
    </row>
    <row r="374" customFormat="false" ht="15" hidden="false" customHeight="false" outlineLevel="0" collapsed="false">
      <c r="A374" s="13" t="str">
        <f aca="false">IF($M374=0,"",369)</f>
        <v/>
      </c>
      <c r="B374" s="13" t="str">
        <f aca="false">IF($M374=0,"",IF(INDEX('Line Detail'!$B$6:$B$505,$M374)="","",INDEX('Line Detail'!$B$6:$B$505,$M374)))</f>
        <v/>
      </c>
      <c r="C374" s="13" t="str">
        <f aca="false">IF($M374=0,"",IF(INDEX('Line Detail'!$C$6:$C$505,$M374)="","",INDEX('Line Detail'!$C$6:$C$505,$M374)))</f>
        <v/>
      </c>
      <c r="D374" s="13" t="str">
        <f aca="false">IF($M374=0,"",IF(INDEX('Line Detail'!$D$6:$D$505,$M374)="","",INDEX('Line Detail'!$D$6:$D$505,$M374)))</f>
        <v/>
      </c>
      <c r="E374" s="13" t="str">
        <f aca="false">IF($M374=0,"",IF(INDEX('Line Detail'!$E$6:$E$505,$M374)="","",INDEX('Line Detail'!$E$6:$E$505,$M374)))</f>
        <v/>
      </c>
      <c r="F374" s="6" t="str">
        <f aca="false">IF($M374=0,"",IF(INDEX('Line Detail'!$F$6:$F$505,$M374)="","",INDEX('Line Detail'!$F$6:$F$505,$M374)))</f>
        <v/>
      </c>
      <c r="G374" s="62" t="str">
        <f aca="false">IF($M374=0,"",IF(INDEX('Line Detail'!$G$6:$G$505,$M374)="","",INDEX('Line Detail'!$G$6:$G$505,$M374)))</f>
        <v/>
      </c>
      <c r="H374" s="13" t="str">
        <f aca="false">IF($M374=0,"",IF(INDEX('Line Detail'!$H$6:$H$505,$M374)="","",INDEX('Line Detail'!$H$6:$H$505,$M374)))</f>
        <v/>
      </c>
      <c r="I374" s="34" t="str">
        <f aca="false">IF($M374=0,"",IF(INDEX('Line Detail'!$O$6:$O$505,$M374)="","",INDEX('Line Detail'!$O$6:$O$505,$M374)))</f>
        <v/>
      </c>
      <c r="J374" s="34" t="str">
        <f aca="false">IF($M374=0,"",IF(INDEX('Line Detail'!$R$6:$R$505,$M374)="","",INDEX('Line Detail'!$R$6:$R$505,$M374)))</f>
        <v/>
      </c>
      <c r="K374" s="6" t="str">
        <f aca="false">IF($M374=0,"",IF(INDEX('Line Detail'!$S$6:$S$505,$M374)="","",INDEX('Line Detail'!$S$6:$S$505,$M374)))</f>
        <v/>
      </c>
      <c r="L374" s="1"/>
      <c r="M374" s="63" t="n">
        <f aca="false">IFERROR(MATCH(369,'Line Detail'!$W$6:$W$505,0),0)</f>
        <v>0</v>
      </c>
    </row>
    <row r="375" customFormat="false" ht="15" hidden="false" customHeight="false" outlineLevel="0" collapsed="false">
      <c r="A375" s="13" t="str">
        <f aca="false">IF($M375=0,"",370)</f>
        <v/>
      </c>
      <c r="B375" s="13" t="str">
        <f aca="false">IF($M375=0,"",IF(INDEX('Line Detail'!$B$6:$B$505,$M375)="","",INDEX('Line Detail'!$B$6:$B$505,$M375)))</f>
        <v/>
      </c>
      <c r="C375" s="13" t="str">
        <f aca="false">IF($M375=0,"",IF(INDEX('Line Detail'!$C$6:$C$505,$M375)="","",INDEX('Line Detail'!$C$6:$C$505,$M375)))</f>
        <v/>
      </c>
      <c r="D375" s="13" t="str">
        <f aca="false">IF($M375=0,"",IF(INDEX('Line Detail'!$D$6:$D$505,$M375)="","",INDEX('Line Detail'!$D$6:$D$505,$M375)))</f>
        <v/>
      </c>
      <c r="E375" s="13" t="str">
        <f aca="false">IF($M375=0,"",IF(INDEX('Line Detail'!$E$6:$E$505,$M375)="","",INDEX('Line Detail'!$E$6:$E$505,$M375)))</f>
        <v/>
      </c>
      <c r="F375" s="6" t="str">
        <f aca="false">IF($M375=0,"",IF(INDEX('Line Detail'!$F$6:$F$505,$M375)="","",INDEX('Line Detail'!$F$6:$F$505,$M375)))</f>
        <v/>
      </c>
      <c r="G375" s="62" t="str">
        <f aca="false">IF($M375=0,"",IF(INDEX('Line Detail'!$G$6:$G$505,$M375)="","",INDEX('Line Detail'!$G$6:$G$505,$M375)))</f>
        <v/>
      </c>
      <c r="H375" s="13" t="str">
        <f aca="false">IF($M375=0,"",IF(INDEX('Line Detail'!$H$6:$H$505,$M375)="","",INDEX('Line Detail'!$H$6:$H$505,$M375)))</f>
        <v/>
      </c>
      <c r="I375" s="34" t="str">
        <f aca="false">IF($M375=0,"",IF(INDEX('Line Detail'!$O$6:$O$505,$M375)="","",INDEX('Line Detail'!$O$6:$O$505,$M375)))</f>
        <v/>
      </c>
      <c r="J375" s="34" t="str">
        <f aca="false">IF($M375=0,"",IF(INDEX('Line Detail'!$R$6:$R$505,$M375)="","",INDEX('Line Detail'!$R$6:$R$505,$M375)))</f>
        <v/>
      </c>
      <c r="K375" s="6" t="str">
        <f aca="false">IF($M375=0,"",IF(INDEX('Line Detail'!$S$6:$S$505,$M375)="","",INDEX('Line Detail'!$S$6:$S$505,$M375)))</f>
        <v/>
      </c>
      <c r="L375" s="1"/>
      <c r="M375" s="63" t="n">
        <f aca="false">IFERROR(MATCH(370,'Line Detail'!$W$6:$W$505,0),0)</f>
        <v>0</v>
      </c>
    </row>
    <row r="376" customFormat="false" ht="15" hidden="false" customHeight="false" outlineLevel="0" collapsed="false">
      <c r="A376" s="13" t="str">
        <f aca="false">IF($M376=0,"",371)</f>
        <v/>
      </c>
      <c r="B376" s="13" t="str">
        <f aca="false">IF($M376=0,"",IF(INDEX('Line Detail'!$B$6:$B$505,$M376)="","",INDEX('Line Detail'!$B$6:$B$505,$M376)))</f>
        <v/>
      </c>
      <c r="C376" s="13" t="str">
        <f aca="false">IF($M376=0,"",IF(INDEX('Line Detail'!$C$6:$C$505,$M376)="","",INDEX('Line Detail'!$C$6:$C$505,$M376)))</f>
        <v/>
      </c>
      <c r="D376" s="13" t="str">
        <f aca="false">IF($M376=0,"",IF(INDEX('Line Detail'!$D$6:$D$505,$M376)="","",INDEX('Line Detail'!$D$6:$D$505,$M376)))</f>
        <v/>
      </c>
      <c r="E376" s="13" t="str">
        <f aca="false">IF($M376=0,"",IF(INDEX('Line Detail'!$E$6:$E$505,$M376)="","",INDEX('Line Detail'!$E$6:$E$505,$M376)))</f>
        <v/>
      </c>
      <c r="F376" s="6" t="str">
        <f aca="false">IF($M376=0,"",IF(INDEX('Line Detail'!$F$6:$F$505,$M376)="","",INDEX('Line Detail'!$F$6:$F$505,$M376)))</f>
        <v/>
      </c>
      <c r="G376" s="62" t="str">
        <f aca="false">IF($M376=0,"",IF(INDEX('Line Detail'!$G$6:$G$505,$M376)="","",INDEX('Line Detail'!$G$6:$G$505,$M376)))</f>
        <v/>
      </c>
      <c r="H376" s="13" t="str">
        <f aca="false">IF($M376=0,"",IF(INDEX('Line Detail'!$H$6:$H$505,$M376)="","",INDEX('Line Detail'!$H$6:$H$505,$M376)))</f>
        <v/>
      </c>
      <c r="I376" s="34" t="str">
        <f aca="false">IF($M376=0,"",IF(INDEX('Line Detail'!$O$6:$O$505,$M376)="","",INDEX('Line Detail'!$O$6:$O$505,$M376)))</f>
        <v/>
      </c>
      <c r="J376" s="34" t="str">
        <f aca="false">IF($M376=0,"",IF(INDEX('Line Detail'!$R$6:$R$505,$M376)="","",INDEX('Line Detail'!$R$6:$R$505,$M376)))</f>
        <v/>
      </c>
      <c r="K376" s="6" t="str">
        <f aca="false">IF($M376=0,"",IF(INDEX('Line Detail'!$S$6:$S$505,$M376)="","",INDEX('Line Detail'!$S$6:$S$505,$M376)))</f>
        <v/>
      </c>
      <c r="L376" s="1"/>
      <c r="M376" s="63" t="n">
        <f aca="false">IFERROR(MATCH(371,'Line Detail'!$W$6:$W$505,0),0)</f>
        <v>0</v>
      </c>
    </row>
    <row r="377" customFormat="false" ht="15" hidden="false" customHeight="false" outlineLevel="0" collapsed="false">
      <c r="A377" s="13" t="str">
        <f aca="false">IF($M377=0,"",372)</f>
        <v/>
      </c>
      <c r="B377" s="13" t="str">
        <f aca="false">IF($M377=0,"",IF(INDEX('Line Detail'!$B$6:$B$505,$M377)="","",INDEX('Line Detail'!$B$6:$B$505,$M377)))</f>
        <v/>
      </c>
      <c r="C377" s="13" t="str">
        <f aca="false">IF($M377=0,"",IF(INDEX('Line Detail'!$C$6:$C$505,$M377)="","",INDEX('Line Detail'!$C$6:$C$505,$M377)))</f>
        <v/>
      </c>
      <c r="D377" s="13" t="str">
        <f aca="false">IF($M377=0,"",IF(INDEX('Line Detail'!$D$6:$D$505,$M377)="","",INDEX('Line Detail'!$D$6:$D$505,$M377)))</f>
        <v/>
      </c>
      <c r="E377" s="13" t="str">
        <f aca="false">IF($M377=0,"",IF(INDEX('Line Detail'!$E$6:$E$505,$M377)="","",INDEX('Line Detail'!$E$6:$E$505,$M377)))</f>
        <v/>
      </c>
      <c r="F377" s="6" t="str">
        <f aca="false">IF($M377=0,"",IF(INDEX('Line Detail'!$F$6:$F$505,$M377)="","",INDEX('Line Detail'!$F$6:$F$505,$M377)))</f>
        <v/>
      </c>
      <c r="G377" s="62" t="str">
        <f aca="false">IF($M377=0,"",IF(INDEX('Line Detail'!$G$6:$G$505,$M377)="","",INDEX('Line Detail'!$G$6:$G$505,$M377)))</f>
        <v/>
      </c>
      <c r="H377" s="13" t="str">
        <f aca="false">IF($M377=0,"",IF(INDEX('Line Detail'!$H$6:$H$505,$M377)="","",INDEX('Line Detail'!$H$6:$H$505,$M377)))</f>
        <v/>
      </c>
      <c r="I377" s="34" t="str">
        <f aca="false">IF($M377=0,"",IF(INDEX('Line Detail'!$O$6:$O$505,$M377)="","",INDEX('Line Detail'!$O$6:$O$505,$M377)))</f>
        <v/>
      </c>
      <c r="J377" s="34" t="str">
        <f aca="false">IF($M377=0,"",IF(INDEX('Line Detail'!$R$6:$R$505,$M377)="","",INDEX('Line Detail'!$R$6:$R$505,$M377)))</f>
        <v/>
      </c>
      <c r="K377" s="6" t="str">
        <f aca="false">IF($M377=0,"",IF(INDEX('Line Detail'!$S$6:$S$505,$M377)="","",INDEX('Line Detail'!$S$6:$S$505,$M377)))</f>
        <v/>
      </c>
      <c r="L377" s="1"/>
      <c r="M377" s="63" t="n">
        <f aca="false">IFERROR(MATCH(372,'Line Detail'!$W$6:$W$505,0),0)</f>
        <v>0</v>
      </c>
    </row>
    <row r="378" customFormat="false" ht="15" hidden="false" customHeight="false" outlineLevel="0" collapsed="false">
      <c r="A378" s="13" t="str">
        <f aca="false">IF($M378=0,"",373)</f>
        <v/>
      </c>
      <c r="B378" s="13" t="str">
        <f aca="false">IF($M378=0,"",IF(INDEX('Line Detail'!$B$6:$B$505,$M378)="","",INDEX('Line Detail'!$B$6:$B$505,$M378)))</f>
        <v/>
      </c>
      <c r="C378" s="13" t="str">
        <f aca="false">IF($M378=0,"",IF(INDEX('Line Detail'!$C$6:$C$505,$M378)="","",INDEX('Line Detail'!$C$6:$C$505,$M378)))</f>
        <v/>
      </c>
      <c r="D378" s="13" t="str">
        <f aca="false">IF($M378=0,"",IF(INDEX('Line Detail'!$D$6:$D$505,$M378)="","",INDEX('Line Detail'!$D$6:$D$505,$M378)))</f>
        <v/>
      </c>
      <c r="E378" s="13" t="str">
        <f aca="false">IF($M378=0,"",IF(INDEX('Line Detail'!$E$6:$E$505,$M378)="","",INDEX('Line Detail'!$E$6:$E$505,$M378)))</f>
        <v/>
      </c>
      <c r="F378" s="6" t="str">
        <f aca="false">IF($M378=0,"",IF(INDEX('Line Detail'!$F$6:$F$505,$M378)="","",INDEX('Line Detail'!$F$6:$F$505,$M378)))</f>
        <v/>
      </c>
      <c r="G378" s="62" t="str">
        <f aca="false">IF($M378=0,"",IF(INDEX('Line Detail'!$G$6:$G$505,$M378)="","",INDEX('Line Detail'!$G$6:$G$505,$M378)))</f>
        <v/>
      </c>
      <c r="H378" s="13" t="str">
        <f aca="false">IF($M378=0,"",IF(INDEX('Line Detail'!$H$6:$H$505,$M378)="","",INDEX('Line Detail'!$H$6:$H$505,$M378)))</f>
        <v/>
      </c>
      <c r="I378" s="34" t="str">
        <f aca="false">IF($M378=0,"",IF(INDEX('Line Detail'!$O$6:$O$505,$M378)="","",INDEX('Line Detail'!$O$6:$O$505,$M378)))</f>
        <v/>
      </c>
      <c r="J378" s="34" t="str">
        <f aca="false">IF($M378=0,"",IF(INDEX('Line Detail'!$R$6:$R$505,$M378)="","",INDEX('Line Detail'!$R$6:$R$505,$M378)))</f>
        <v/>
      </c>
      <c r="K378" s="6" t="str">
        <f aca="false">IF($M378=0,"",IF(INDEX('Line Detail'!$S$6:$S$505,$M378)="","",INDEX('Line Detail'!$S$6:$S$505,$M378)))</f>
        <v/>
      </c>
      <c r="L378" s="1"/>
      <c r="M378" s="63" t="n">
        <f aca="false">IFERROR(MATCH(373,'Line Detail'!$W$6:$W$505,0),0)</f>
        <v>0</v>
      </c>
    </row>
    <row r="379" customFormat="false" ht="15" hidden="false" customHeight="false" outlineLevel="0" collapsed="false">
      <c r="A379" s="13" t="str">
        <f aca="false">IF($M379=0,"",374)</f>
        <v/>
      </c>
      <c r="B379" s="13" t="str">
        <f aca="false">IF($M379=0,"",IF(INDEX('Line Detail'!$B$6:$B$505,$M379)="","",INDEX('Line Detail'!$B$6:$B$505,$M379)))</f>
        <v/>
      </c>
      <c r="C379" s="13" t="str">
        <f aca="false">IF($M379=0,"",IF(INDEX('Line Detail'!$C$6:$C$505,$M379)="","",INDEX('Line Detail'!$C$6:$C$505,$M379)))</f>
        <v/>
      </c>
      <c r="D379" s="13" t="str">
        <f aca="false">IF($M379=0,"",IF(INDEX('Line Detail'!$D$6:$D$505,$M379)="","",INDEX('Line Detail'!$D$6:$D$505,$M379)))</f>
        <v/>
      </c>
      <c r="E379" s="13" t="str">
        <f aca="false">IF($M379=0,"",IF(INDEX('Line Detail'!$E$6:$E$505,$M379)="","",INDEX('Line Detail'!$E$6:$E$505,$M379)))</f>
        <v/>
      </c>
      <c r="F379" s="6" t="str">
        <f aca="false">IF($M379=0,"",IF(INDEX('Line Detail'!$F$6:$F$505,$M379)="","",INDEX('Line Detail'!$F$6:$F$505,$M379)))</f>
        <v/>
      </c>
      <c r="G379" s="62" t="str">
        <f aca="false">IF($M379=0,"",IF(INDEX('Line Detail'!$G$6:$G$505,$M379)="","",INDEX('Line Detail'!$G$6:$G$505,$M379)))</f>
        <v/>
      </c>
      <c r="H379" s="13" t="str">
        <f aca="false">IF($M379=0,"",IF(INDEX('Line Detail'!$H$6:$H$505,$M379)="","",INDEX('Line Detail'!$H$6:$H$505,$M379)))</f>
        <v/>
      </c>
      <c r="I379" s="34" t="str">
        <f aca="false">IF($M379=0,"",IF(INDEX('Line Detail'!$O$6:$O$505,$M379)="","",INDEX('Line Detail'!$O$6:$O$505,$M379)))</f>
        <v/>
      </c>
      <c r="J379" s="34" t="str">
        <f aca="false">IF($M379=0,"",IF(INDEX('Line Detail'!$R$6:$R$505,$M379)="","",INDEX('Line Detail'!$R$6:$R$505,$M379)))</f>
        <v/>
      </c>
      <c r="K379" s="6" t="str">
        <f aca="false">IF($M379=0,"",IF(INDEX('Line Detail'!$S$6:$S$505,$M379)="","",INDEX('Line Detail'!$S$6:$S$505,$M379)))</f>
        <v/>
      </c>
      <c r="L379" s="1"/>
      <c r="M379" s="63" t="n">
        <f aca="false">IFERROR(MATCH(374,'Line Detail'!$W$6:$W$505,0),0)</f>
        <v>0</v>
      </c>
    </row>
    <row r="380" customFormat="false" ht="15" hidden="false" customHeight="false" outlineLevel="0" collapsed="false">
      <c r="A380" s="13" t="str">
        <f aca="false">IF($M380=0,"",375)</f>
        <v/>
      </c>
      <c r="B380" s="13" t="str">
        <f aca="false">IF($M380=0,"",IF(INDEX('Line Detail'!$B$6:$B$505,$M380)="","",INDEX('Line Detail'!$B$6:$B$505,$M380)))</f>
        <v/>
      </c>
      <c r="C380" s="13" t="str">
        <f aca="false">IF($M380=0,"",IF(INDEX('Line Detail'!$C$6:$C$505,$M380)="","",INDEX('Line Detail'!$C$6:$C$505,$M380)))</f>
        <v/>
      </c>
      <c r="D380" s="13" t="str">
        <f aca="false">IF($M380=0,"",IF(INDEX('Line Detail'!$D$6:$D$505,$M380)="","",INDEX('Line Detail'!$D$6:$D$505,$M380)))</f>
        <v/>
      </c>
      <c r="E380" s="13" t="str">
        <f aca="false">IF($M380=0,"",IF(INDEX('Line Detail'!$E$6:$E$505,$M380)="","",INDEX('Line Detail'!$E$6:$E$505,$M380)))</f>
        <v/>
      </c>
      <c r="F380" s="6" t="str">
        <f aca="false">IF($M380=0,"",IF(INDEX('Line Detail'!$F$6:$F$505,$M380)="","",INDEX('Line Detail'!$F$6:$F$505,$M380)))</f>
        <v/>
      </c>
      <c r="G380" s="62" t="str">
        <f aca="false">IF($M380=0,"",IF(INDEX('Line Detail'!$G$6:$G$505,$M380)="","",INDEX('Line Detail'!$G$6:$G$505,$M380)))</f>
        <v/>
      </c>
      <c r="H380" s="13" t="str">
        <f aca="false">IF($M380=0,"",IF(INDEX('Line Detail'!$H$6:$H$505,$M380)="","",INDEX('Line Detail'!$H$6:$H$505,$M380)))</f>
        <v/>
      </c>
      <c r="I380" s="34" t="str">
        <f aca="false">IF($M380=0,"",IF(INDEX('Line Detail'!$O$6:$O$505,$M380)="","",INDEX('Line Detail'!$O$6:$O$505,$M380)))</f>
        <v/>
      </c>
      <c r="J380" s="34" t="str">
        <f aca="false">IF($M380=0,"",IF(INDEX('Line Detail'!$R$6:$R$505,$M380)="","",INDEX('Line Detail'!$R$6:$R$505,$M380)))</f>
        <v/>
      </c>
      <c r="K380" s="6" t="str">
        <f aca="false">IF($M380=0,"",IF(INDEX('Line Detail'!$S$6:$S$505,$M380)="","",INDEX('Line Detail'!$S$6:$S$505,$M380)))</f>
        <v/>
      </c>
      <c r="L380" s="1"/>
      <c r="M380" s="63" t="n">
        <f aca="false">IFERROR(MATCH(375,'Line Detail'!$W$6:$W$505,0),0)</f>
        <v>0</v>
      </c>
    </row>
    <row r="381" customFormat="false" ht="15" hidden="false" customHeight="false" outlineLevel="0" collapsed="false">
      <c r="A381" s="13" t="str">
        <f aca="false">IF($M381=0,"",376)</f>
        <v/>
      </c>
      <c r="B381" s="13" t="str">
        <f aca="false">IF($M381=0,"",IF(INDEX('Line Detail'!$B$6:$B$505,$M381)="","",INDEX('Line Detail'!$B$6:$B$505,$M381)))</f>
        <v/>
      </c>
      <c r="C381" s="13" t="str">
        <f aca="false">IF($M381=0,"",IF(INDEX('Line Detail'!$C$6:$C$505,$M381)="","",INDEX('Line Detail'!$C$6:$C$505,$M381)))</f>
        <v/>
      </c>
      <c r="D381" s="13" t="str">
        <f aca="false">IF($M381=0,"",IF(INDEX('Line Detail'!$D$6:$D$505,$M381)="","",INDEX('Line Detail'!$D$6:$D$505,$M381)))</f>
        <v/>
      </c>
      <c r="E381" s="13" t="str">
        <f aca="false">IF($M381=0,"",IF(INDEX('Line Detail'!$E$6:$E$505,$M381)="","",INDEX('Line Detail'!$E$6:$E$505,$M381)))</f>
        <v/>
      </c>
      <c r="F381" s="6" t="str">
        <f aca="false">IF($M381=0,"",IF(INDEX('Line Detail'!$F$6:$F$505,$M381)="","",INDEX('Line Detail'!$F$6:$F$505,$M381)))</f>
        <v/>
      </c>
      <c r="G381" s="62" t="str">
        <f aca="false">IF($M381=0,"",IF(INDEX('Line Detail'!$G$6:$G$505,$M381)="","",INDEX('Line Detail'!$G$6:$G$505,$M381)))</f>
        <v/>
      </c>
      <c r="H381" s="13" t="str">
        <f aca="false">IF($M381=0,"",IF(INDEX('Line Detail'!$H$6:$H$505,$M381)="","",INDEX('Line Detail'!$H$6:$H$505,$M381)))</f>
        <v/>
      </c>
      <c r="I381" s="34" t="str">
        <f aca="false">IF($M381=0,"",IF(INDEX('Line Detail'!$O$6:$O$505,$M381)="","",INDEX('Line Detail'!$O$6:$O$505,$M381)))</f>
        <v/>
      </c>
      <c r="J381" s="34" t="str">
        <f aca="false">IF($M381=0,"",IF(INDEX('Line Detail'!$R$6:$R$505,$M381)="","",INDEX('Line Detail'!$R$6:$R$505,$M381)))</f>
        <v/>
      </c>
      <c r="K381" s="6" t="str">
        <f aca="false">IF($M381=0,"",IF(INDEX('Line Detail'!$S$6:$S$505,$M381)="","",INDEX('Line Detail'!$S$6:$S$505,$M381)))</f>
        <v/>
      </c>
      <c r="L381" s="1"/>
      <c r="M381" s="63" t="n">
        <f aca="false">IFERROR(MATCH(376,'Line Detail'!$W$6:$W$505,0),0)</f>
        <v>0</v>
      </c>
    </row>
    <row r="382" customFormat="false" ht="15" hidden="false" customHeight="false" outlineLevel="0" collapsed="false">
      <c r="A382" s="13" t="str">
        <f aca="false">IF($M382=0,"",377)</f>
        <v/>
      </c>
      <c r="B382" s="13" t="str">
        <f aca="false">IF($M382=0,"",IF(INDEX('Line Detail'!$B$6:$B$505,$M382)="","",INDEX('Line Detail'!$B$6:$B$505,$M382)))</f>
        <v/>
      </c>
      <c r="C382" s="13" t="str">
        <f aca="false">IF($M382=0,"",IF(INDEX('Line Detail'!$C$6:$C$505,$M382)="","",INDEX('Line Detail'!$C$6:$C$505,$M382)))</f>
        <v/>
      </c>
      <c r="D382" s="13" t="str">
        <f aca="false">IF($M382=0,"",IF(INDEX('Line Detail'!$D$6:$D$505,$M382)="","",INDEX('Line Detail'!$D$6:$D$505,$M382)))</f>
        <v/>
      </c>
      <c r="E382" s="13" t="str">
        <f aca="false">IF($M382=0,"",IF(INDEX('Line Detail'!$E$6:$E$505,$M382)="","",INDEX('Line Detail'!$E$6:$E$505,$M382)))</f>
        <v/>
      </c>
      <c r="F382" s="6" t="str">
        <f aca="false">IF($M382=0,"",IF(INDEX('Line Detail'!$F$6:$F$505,$M382)="","",INDEX('Line Detail'!$F$6:$F$505,$M382)))</f>
        <v/>
      </c>
      <c r="G382" s="62" t="str">
        <f aca="false">IF($M382=0,"",IF(INDEX('Line Detail'!$G$6:$G$505,$M382)="","",INDEX('Line Detail'!$G$6:$G$505,$M382)))</f>
        <v/>
      </c>
      <c r="H382" s="13" t="str">
        <f aca="false">IF($M382=0,"",IF(INDEX('Line Detail'!$H$6:$H$505,$M382)="","",INDEX('Line Detail'!$H$6:$H$505,$M382)))</f>
        <v/>
      </c>
      <c r="I382" s="34" t="str">
        <f aca="false">IF($M382=0,"",IF(INDEX('Line Detail'!$O$6:$O$505,$M382)="","",INDEX('Line Detail'!$O$6:$O$505,$M382)))</f>
        <v/>
      </c>
      <c r="J382" s="34" t="str">
        <f aca="false">IF($M382=0,"",IF(INDEX('Line Detail'!$R$6:$R$505,$M382)="","",INDEX('Line Detail'!$R$6:$R$505,$M382)))</f>
        <v/>
      </c>
      <c r="K382" s="6" t="str">
        <f aca="false">IF($M382=0,"",IF(INDEX('Line Detail'!$S$6:$S$505,$M382)="","",INDEX('Line Detail'!$S$6:$S$505,$M382)))</f>
        <v/>
      </c>
      <c r="L382" s="1"/>
      <c r="M382" s="63" t="n">
        <f aca="false">IFERROR(MATCH(377,'Line Detail'!$W$6:$W$505,0),0)</f>
        <v>0</v>
      </c>
    </row>
    <row r="383" customFormat="false" ht="15" hidden="false" customHeight="false" outlineLevel="0" collapsed="false">
      <c r="A383" s="13" t="str">
        <f aca="false">IF($M383=0,"",378)</f>
        <v/>
      </c>
      <c r="B383" s="13" t="str">
        <f aca="false">IF($M383=0,"",IF(INDEX('Line Detail'!$B$6:$B$505,$M383)="","",INDEX('Line Detail'!$B$6:$B$505,$M383)))</f>
        <v/>
      </c>
      <c r="C383" s="13" t="str">
        <f aca="false">IF($M383=0,"",IF(INDEX('Line Detail'!$C$6:$C$505,$M383)="","",INDEX('Line Detail'!$C$6:$C$505,$M383)))</f>
        <v/>
      </c>
      <c r="D383" s="13" t="str">
        <f aca="false">IF($M383=0,"",IF(INDEX('Line Detail'!$D$6:$D$505,$M383)="","",INDEX('Line Detail'!$D$6:$D$505,$M383)))</f>
        <v/>
      </c>
      <c r="E383" s="13" t="str">
        <f aca="false">IF($M383=0,"",IF(INDEX('Line Detail'!$E$6:$E$505,$M383)="","",INDEX('Line Detail'!$E$6:$E$505,$M383)))</f>
        <v/>
      </c>
      <c r="F383" s="6" t="str">
        <f aca="false">IF($M383=0,"",IF(INDEX('Line Detail'!$F$6:$F$505,$M383)="","",INDEX('Line Detail'!$F$6:$F$505,$M383)))</f>
        <v/>
      </c>
      <c r="G383" s="62" t="str">
        <f aca="false">IF($M383=0,"",IF(INDEX('Line Detail'!$G$6:$G$505,$M383)="","",INDEX('Line Detail'!$G$6:$G$505,$M383)))</f>
        <v/>
      </c>
      <c r="H383" s="13" t="str">
        <f aca="false">IF($M383=0,"",IF(INDEX('Line Detail'!$H$6:$H$505,$M383)="","",INDEX('Line Detail'!$H$6:$H$505,$M383)))</f>
        <v/>
      </c>
      <c r="I383" s="34" t="str">
        <f aca="false">IF($M383=0,"",IF(INDEX('Line Detail'!$O$6:$O$505,$M383)="","",INDEX('Line Detail'!$O$6:$O$505,$M383)))</f>
        <v/>
      </c>
      <c r="J383" s="34" t="str">
        <f aca="false">IF($M383=0,"",IF(INDEX('Line Detail'!$R$6:$R$505,$M383)="","",INDEX('Line Detail'!$R$6:$R$505,$M383)))</f>
        <v/>
      </c>
      <c r="K383" s="6" t="str">
        <f aca="false">IF($M383=0,"",IF(INDEX('Line Detail'!$S$6:$S$505,$M383)="","",INDEX('Line Detail'!$S$6:$S$505,$M383)))</f>
        <v/>
      </c>
      <c r="L383" s="1"/>
      <c r="M383" s="63" t="n">
        <f aca="false">IFERROR(MATCH(378,'Line Detail'!$W$6:$W$505,0),0)</f>
        <v>0</v>
      </c>
    </row>
    <row r="384" customFormat="false" ht="15" hidden="false" customHeight="false" outlineLevel="0" collapsed="false">
      <c r="A384" s="13" t="str">
        <f aca="false">IF($M384=0,"",379)</f>
        <v/>
      </c>
      <c r="B384" s="13" t="str">
        <f aca="false">IF($M384=0,"",IF(INDEX('Line Detail'!$B$6:$B$505,$M384)="","",INDEX('Line Detail'!$B$6:$B$505,$M384)))</f>
        <v/>
      </c>
      <c r="C384" s="13" t="str">
        <f aca="false">IF($M384=0,"",IF(INDEX('Line Detail'!$C$6:$C$505,$M384)="","",INDEX('Line Detail'!$C$6:$C$505,$M384)))</f>
        <v/>
      </c>
      <c r="D384" s="13" t="str">
        <f aca="false">IF($M384=0,"",IF(INDEX('Line Detail'!$D$6:$D$505,$M384)="","",INDEX('Line Detail'!$D$6:$D$505,$M384)))</f>
        <v/>
      </c>
      <c r="E384" s="13" t="str">
        <f aca="false">IF($M384=0,"",IF(INDEX('Line Detail'!$E$6:$E$505,$M384)="","",INDEX('Line Detail'!$E$6:$E$505,$M384)))</f>
        <v/>
      </c>
      <c r="F384" s="6" t="str">
        <f aca="false">IF($M384=0,"",IF(INDEX('Line Detail'!$F$6:$F$505,$M384)="","",INDEX('Line Detail'!$F$6:$F$505,$M384)))</f>
        <v/>
      </c>
      <c r="G384" s="62" t="str">
        <f aca="false">IF($M384=0,"",IF(INDEX('Line Detail'!$G$6:$G$505,$M384)="","",INDEX('Line Detail'!$G$6:$G$505,$M384)))</f>
        <v/>
      </c>
      <c r="H384" s="13" t="str">
        <f aca="false">IF($M384=0,"",IF(INDEX('Line Detail'!$H$6:$H$505,$M384)="","",INDEX('Line Detail'!$H$6:$H$505,$M384)))</f>
        <v/>
      </c>
      <c r="I384" s="34" t="str">
        <f aca="false">IF($M384=0,"",IF(INDEX('Line Detail'!$O$6:$O$505,$M384)="","",INDEX('Line Detail'!$O$6:$O$505,$M384)))</f>
        <v/>
      </c>
      <c r="J384" s="34" t="str">
        <f aca="false">IF($M384=0,"",IF(INDEX('Line Detail'!$R$6:$R$505,$M384)="","",INDEX('Line Detail'!$R$6:$R$505,$M384)))</f>
        <v/>
      </c>
      <c r="K384" s="6" t="str">
        <f aca="false">IF($M384=0,"",IF(INDEX('Line Detail'!$S$6:$S$505,$M384)="","",INDEX('Line Detail'!$S$6:$S$505,$M384)))</f>
        <v/>
      </c>
      <c r="L384" s="1"/>
      <c r="M384" s="63" t="n">
        <f aca="false">IFERROR(MATCH(379,'Line Detail'!$W$6:$W$505,0),0)</f>
        <v>0</v>
      </c>
    </row>
    <row r="385" customFormat="false" ht="15" hidden="false" customHeight="false" outlineLevel="0" collapsed="false">
      <c r="A385" s="13" t="str">
        <f aca="false">IF($M385=0,"",380)</f>
        <v/>
      </c>
      <c r="B385" s="13" t="str">
        <f aca="false">IF($M385=0,"",IF(INDEX('Line Detail'!$B$6:$B$505,$M385)="","",INDEX('Line Detail'!$B$6:$B$505,$M385)))</f>
        <v/>
      </c>
      <c r="C385" s="13" t="str">
        <f aca="false">IF($M385=0,"",IF(INDEX('Line Detail'!$C$6:$C$505,$M385)="","",INDEX('Line Detail'!$C$6:$C$505,$M385)))</f>
        <v/>
      </c>
      <c r="D385" s="13" t="str">
        <f aca="false">IF($M385=0,"",IF(INDEX('Line Detail'!$D$6:$D$505,$M385)="","",INDEX('Line Detail'!$D$6:$D$505,$M385)))</f>
        <v/>
      </c>
      <c r="E385" s="13" t="str">
        <f aca="false">IF($M385=0,"",IF(INDEX('Line Detail'!$E$6:$E$505,$M385)="","",INDEX('Line Detail'!$E$6:$E$505,$M385)))</f>
        <v/>
      </c>
      <c r="F385" s="6" t="str">
        <f aca="false">IF($M385=0,"",IF(INDEX('Line Detail'!$F$6:$F$505,$M385)="","",INDEX('Line Detail'!$F$6:$F$505,$M385)))</f>
        <v/>
      </c>
      <c r="G385" s="62" t="str">
        <f aca="false">IF($M385=0,"",IF(INDEX('Line Detail'!$G$6:$G$505,$M385)="","",INDEX('Line Detail'!$G$6:$G$505,$M385)))</f>
        <v/>
      </c>
      <c r="H385" s="13" t="str">
        <f aca="false">IF($M385=0,"",IF(INDEX('Line Detail'!$H$6:$H$505,$M385)="","",INDEX('Line Detail'!$H$6:$H$505,$M385)))</f>
        <v/>
      </c>
      <c r="I385" s="34" t="str">
        <f aca="false">IF($M385=0,"",IF(INDEX('Line Detail'!$O$6:$O$505,$M385)="","",INDEX('Line Detail'!$O$6:$O$505,$M385)))</f>
        <v/>
      </c>
      <c r="J385" s="34" t="str">
        <f aca="false">IF($M385=0,"",IF(INDEX('Line Detail'!$R$6:$R$505,$M385)="","",INDEX('Line Detail'!$R$6:$R$505,$M385)))</f>
        <v/>
      </c>
      <c r="K385" s="6" t="str">
        <f aca="false">IF($M385=0,"",IF(INDEX('Line Detail'!$S$6:$S$505,$M385)="","",INDEX('Line Detail'!$S$6:$S$505,$M385)))</f>
        <v/>
      </c>
      <c r="L385" s="1"/>
      <c r="M385" s="63" t="n">
        <f aca="false">IFERROR(MATCH(380,'Line Detail'!$W$6:$W$505,0),0)</f>
        <v>0</v>
      </c>
    </row>
    <row r="386" customFormat="false" ht="15" hidden="false" customHeight="false" outlineLevel="0" collapsed="false">
      <c r="A386" s="13" t="str">
        <f aca="false">IF($M386=0,"",381)</f>
        <v/>
      </c>
      <c r="B386" s="13" t="str">
        <f aca="false">IF($M386=0,"",IF(INDEX('Line Detail'!$B$6:$B$505,$M386)="","",INDEX('Line Detail'!$B$6:$B$505,$M386)))</f>
        <v/>
      </c>
      <c r="C386" s="13" t="str">
        <f aca="false">IF($M386=0,"",IF(INDEX('Line Detail'!$C$6:$C$505,$M386)="","",INDEX('Line Detail'!$C$6:$C$505,$M386)))</f>
        <v/>
      </c>
      <c r="D386" s="13" t="str">
        <f aca="false">IF($M386=0,"",IF(INDEX('Line Detail'!$D$6:$D$505,$M386)="","",INDEX('Line Detail'!$D$6:$D$505,$M386)))</f>
        <v/>
      </c>
      <c r="E386" s="13" t="str">
        <f aca="false">IF($M386=0,"",IF(INDEX('Line Detail'!$E$6:$E$505,$M386)="","",INDEX('Line Detail'!$E$6:$E$505,$M386)))</f>
        <v/>
      </c>
      <c r="F386" s="6" t="str">
        <f aca="false">IF($M386=0,"",IF(INDEX('Line Detail'!$F$6:$F$505,$M386)="","",INDEX('Line Detail'!$F$6:$F$505,$M386)))</f>
        <v/>
      </c>
      <c r="G386" s="62" t="str">
        <f aca="false">IF($M386=0,"",IF(INDEX('Line Detail'!$G$6:$G$505,$M386)="","",INDEX('Line Detail'!$G$6:$G$505,$M386)))</f>
        <v/>
      </c>
      <c r="H386" s="13" t="str">
        <f aca="false">IF($M386=0,"",IF(INDEX('Line Detail'!$H$6:$H$505,$M386)="","",INDEX('Line Detail'!$H$6:$H$505,$M386)))</f>
        <v/>
      </c>
      <c r="I386" s="34" t="str">
        <f aca="false">IF($M386=0,"",IF(INDEX('Line Detail'!$O$6:$O$505,$M386)="","",INDEX('Line Detail'!$O$6:$O$505,$M386)))</f>
        <v/>
      </c>
      <c r="J386" s="34" t="str">
        <f aca="false">IF($M386=0,"",IF(INDEX('Line Detail'!$R$6:$R$505,$M386)="","",INDEX('Line Detail'!$R$6:$R$505,$M386)))</f>
        <v/>
      </c>
      <c r="K386" s="6" t="str">
        <f aca="false">IF($M386=0,"",IF(INDEX('Line Detail'!$S$6:$S$505,$M386)="","",INDEX('Line Detail'!$S$6:$S$505,$M386)))</f>
        <v/>
      </c>
      <c r="L386" s="1"/>
      <c r="M386" s="63" t="n">
        <f aca="false">IFERROR(MATCH(381,'Line Detail'!$W$6:$W$505,0),0)</f>
        <v>0</v>
      </c>
    </row>
    <row r="387" customFormat="false" ht="15" hidden="false" customHeight="false" outlineLevel="0" collapsed="false">
      <c r="A387" s="13" t="str">
        <f aca="false">IF($M387=0,"",382)</f>
        <v/>
      </c>
      <c r="B387" s="13" t="str">
        <f aca="false">IF($M387=0,"",IF(INDEX('Line Detail'!$B$6:$B$505,$M387)="","",INDEX('Line Detail'!$B$6:$B$505,$M387)))</f>
        <v/>
      </c>
      <c r="C387" s="13" t="str">
        <f aca="false">IF($M387=0,"",IF(INDEX('Line Detail'!$C$6:$C$505,$M387)="","",INDEX('Line Detail'!$C$6:$C$505,$M387)))</f>
        <v/>
      </c>
      <c r="D387" s="13" t="str">
        <f aca="false">IF($M387=0,"",IF(INDEX('Line Detail'!$D$6:$D$505,$M387)="","",INDEX('Line Detail'!$D$6:$D$505,$M387)))</f>
        <v/>
      </c>
      <c r="E387" s="13" t="str">
        <f aca="false">IF($M387=0,"",IF(INDEX('Line Detail'!$E$6:$E$505,$M387)="","",INDEX('Line Detail'!$E$6:$E$505,$M387)))</f>
        <v/>
      </c>
      <c r="F387" s="6" t="str">
        <f aca="false">IF($M387=0,"",IF(INDEX('Line Detail'!$F$6:$F$505,$M387)="","",INDEX('Line Detail'!$F$6:$F$505,$M387)))</f>
        <v/>
      </c>
      <c r="G387" s="62" t="str">
        <f aca="false">IF($M387=0,"",IF(INDEX('Line Detail'!$G$6:$G$505,$M387)="","",INDEX('Line Detail'!$G$6:$G$505,$M387)))</f>
        <v/>
      </c>
      <c r="H387" s="13" t="str">
        <f aca="false">IF($M387=0,"",IF(INDEX('Line Detail'!$H$6:$H$505,$M387)="","",INDEX('Line Detail'!$H$6:$H$505,$M387)))</f>
        <v/>
      </c>
      <c r="I387" s="34" t="str">
        <f aca="false">IF($M387=0,"",IF(INDEX('Line Detail'!$O$6:$O$505,$M387)="","",INDEX('Line Detail'!$O$6:$O$505,$M387)))</f>
        <v/>
      </c>
      <c r="J387" s="34" t="str">
        <f aca="false">IF($M387=0,"",IF(INDEX('Line Detail'!$R$6:$R$505,$M387)="","",INDEX('Line Detail'!$R$6:$R$505,$M387)))</f>
        <v/>
      </c>
      <c r="K387" s="6" t="str">
        <f aca="false">IF($M387=0,"",IF(INDEX('Line Detail'!$S$6:$S$505,$M387)="","",INDEX('Line Detail'!$S$6:$S$505,$M387)))</f>
        <v/>
      </c>
      <c r="L387" s="1"/>
      <c r="M387" s="63" t="n">
        <f aca="false">IFERROR(MATCH(382,'Line Detail'!$W$6:$W$505,0),0)</f>
        <v>0</v>
      </c>
    </row>
    <row r="388" customFormat="false" ht="15" hidden="false" customHeight="false" outlineLevel="0" collapsed="false">
      <c r="A388" s="13" t="str">
        <f aca="false">IF($M388=0,"",383)</f>
        <v/>
      </c>
      <c r="B388" s="13" t="str">
        <f aca="false">IF($M388=0,"",IF(INDEX('Line Detail'!$B$6:$B$505,$M388)="","",INDEX('Line Detail'!$B$6:$B$505,$M388)))</f>
        <v/>
      </c>
      <c r="C388" s="13" t="str">
        <f aca="false">IF($M388=0,"",IF(INDEX('Line Detail'!$C$6:$C$505,$M388)="","",INDEX('Line Detail'!$C$6:$C$505,$M388)))</f>
        <v/>
      </c>
      <c r="D388" s="13" t="str">
        <f aca="false">IF($M388=0,"",IF(INDEX('Line Detail'!$D$6:$D$505,$M388)="","",INDEX('Line Detail'!$D$6:$D$505,$M388)))</f>
        <v/>
      </c>
      <c r="E388" s="13" t="str">
        <f aca="false">IF($M388=0,"",IF(INDEX('Line Detail'!$E$6:$E$505,$M388)="","",INDEX('Line Detail'!$E$6:$E$505,$M388)))</f>
        <v/>
      </c>
      <c r="F388" s="6" t="str">
        <f aca="false">IF($M388=0,"",IF(INDEX('Line Detail'!$F$6:$F$505,$M388)="","",INDEX('Line Detail'!$F$6:$F$505,$M388)))</f>
        <v/>
      </c>
      <c r="G388" s="62" t="str">
        <f aca="false">IF($M388=0,"",IF(INDEX('Line Detail'!$G$6:$G$505,$M388)="","",INDEX('Line Detail'!$G$6:$G$505,$M388)))</f>
        <v/>
      </c>
      <c r="H388" s="13" t="str">
        <f aca="false">IF($M388=0,"",IF(INDEX('Line Detail'!$H$6:$H$505,$M388)="","",INDEX('Line Detail'!$H$6:$H$505,$M388)))</f>
        <v/>
      </c>
      <c r="I388" s="34" t="str">
        <f aca="false">IF($M388=0,"",IF(INDEX('Line Detail'!$O$6:$O$505,$M388)="","",INDEX('Line Detail'!$O$6:$O$505,$M388)))</f>
        <v/>
      </c>
      <c r="J388" s="34" t="str">
        <f aca="false">IF($M388=0,"",IF(INDEX('Line Detail'!$R$6:$R$505,$M388)="","",INDEX('Line Detail'!$R$6:$R$505,$M388)))</f>
        <v/>
      </c>
      <c r="K388" s="6" t="str">
        <f aca="false">IF($M388=0,"",IF(INDEX('Line Detail'!$S$6:$S$505,$M388)="","",INDEX('Line Detail'!$S$6:$S$505,$M388)))</f>
        <v/>
      </c>
      <c r="L388" s="1"/>
      <c r="M388" s="63" t="n">
        <f aca="false">IFERROR(MATCH(383,'Line Detail'!$W$6:$W$505,0),0)</f>
        <v>0</v>
      </c>
    </row>
    <row r="389" customFormat="false" ht="15" hidden="false" customHeight="false" outlineLevel="0" collapsed="false">
      <c r="A389" s="13" t="str">
        <f aca="false">IF($M389=0,"",384)</f>
        <v/>
      </c>
      <c r="B389" s="13" t="str">
        <f aca="false">IF($M389=0,"",IF(INDEX('Line Detail'!$B$6:$B$505,$M389)="","",INDEX('Line Detail'!$B$6:$B$505,$M389)))</f>
        <v/>
      </c>
      <c r="C389" s="13" t="str">
        <f aca="false">IF($M389=0,"",IF(INDEX('Line Detail'!$C$6:$C$505,$M389)="","",INDEX('Line Detail'!$C$6:$C$505,$M389)))</f>
        <v/>
      </c>
      <c r="D389" s="13" t="str">
        <f aca="false">IF($M389=0,"",IF(INDEX('Line Detail'!$D$6:$D$505,$M389)="","",INDEX('Line Detail'!$D$6:$D$505,$M389)))</f>
        <v/>
      </c>
      <c r="E389" s="13" t="str">
        <f aca="false">IF($M389=0,"",IF(INDEX('Line Detail'!$E$6:$E$505,$M389)="","",INDEX('Line Detail'!$E$6:$E$505,$M389)))</f>
        <v/>
      </c>
      <c r="F389" s="6" t="str">
        <f aca="false">IF($M389=0,"",IF(INDEX('Line Detail'!$F$6:$F$505,$M389)="","",INDEX('Line Detail'!$F$6:$F$505,$M389)))</f>
        <v/>
      </c>
      <c r="G389" s="62" t="str">
        <f aca="false">IF($M389=0,"",IF(INDEX('Line Detail'!$G$6:$G$505,$M389)="","",INDEX('Line Detail'!$G$6:$G$505,$M389)))</f>
        <v/>
      </c>
      <c r="H389" s="13" t="str">
        <f aca="false">IF($M389=0,"",IF(INDEX('Line Detail'!$H$6:$H$505,$M389)="","",INDEX('Line Detail'!$H$6:$H$505,$M389)))</f>
        <v/>
      </c>
      <c r="I389" s="34" t="str">
        <f aca="false">IF($M389=0,"",IF(INDEX('Line Detail'!$O$6:$O$505,$M389)="","",INDEX('Line Detail'!$O$6:$O$505,$M389)))</f>
        <v/>
      </c>
      <c r="J389" s="34" t="str">
        <f aca="false">IF($M389=0,"",IF(INDEX('Line Detail'!$R$6:$R$505,$M389)="","",INDEX('Line Detail'!$R$6:$R$505,$M389)))</f>
        <v/>
      </c>
      <c r="K389" s="6" t="str">
        <f aca="false">IF($M389=0,"",IF(INDEX('Line Detail'!$S$6:$S$505,$M389)="","",INDEX('Line Detail'!$S$6:$S$505,$M389)))</f>
        <v/>
      </c>
      <c r="L389" s="1"/>
      <c r="M389" s="63" t="n">
        <f aca="false">IFERROR(MATCH(384,'Line Detail'!$W$6:$W$505,0),0)</f>
        <v>0</v>
      </c>
    </row>
    <row r="390" customFormat="false" ht="15" hidden="false" customHeight="false" outlineLevel="0" collapsed="false">
      <c r="A390" s="13" t="str">
        <f aca="false">IF($M390=0,"",385)</f>
        <v/>
      </c>
      <c r="B390" s="13" t="str">
        <f aca="false">IF($M390=0,"",IF(INDEX('Line Detail'!$B$6:$B$505,$M390)="","",INDEX('Line Detail'!$B$6:$B$505,$M390)))</f>
        <v/>
      </c>
      <c r="C390" s="13" t="str">
        <f aca="false">IF($M390=0,"",IF(INDEX('Line Detail'!$C$6:$C$505,$M390)="","",INDEX('Line Detail'!$C$6:$C$505,$M390)))</f>
        <v/>
      </c>
      <c r="D390" s="13" t="str">
        <f aca="false">IF($M390=0,"",IF(INDEX('Line Detail'!$D$6:$D$505,$M390)="","",INDEX('Line Detail'!$D$6:$D$505,$M390)))</f>
        <v/>
      </c>
      <c r="E390" s="13" t="str">
        <f aca="false">IF($M390=0,"",IF(INDEX('Line Detail'!$E$6:$E$505,$M390)="","",INDEX('Line Detail'!$E$6:$E$505,$M390)))</f>
        <v/>
      </c>
      <c r="F390" s="6" t="str">
        <f aca="false">IF($M390=0,"",IF(INDEX('Line Detail'!$F$6:$F$505,$M390)="","",INDEX('Line Detail'!$F$6:$F$505,$M390)))</f>
        <v/>
      </c>
      <c r="G390" s="62" t="str">
        <f aca="false">IF($M390=0,"",IF(INDEX('Line Detail'!$G$6:$G$505,$M390)="","",INDEX('Line Detail'!$G$6:$G$505,$M390)))</f>
        <v/>
      </c>
      <c r="H390" s="13" t="str">
        <f aca="false">IF($M390=0,"",IF(INDEX('Line Detail'!$H$6:$H$505,$M390)="","",INDEX('Line Detail'!$H$6:$H$505,$M390)))</f>
        <v/>
      </c>
      <c r="I390" s="34" t="str">
        <f aca="false">IF($M390=0,"",IF(INDEX('Line Detail'!$O$6:$O$505,$M390)="","",INDEX('Line Detail'!$O$6:$O$505,$M390)))</f>
        <v/>
      </c>
      <c r="J390" s="34" t="str">
        <f aca="false">IF($M390=0,"",IF(INDEX('Line Detail'!$R$6:$R$505,$M390)="","",INDEX('Line Detail'!$R$6:$R$505,$M390)))</f>
        <v/>
      </c>
      <c r="K390" s="6" t="str">
        <f aca="false">IF($M390=0,"",IF(INDEX('Line Detail'!$S$6:$S$505,$M390)="","",INDEX('Line Detail'!$S$6:$S$505,$M390)))</f>
        <v/>
      </c>
      <c r="L390" s="1"/>
      <c r="M390" s="63" t="n">
        <f aca="false">IFERROR(MATCH(385,'Line Detail'!$W$6:$W$505,0),0)</f>
        <v>0</v>
      </c>
    </row>
    <row r="391" customFormat="false" ht="15" hidden="false" customHeight="false" outlineLevel="0" collapsed="false">
      <c r="A391" s="13" t="str">
        <f aca="false">IF($M391=0,"",386)</f>
        <v/>
      </c>
      <c r="B391" s="13" t="str">
        <f aca="false">IF($M391=0,"",IF(INDEX('Line Detail'!$B$6:$B$505,$M391)="","",INDEX('Line Detail'!$B$6:$B$505,$M391)))</f>
        <v/>
      </c>
      <c r="C391" s="13" t="str">
        <f aca="false">IF($M391=0,"",IF(INDEX('Line Detail'!$C$6:$C$505,$M391)="","",INDEX('Line Detail'!$C$6:$C$505,$M391)))</f>
        <v/>
      </c>
      <c r="D391" s="13" t="str">
        <f aca="false">IF($M391=0,"",IF(INDEX('Line Detail'!$D$6:$D$505,$M391)="","",INDEX('Line Detail'!$D$6:$D$505,$M391)))</f>
        <v/>
      </c>
      <c r="E391" s="13" t="str">
        <f aca="false">IF($M391=0,"",IF(INDEX('Line Detail'!$E$6:$E$505,$M391)="","",INDEX('Line Detail'!$E$6:$E$505,$M391)))</f>
        <v/>
      </c>
      <c r="F391" s="6" t="str">
        <f aca="false">IF($M391=0,"",IF(INDEX('Line Detail'!$F$6:$F$505,$M391)="","",INDEX('Line Detail'!$F$6:$F$505,$M391)))</f>
        <v/>
      </c>
      <c r="G391" s="62" t="str">
        <f aca="false">IF($M391=0,"",IF(INDEX('Line Detail'!$G$6:$G$505,$M391)="","",INDEX('Line Detail'!$G$6:$G$505,$M391)))</f>
        <v/>
      </c>
      <c r="H391" s="13" t="str">
        <f aca="false">IF($M391=0,"",IF(INDEX('Line Detail'!$H$6:$H$505,$M391)="","",INDEX('Line Detail'!$H$6:$H$505,$M391)))</f>
        <v/>
      </c>
      <c r="I391" s="34" t="str">
        <f aca="false">IF($M391=0,"",IF(INDEX('Line Detail'!$O$6:$O$505,$M391)="","",INDEX('Line Detail'!$O$6:$O$505,$M391)))</f>
        <v/>
      </c>
      <c r="J391" s="34" t="str">
        <f aca="false">IF($M391=0,"",IF(INDEX('Line Detail'!$R$6:$R$505,$M391)="","",INDEX('Line Detail'!$R$6:$R$505,$M391)))</f>
        <v/>
      </c>
      <c r="K391" s="6" t="str">
        <f aca="false">IF($M391=0,"",IF(INDEX('Line Detail'!$S$6:$S$505,$M391)="","",INDEX('Line Detail'!$S$6:$S$505,$M391)))</f>
        <v/>
      </c>
      <c r="L391" s="1"/>
      <c r="M391" s="63" t="n">
        <f aca="false">IFERROR(MATCH(386,'Line Detail'!$W$6:$W$505,0),0)</f>
        <v>0</v>
      </c>
    </row>
    <row r="392" customFormat="false" ht="15" hidden="false" customHeight="false" outlineLevel="0" collapsed="false">
      <c r="A392" s="13" t="str">
        <f aca="false">IF($M392=0,"",387)</f>
        <v/>
      </c>
      <c r="B392" s="13" t="str">
        <f aca="false">IF($M392=0,"",IF(INDEX('Line Detail'!$B$6:$B$505,$M392)="","",INDEX('Line Detail'!$B$6:$B$505,$M392)))</f>
        <v/>
      </c>
      <c r="C392" s="13" t="str">
        <f aca="false">IF($M392=0,"",IF(INDEX('Line Detail'!$C$6:$C$505,$M392)="","",INDEX('Line Detail'!$C$6:$C$505,$M392)))</f>
        <v/>
      </c>
      <c r="D392" s="13" t="str">
        <f aca="false">IF($M392=0,"",IF(INDEX('Line Detail'!$D$6:$D$505,$M392)="","",INDEX('Line Detail'!$D$6:$D$505,$M392)))</f>
        <v/>
      </c>
      <c r="E392" s="13" t="str">
        <f aca="false">IF($M392=0,"",IF(INDEX('Line Detail'!$E$6:$E$505,$M392)="","",INDEX('Line Detail'!$E$6:$E$505,$M392)))</f>
        <v/>
      </c>
      <c r="F392" s="6" t="str">
        <f aca="false">IF($M392=0,"",IF(INDEX('Line Detail'!$F$6:$F$505,$M392)="","",INDEX('Line Detail'!$F$6:$F$505,$M392)))</f>
        <v/>
      </c>
      <c r="G392" s="62" t="str">
        <f aca="false">IF($M392=0,"",IF(INDEX('Line Detail'!$G$6:$G$505,$M392)="","",INDEX('Line Detail'!$G$6:$G$505,$M392)))</f>
        <v/>
      </c>
      <c r="H392" s="13" t="str">
        <f aca="false">IF($M392=0,"",IF(INDEX('Line Detail'!$H$6:$H$505,$M392)="","",INDEX('Line Detail'!$H$6:$H$505,$M392)))</f>
        <v/>
      </c>
      <c r="I392" s="34" t="str">
        <f aca="false">IF($M392=0,"",IF(INDEX('Line Detail'!$O$6:$O$505,$M392)="","",INDEX('Line Detail'!$O$6:$O$505,$M392)))</f>
        <v/>
      </c>
      <c r="J392" s="34" t="str">
        <f aca="false">IF($M392=0,"",IF(INDEX('Line Detail'!$R$6:$R$505,$M392)="","",INDEX('Line Detail'!$R$6:$R$505,$M392)))</f>
        <v/>
      </c>
      <c r="K392" s="6" t="str">
        <f aca="false">IF($M392=0,"",IF(INDEX('Line Detail'!$S$6:$S$505,$M392)="","",INDEX('Line Detail'!$S$6:$S$505,$M392)))</f>
        <v/>
      </c>
      <c r="L392" s="1"/>
      <c r="M392" s="63" t="n">
        <f aca="false">IFERROR(MATCH(387,'Line Detail'!$W$6:$W$505,0),0)</f>
        <v>0</v>
      </c>
    </row>
    <row r="393" customFormat="false" ht="15" hidden="false" customHeight="false" outlineLevel="0" collapsed="false">
      <c r="A393" s="13" t="str">
        <f aca="false">IF($M393=0,"",388)</f>
        <v/>
      </c>
      <c r="B393" s="13" t="str">
        <f aca="false">IF($M393=0,"",IF(INDEX('Line Detail'!$B$6:$B$505,$M393)="","",INDEX('Line Detail'!$B$6:$B$505,$M393)))</f>
        <v/>
      </c>
      <c r="C393" s="13" t="str">
        <f aca="false">IF($M393=0,"",IF(INDEX('Line Detail'!$C$6:$C$505,$M393)="","",INDEX('Line Detail'!$C$6:$C$505,$M393)))</f>
        <v/>
      </c>
      <c r="D393" s="13" t="str">
        <f aca="false">IF($M393=0,"",IF(INDEX('Line Detail'!$D$6:$D$505,$M393)="","",INDEX('Line Detail'!$D$6:$D$505,$M393)))</f>
        <v/>
      </c>
      <c r="E393" s="13" t="str">
        <f aca="false">IF($M393=0,"",IF(INDEX('Line Detail'!$E$6:$E$505,$M393)="","",INDEX('Line Detail'!$E$6:$E$505,$M393)))</f>
        <v/>
      </c>
      <c r="F393" s="6" t="str">
        <f aca="false">IF($M393=0,"",IF(INDEX('Line Detail'!$F$6:$F$505,$M393)="","",INDEX('Line Detail'!$F$6:$F$505,$M393)))</f>
        <v/>
      </c>
      <c r="G393" s="62" t="str">
        <f aca="false">IF($M393=0,"",IF(INDEX('Line Detail'!$G$6:$G$505,$M393)="","",INDEX('Line Detail'!$G$6:$G$505,$M393)))</f>
        <v/>
      </c>
      <c r="H393" s="13" t="str">
        <f aca="false">IF($M393=0,"",IF(INDEX('Line Detail'!$H$6:$H$505,$M393)="","",INDEX('Line Detail'!$H$6:$H$505,$M393)))</f>
        <v/>
      </c>
      <c r="I393" s="34" t="str">
        <f aca="false">IF($M393=0,"",IF(INDEX('Line Detail'!$O$6:$O$505,$M393)="","",INDEX('Line Detail'!$O$6:$O$505,$M393)))</f>
        <v/>
      </c>
      <c r="J393" s="34" t="str">
        <f aca="false">IF($M393=0,"",IF(INDEX('Line Detail'!$R$6:$R$505,$M393)="","",INDEX('Line Detail'!$R$6:$R$505,$M393)))</f>
        <v/>
      </c>
      <c r="K393" s="6" t="str">
        <f aca="false">IF($M393=0,"",IF(INDEX('Line Detail'!$S$6:$S$505,$M393)="","",INDEX('Line Detail'!$S$6:$S$505,$M393)))</f>
        <v/>
      </c>
      <c r="L393" s="1"/>
      <c r="M393" s="63" t="n">
        <f aca="false">IFERROR(MATCH(388,'Line Detail'!$W$6:$W$505,0),0)</f>
        <v>0</v>
      </c>
    </row>
    <row r="394" customFormat="false" ht="15" hidden="false" customHeight="false" outlineLevel="0" collapsed="false">
      <c r="A394" s="13" t="str">
        <f aca="false">IF($M394=0,"",389)</f>
        <v/>
      </c>
      <c r="B394" s="13" t="str">
        <f aca="false">IF($M394=0,"",IF(INDEX('Line Detail'!$B$6:$B$505,$M394)="","",INDEX('Line Detail'!$B$6:$B$505,$M394)))</f>
        <v/>
      </c>
      <c r="C394" s="13" t="str">
        <f aca="false">IF($M394=0,"",IF(INDEX('Line Detail'!$C$6:$C$505,$M394)="","",INDEX('Line Detail'!$C$6:$C$505,$M394)))</f>
        <v/>
      </c>
      <c r="D394" s="13" t="str">
        <f aca="false">IF($M394=0,"",IF(INDEX('Line Detail'!$D$6:$D$505,$M394)="","",INDEX('Line Detail'!$D$6:$D$505,$M394)))</f>
        <v/>
      </c>
      <c r="E394" s="13" t="str">
        <f aca="false">IF($M394=0,"",IF(INDEX('Line Detail'!$E$6:$E$505,$M394)="","",INDEX('Line Detail'!$E$6:$E$505,$M394)))</f>
        <v/>
      </c>
      <c r="F394" s="6" t="str">
        <f aca="false">IF($M394=0,"",IF(INDEX('Line Detail'!$F$6:$F$505,$M394)="","",INDEX('Line Detail'!$F$6:$F$505,$M394)))</f>
        <v/>
      </c>
      <c r="G394" s="62" t="str">
        <f aca="false">IF($M394=0,"",IF(INDEX('Line Detail'!$G$6:$G$505,$M394)="","",INDEX('Line Detail'!$G$6:$G$505,$M394)))</f>
        <v/>
      </c>
      <c r="H394" s="13" t="str">
        <f aca="false">IF($M394=0,"",IF(INDEX('Line Detail'!$H$6:$H$505,$M394)="","",INDEX('Line Detail'!$H$6:$H$505,$M394)))</f>
        <v/>
      </c>
      <c r="I394" s="34" t="str">
        <f aca="false">IF($M394=0,"",IF(INDEX('Line Detail'!$O$6:$O$505,$M394)="","",INDEX('Line Detail'!$O$6:$O$505,$M394)))</f>
        <v/>
      </c>
      <c r="J394" s="34" t="str">
        <f aca="false">IF($M394=0,"",IF(INDEX('Line Detail'!$R$6:$R$505,$M394)="","",INDEX('Line Detail'!$R$6:$R$505,$M394)))</f>
        <v/>
      </c>
      <c r="K394" s="6" t="str">
        <f aca="false">IF($M394=0,"",IF(INDEX('Line Detail'!$S$6:$S$505,$M394)="","",INDEX('Line Detail'!$S$6:$S$505,$M394)))</f>
        <v/>
      </c>
      <c r="L394" s="1"/>
      <c r="M394" s="63" t="n">
        <f aca="false">IFERROR(MATCH(389,'Line Detail'!$W$6:$W$505,0),0)</f>
        <v>0</v>
      </c>
    </row>
    <row r="395" customFormat="false" ht="15" hidden="false" customHeight="false" outlineLevel="0" collapsed="false">
      <c r="A395" s="13" t="str">
        <f aca="false">IF($M395=0,"",390)</f>
        <v/>
      </c>
      <c r="B395" s="13" t="str">
        <f aca="false">IF($M395=0,"",IF(INDEX('Line Detail'!$B$6:$B$505,$M395)="","",INDEX('Line Detail'!$B$6:$B$505,$M395)))</f>
        <v/>
      </c>
      <c r="C395" s="13" t="str">
        <f aca="false">IF($M395=0,"",IF(INDEX('Line Detail'!$C$6:$C$505,$M395)="","",INDEX('Line Detail'!$C$6:$C$505,$M395)))</f>
        <v/>
      </c>
      <c r="D395" s="13" t="str">
        <f aca="false">IF($M395=0,"",IF(INDEX('Line Detail'!$D$6:$D$505,$M395)="","",INDEX('Line Detail'!$D$6:$D$505,$M395)))</f>
        <v/>
      </c>
      <c r="E395" s="13" t="str">
        <f aca="false">IF($M395=0,"",IF(INDEX('Line Detail'!$E$6:$E$505,$M395)="","",INDEX('Line Detail'!$E$6:$E$505,$M395)))</f>
        <v/>
      </c>
      <c r="F395" s="6" t="str">
        <f aca="false">IF($M395=0,"",IF(INDEX('Line Detail'!$F$6:$F$505,$M395)="","",INDEX('Line Detail'!$F$6:$F$505,$M395)))</f>
        <v/>
      </c>
      <c r="G395" s="62" t="str">
        <f aca="false">IF($M395=0,"",IF(INDEX('Line Detail'!$G$6:$G$505,$M395)="","",INDEX('Line Detail'!$G$6:$G$505,$M395)))</f>
        <v/>
      </c>
      <c r="H395" s="13" t="str">
        <f aca="false">IF($M395=0,"",IF(INDEX('Line Detail'!$H$6:$H$505,$M395)="","",INDEX('Line Detail'!$H$6:$H$505,$M395)))</f>
        <v/>
      </c>
      <c r="I395" s="34" t="str">
        <f aca="false">IF($M395=0,"",IF(INDEX('Line Detail'!$O$6:$O$505,$M395)="","",INDEX('Line Detail'!$O$6:$O$505,$M395)))</f>
        <v/>
      </c>
      <c r="J395" s="34" t="str">
        <f aca="false">IF($M395=0,"",IF(INDEX('Line Detail'!$R$6:$R$505,$M395)="","",INDEX('Line Detail'!$R$6:$R$505,$M395)))</f>
        <v/>
      </c>
      <c r="K395" s="6" t="str">
        <f aca="false">IF($M395=0,"",IF(INDEX('Line Detail'!$S$6:$S$505,$M395)="","",INDEX('Line Detail'!$S$6:$S$505,$M395)))</f>
        <v/>
      </c>
      <c r="L395" s="1"/>
      <c r="M395" s="63" t="n">
        <f aca="false">IFERROR(MATCH(390,'Line Detail'!$W$6:$W$505,0),0)</f>
        <v>0</v>
      </c>
    </row>
    <row r="396" customFormat="false" ht="15" hidden="false" customHeight="false" outlineLevel="0" collapsed="false">
      <c r="A396" s="13" t="str">
        <f aca="false">IF($M396=0,"",391)</f>
        <v/>
      </c>
      <c r="B396" s="13" t="str">
        <f aca="false">IF($M396=0,"",IF(INDEX('Line Detail'!$B$6:$B$505,$M396)="","",INDEX('Line Detail'!$B$6:$B$505,$M396)))</f>
        <v/>
      </c>
      <c r="C396" s="13" t="str">
        <f aca="false">IF($M396=0,"",IF(INDEX('Line Detail'!$C$6:$C$505,$M396)="","",INDEX('Line Detail'!$C$6:$C$505,$M396)))</f>
        <v/>
      </c>
      <c r="D396" s="13" t="str">
        <f aca="false">IF($M396=0,"",IF(INDEX('Line Detail'!$D$6:$D$505,$M396)="","",INDEX('Line Detail'!$D$6:$D$505,$M396)))</f>
        <v/>
      </c>
      <c r="E396" s="13" t="str">
        <f aca="false">IF($M396=0,"",IF(INDEX('Line Detail'!$E$6:$E$505,$M396)="","",INDEX('Line Detail'!$E$6:$E$505,$M396)))</f>
        <v/>
      </c>
      <c r="F396" s="6" t="str">
        <f aca="false">IF($M396=0,"",IF(INDEX('Line Detail'!$F$6:$F$505,$M396)="","",INDEX('Line Detail'!$F$6:$F$505,$M396)))</f>
        <v/>
      </c>
      <c r="G396" s="62" t="str">
        <f aca="false">IF($M396=0,"",IF(INDEX('Line Detail'!$G$6:$G$505,$M396)="","",INDEX('Line Detail'!$G$6:$G$505,$M396)))</f>
        <v/>
      </c>
      <c r="H396" s="13" t="str">
        <f aca="false">IF($M396=0,"",IF(INDEX('Line Detail'!$H$6:$H$505,$M396)="","",INDEX('Line Detail'!$H$6:$H$505,$M396)))</f>
        <v/>
      </c>
      <c r="I396" s="34" t="str">
        <f aca="false">IF($M396=0,"",IF(INDEX('Line Detail'!$O$6:$O$505,$M396)="","",INDEX('Line Detail'!$O$6:$O$505,$M396)))</f>
        <v/>
      </c>
      <c r="J396" s="34" t="str">
        <f aca="false">IF($M396=0,"",IF(INDEX('Line Detail'!$R$6:$R$505,$M396)="","",INDEX('Line Detail'!$R$6:$R$505,$M396)))</f>
        <v/>
      </c>
      <c r="K396" s="6" t="str">
        <f aca="false">IF($M396=0,"",IF(INDEX('Line Detail'!$S$6:$S$505,$M396)="","",INDEX('Line Detail'!$S$6:$S$505,$M396)))</f>
        <v/>
      </c>
      <c r="L396" s="1"/>
      <c r="M396" s="63" t="n">
        <f aca="false">IFERROR(MATCH(391,'Line Detail'!$W$6:$W$505,0),0)</f>
        <v>0</v>
      </c>
    </row>
    <row r="397" customFormat="false" ht="15" hidden="false" customHeight="false" outlineLevel="0" collapsed="false">
      <c r="A397" s="13" t="str">
        <f aca="false">IF($M397=0,"",392)</f>
        <v/>
      </c>
      <c r="B397" s="13" t="str">
        <f aca="false">IF($M397=0,"",IF(INDEX('Line Detail'!$B$6:$B$505,$M397)="","",INDEX('Line Detail'!$B$6:$B$505,$M397)))</f>
        <v/>
      </c>
      <c r="C397" s="13" t="str">
        <f aca="false">IF($M397=0,"",IF(INDEX('Line Detail'!$C$6:$C$505,$M397)="","",INDEX('Line Detail'!$C$6:$C$505,$M397)))</f>
        <v/>
      </c>
      <c r="D397" s="13" t="str">
        <f aca="false">IF($M397=0,"",IF(INDEX('Line Detail'!$D$6:$D$505,$M397)="","",INDEX('Line Detail'!$D$6:$D$505,$M397)))</f>
        <v/>
      </c>
      <c r="E397" s="13" t="str">
        <f aca="false">IF($M397=0,"",IF(INDEX('Line Detail'!$E$6:$E$505,$M397)="","",INDEX('Line Detail'!$E$6:$E$505,$M397)))</f>
        <v/>
      </c>
      <c r="F397" s="6" t="str">
        <f aca="false">IF($M397=0,"",IF(INDEX('Line Detail'!$F$6:$F$505,$M397)="","",INDEX('Line Detail'!$F$6:$F$505,$M397)))</f>
        <v/>
      </c>
      <c r="G397" s="62" t="str">
        <f aca="false">IF($M397=0,"",IF(INDEX('Line Detail'!$G$6:$G$505,$M397)="","",INDEX('Line Detail'!$G$6:$G$505,$M397)))</f>
        <v/>
      </c>
      <c r="H397" s="13" t="str">
        <f aca="false">IF($M397=0,"",IF(INDEX('Line Detail'!$H$6:$H$505,$M397)="","",INDEX('Line Detail'!$H$6:$H$505,$M397)))</f>
        <v/>
      </c>
      <c r="I397" s="34" t="str">
        <f aca="false">IF($M397=0,"",IF(INDEX('Line Detail'!$O$6:$O$505,$M397)="","",INDEX('Line Detail'!$O$6:$O$505,$M397)))</f>
        <v/>
      </c>
      <c r="J397" s="34" t="str">
        <f aca="false">IF($M397=0,"",IF(INDEX('Line Detail'!$R$6:$R$505,$M397)="","",INDEX('Line Detail'!$R$6:$R$505,$M397)))</f>
        <v/>
      </c>
      <c r="K397" s="6" t="str">
        <f aca="false">IF($M397=0,"",IF(INDEX('Line Detail'!$S$6:$S$505,$M397)="","",INDEX('Line Detail'!$S$6:$S$505,$M397)))</f>
        <v/>
      </c>
      <c r="L397" s="1"/>
      <c r="M397" s="63" t="n">
        <f aca="false">IFERROR(MATCH(392,'Line Detail'!$W$6:$W$505,0),0)</f>
        <v>0</v>
      </c>
    </row>
    <row r="398" customFormat="false" ht="15" hidden="false" customHeight="false" outlineLevel="0" collapsed="false">
      <c r="A398" s="13" t="str">
        <f aca="false">IF($M398=0,"",393)</f>
        <v/>
      </c>
      <c r="B398" s="13" t="str">
        <f aca="false">IF($M398=0,"",IF(INDEX('Line Detail'!$B$6:$B$505,$M398)="","",INDEX('Line Detail'!$B$6:$B$505,$M398)))</f>
        <v/>
      </c>
      <c r="C398" s="13" t="str">
        <f aca="false">IF($M398=0,"",IF(INDEX('Line Detail'!$C$6:$C$505,$M398)="","",INDEX('Line Detail'!$C$6:$C$505,$M398)))</f>
        <v/>
      </c>
      <c r="D398" s="13" t="str">
        <f aca="false">IF($M398=0,"",IF(INDEX('Line Detail'!$D$6:$D$505,$M398)="","",INDEX('Line Detail'!$D$6:$D$505,$M398)))</f>
        <v/>
      </c>
      <c r="E398" s="13" t="str">
        <f aca="false">IF($M398=0,"",IF(INDEX('Line Detail'!$E$6:$E$505,$M398)="","",INDEX('Line Detail'!$E$6:$E$505,$M398)))</f>
        <v/>
      </c>
      <c r="F398" s="6" t="str">
        <f aca="false">IF($M398=0,"",IF(INDEX('Line Detail'!$F$6:$F$505,$M398)="","",INDEX('Line Detail'!$F$6:$F$505,$M398)))</f>
        <v/>
      </c>
      <c r="G398" s="62" t="str">
        <f aca="false">IF($M398=0,"",IF(INDEX('Line Detail'!$G$6:$G$505,$M398)="","",INDEX('Line Detail'!$G$6:$G$505,$M398)))</f>
        <v/>
      </c>
      <c r="H398" s="13" t="str">
        <f aca="false">IF($M398=0,"",IF(INDEX('Line Detail'!$H$6:$H$505,$M398)="","",INDEX('Line Detail'!$H$6:$H$505,$M398)))</f>
        <v/>
      </c>
      <c r="I398" s="34" t="str">
        <f aca="false">IF($M398=0,"",IF(INDEX('Line Detail'!$O$6:$O$505,$M398)="","",INDEX('Line Detail'!$O$6:$O$505,$M398)))</f>
        <v/>
      </c>
      <c r="J398" s="34" t="str">
        <f aca="false">IF($M398=0,"",IF(INDEX('Line Detail'!$R$6:$R$505,$M398)="","",INDEX('Line Detail'!$R$6:$R$505,$M398)))</f>
        <v/>
      </c>
      <c r="K398" s="6" t="str">
        <f aca="false">IF($M398=0,"",IF(INDEX('Line Detail'!$S$6:$S$505,$M398)="","",INDEX('Line Detail'!$S$6:$S$505,$M398)))</f>
        <v/>
      </c>
      <c r="L398" s="1"/>
      <c r="M398" s="63" t="n">
        <f aca="false">IFERROR(MATCH(393,'Line Detail'!$W$6:$W$505,0),0)</f>
        <v>0</v>
      </c>
    </row>
    <row r="399" customFormat="false" ht="15" hidden="false" customHeight="false" outlineLevel="0" collapsed="false">
      <c r="A399" s="13" t="str">
        <f aca="false">IF($M399=0,"",394)</f>
        <v/>
      </c>
      <c r="B399" s="13" t="str">
        <f aca="false">IF($M399=0,"",IF(INDEX('Line Detail'!$B$6:$B$505,$M399)="","",INDEX('Line Detail'!$B$6:$B$505,$M399)))</f>
        <v/>
      </c>
      <c r="C399" s="13" t="str">
        <f aca="false">IF($M399=0,"",IF(INDEX('Line Detail'!$C$6:$C$505,$M399)="","",INDEX('Line Detail'!$C$6:$C$505,$M399)))</f>
        <v/>
      </c>
      <c r="D399" s="13" t="str">
        <f aca="false">IF($M399=0,"",IF(INDEX('Line Detail'!$D$6:$D$505,$M399)="","",INDEX('Line Detail'!$D$6:$D$505,$M399)))</f>
        <v/>
      </c>
      <c r="E399" s="13" t="str">
        <f aca="false">IF($M399=0,"",IF(INDEX('Line Detail'!$E$6:$E$505,$M399)="","",INDEX('Line Detail'!$E$6:$E$505,$M399)))</f>
        <v/>
      </c>
      <c r="F399" s="6" t="str">
        <f aca="false">IF($M399=0,"",IF(INDEX('Line Detail'!$F$6:$F$505,$M399)="","",INDEX('Line Detail'!$F$6:$F$505,$M399)))</f>
        <v/>
      </c>
      <c r="G399" s="62" t="str">
        <f aca="false">IF($M399=0,"",IF(INDEX('Line Detail'!$G$6:$G$505,$M399)="","",INDEX('Line Detail'!$G$6:$G$505,$M399)))</f>
        <v/>
      </c>
      <c r="H399" s="13" t="str">
        <f aca="false">IF($M399=0,"",IF(INDEX('Line Detail'!$H$6:$H$505,$M399)="","",INDEX('Line Detail'!$H$6:$H$505,$M399)))</f>
        <v/>
      </c>
      <c r="I399" s="34" t="str">
        <f aca="false">IF($M399=0,"",IF(INDEX('Line Detail'!$O$6:$O$505,$M399)="","",INDEX('Line Detail'!$O$6:$O$505,$M399)))</f>
        <v/>
      </c>
      <c r="J399" s="34" t="str">
        <f aca="false">IF($M399=0,"",IF(INDEX('Line Detail'!$R$6:$R$505,$M399)="","",INDEX('Line Detail'!$R$6:$R$505,$M399)))</f>
        <v/>
      </c>
      <c r="K399" s="6" t="str">
        <f aca="false">IF($M399=0,"",IF(INDEX('Line Detail'!$S$6:$S$505,$M399)="","",INDEX('Line Detail'!$S$6:$S$505,$M399)))</f>
        <v/>
      </c>
      <c r="L399" s="1"/>
      <c r="M399" s="63" t="n">
        <f aca="false">IFERROR(MATCH(394,'Line Detail'!$W$6:$W$505,0),0)</f>
        <v>0</v>
      </c>
    </row>
    <row r="400" customFormat="false" ht="15" hidden="false" customHeight="false" outlineLevel="0" collapsed="false">
      <c r="A400" s="13" t="str">
        <f aca="false">IF($M400=0,"",395)</f>
        <v/>
      </c>
      <c r="B400" s="13" t="str">
        <f aca="false">IF($M400=0,"",IF(INDEX('Line Detail'!$B$6:$B$505,$M400)="","",INDEX('Line Detail'!$B$6:$B$505,$M400)))</f>
        <v/>
      </c>
      <c r="C400" s="13" t="str">
        <f aca="false">IF($M400=0,"",IF(INDEX('Line Detail'!$C$6:$C$505,$M400)="","",INDEX('Line Detail'!$C$6:$C$505,$M400)))</f>
        <v/>
      </c>
      <c r="D400" s="13" t="str">
        <f aca="false">IF($M400=0,"",IF(INDEX('Line Detail'!$D$6:$D$505,$M400)="","",INDEX('Line Detail'!$D$6:$D$505,$M400)))</f>
        <v/>
      </c>
      <c r="E400" s="13" t="str">
        <f aca="false">IF($M400=0,"",IF(INDEX('Line Detail'!$E$6:$E$505,$M400)="","",INDEX('Line Detail'!$E$6:$E$505,$M400)))</f>
        <v/>
      </c>
      <c r="F400" s="6" t="str">
        <f aca="false">IF($M400=0,"",IF(INDEX('Line Detail'!$F$6:$F$505,$M400)="","",INDEX('Line Detail'!$F$6:$F$505,$M400)))</f>
        <v/>
      </c>
      <c r="G400" s="62" t="str">
        <f aca="false">IF($M400=0,"",IF(INDEX('Line Detail'!$G$6:$G$505,$M400)="","",INDEX('Line Detail'!$G$6:$G$505,$M400)))</f>
        <v/>
      </c>
      <c r="H400" s="13" t="str">
        <f aca="false">IF($M400=0,"",IF(INDEX('Line Detail'!$H$6:$H$505,$M400)="","",INDEX('Line Detail'!$H$6:$H$505,$M400)))</f>
        <v/>
      </c>
      <c r="I400" s="34" t="str">
        <f aca="false">IF($M400=0,"",IF(INDEX('Line Detail'!$O$6:$O$505,$M400)="","",INDEX('Line Detail'!$O$6:$O$505,$M400)))</f>
        <v/>
      </c>
      <c r="J400" s="34" t="str">
        <f aca="false">IF($M400=0,"",IF(INDEX('Line Detail'!$R$6:$R$505,$M400)="","",INDEX('Line Detail'!$R$6:$R$505,$M400)))</f>
        <v/>
      </c>
      <c r="K400" s="6" t="str">
        <f aca="false">IF($M400=0,"",IF(INDEX('Line Detail'!$S$6:$S$505,$M400)="","",INDEX('Line Detail'!$S$6:$S$505,$M400)))</f>
        <v/>
      </c>
      <c r="L400" s="1"/>
      <c r="M400" s="63" t="n">
        <f aca="false">IFERROR(MATCH(395,'Line Detail'!$W$6:$W$505,0),0)</f>
        <v>0</v>
      </c>
    </row>
    <row r="401" customFormat="false" ht="15" hidden="false" customHeight="false" outlineLevel="0" collapsed="false">
      <c r="A401" s="13" t="str">
        <f aca="false">IF($M401=0,"",396)</f>
        <v/>
      </c>
      <c r="B401" s="13" t="str">
        <f aca="false">IF($M401=0,"",IF(INDEX('Line Detail'!$B$6:$B$505,$M401)="","",INDEX('Line Detail'!$B$6:$B$505,$M401)))</f>
        <v/>
      </c>
      <c r="C401" s="13" t="str">
        <f aca="false">IF($M401=0,"",IF(INDEX('Line Detail'!$C$6:$C$505,$M401)="","",INDEX('Line Detail'!$C$6:$C$505,$M401)))</f>
        <v/>
      </c>
      <c r="D401" s="13" t="str">
        <f aca="false">IF($M401=0,"",IF(INDEX('Line Detail'!$D$6:$D$505,$M401)="","",INDEX('Line Detail'!$D$6:$D$505,$M401)))</f>
        <v/>
      </c>
      <c r="E401" s="13" t="str">
        <f aca="false">IF($M401=0,"",IF(INDEX('Line Detail'!$E$6:$E$505,$M401)="","",INDEX('Line Detail'!$E$6:$E$505,$M401)))</f>
        <v/>
      </c>
      <c r="F401" s="6" t="str">
        <f aca="false">IF($M401=0,"",IF(INDEX('Line Detail'!$F$6:$F$505,$M401)="","",INDEX('Line Detail'!$F$6:$F$505,$M401)))</f>
        <v/>
      </c>
      <c r="G401" s="62" t="str">
        <f aca="false">IF($M401=0,"",IF(INDEX('Line Detail'!$G$6:$G$505,$M401)="","",INDEX('Line Detail'!$G$6:$G$505,$M401)))</f>
        <v/>
      </c>
      <c r="H401" s="13" t="str">
        <f aca="false">IF($M401=0,"",IF(INDEX('Line Detail'!$H$6:$H$505,$M401)="","",INDEX('Line Detail'!$H$6:$H$505,$M401)))</f>
        <v/>
      </c>
      <c r="I401" s="34" t="str">
        <f aca="false">IF($M401=0,"",IF(INDEX('Line Detail'!$O$6:$O$505,$M401)="","",INDEX('Line Detail'!$O$6:$O$505,$M401)))</f>
        <v/>
      </c>
      <c r="J401" s="34" t="str">
        <f aca="false">IF($M401=0,"",IF(INDEX('Line Detail'!$R$6:$R$505,$M401)="","",INDEX('Line Detail'!$R$6:$R$505,$M401)))</f>
        <v/>
      </c>
      <c r="K401" s="6" t="str">
        <f aca="false">IF($M401=0,"",IF(INDEX('Line Detail'!$S$6:$S$505,$M401)="","",INDEX('Line Detail'!$S$6:$S$505,$M401)))</f>
        <v/>
      </c>
      <c r="L401" s="1"/>
      <c r="M401" s="63" t="n">
        <f aca="false">IFERROR(MATCH(396,'Line Detail'!$W$6:$W$505,0),0)</f>
        <v>0</v>
      </c>
    </row>
    <row r="402" customFormat="false" ht="15" hidden="false" customHeight="false" outlineLevel="0" collapsed="false">
      <c r="A402" s="13" t="str">
        <f aca="false">IF($M402=0,"",397)</f>
        <v/>
      </c>
      <c r="B402" s="13" t="str">
        <f aca="false">IF($M402=0,"",IF(INDEX('Line Detail'!$B$6:$B$505,$M402)="","",INDEX('Line Detail'!$B$6:$B$505,$M402)))</f>
        <v/>
      </c>
      <c r="C402" s="13" t="str">
        <f aca="false">IF($M402=0,"",IF(INDEX('Line Detail'!$C$6:$C$505,$M402)="","",INDEX('Line Detail'!$C$6:$C$505,$M402)))</f>
        <v/>
      </c>
      <c r="D402" s="13" t="str">
        <f aca="false">IF($M402=0,"",IF(INDEX('Line Detail'!$D$6:$D$505,$M402)="","",INDEX('Line Detail'!$D$6:$D$505,$M402)))</f>
        <v/>
      </c>
      <c r="E402" s="13" t="str">
        <f aca="false">IF($M402=0,"",IF(INDEX('Line Detail'!$E$6:$E$505,$M402)="","",INDEX('Line Detail'!$E$6:$E$505,$M402)))</f>
        <v/>
      </c>
      <c r="F402" s="6" t="str">
        <f aca="false">IF($M402=0,"",IF(INDEX('Line Detail'!$F$6:$F$505,$M402)="","",INDEX('Line Detail'!$F$6:$F$505,$M402)))</f>
        <v/>
      </c>
      <c r="G402" s="62" t="str">
        <f aca="false">IF($M402=0,"",IF(INDEX('Line Detail'!$G$6:$G$505,$M402)="","",INDEX('Line Detail'!$G$6:$G$505,$M402)))</f>
        <v/>
      </c>
      <c r="H402" s="13" t="str">
        <f aca="false">IF($M402=0,"",IF(INDEX('Line Detail'!$H$6:$H$505,$M402)="","",INDEX('Line Detail'!$H$6:$H$505,$M402)))</f>
        <v/>
      </c>
      <c r="I402" s="34" t="str">
        <f aca="false">IF($M402=0,"",IF(INDEX('Line Detail'!$O$6:$O$505,$M402)="","",INDEX('Line Detail'!$O$6:$O$505,$M402)))</f>
        <v/>
      </c>
      <c r="J402" s="34" t="str">
        <f aca="false">IF($M402=0,"",IF(INDEX('Line Detail'!$R$6:$R$505,$M402)="","",INDEX('Line Detail'!$R$6:$R$505,$M402)))</f>
        <v/>
      </c>
      <c r="K402" s="6" t="str">
        <f aca="false">IF($M402=0,"",IF(INDEX('Line Detail'!$S$6:$S$505,$M402)="","",INDEX('Line Detail'!$S$6:$S$505,$M402)))</f>
        <v/>
      </c>
      <c r="L402" s="1"/>
      <c r="M402" s="63" t="n">
        <f aca="false">IFERROR(MATCH(397,'Line Detail'!$W$6:$W$505,0),0)</f>
        <v>0</v>
      </c>
    </row>
    <row r="403" customFormat="false" ht="15" hidden="false" customHeight="false" outlineLevel="0" collapsed="false">
      <c r="A403" s="13" t="str">
        <f aca="false">IF($M403=0,"",398)</f>
        <v/>
      </c>
      <c r="B403" s="13" t="str">
        <f aca="false">IF($M403=0,"",IF(INDEX('Line Detail'!$B$6:$B$505,$M403)="","",INDEX('Line Detail'!$B$6:$B$505,$M403)))</f>
        <v/>
      </c>
      <c r="C403" s="13" t="str">
        <f aca="false">IF($M403=0,"",IF(INDEX('Line Detail'!$C$6:$C$505,$M403)="","",INDEX('Line Detail'!$C$6:$C$505,$M403)))</f>
        <v/>
      </c>
      <c r="D403" s="13" t="str">
        <f aca="false">IF($M403=0,"",IF(INDEX('Line Detail'!$D$6:$D$505,$M403)="","",INDEX('Line Detail'!$D$6:$D$505,$M403)))</f>
        <v/>
      </c>
      <c r="E403" s="13" t="str">
        <f aca="false">IF($M403=0,"",IF(INDEX('Line Detail'!$E$6:$E$505,$M403)="","",INDEX('Line Detail'!$E$6:$E$505,$M403)))</f>
        <v/>
      </c>
      <c r="F403" s="6" t="str">
        <f aca="false">IF($M403=0,"",IF(INDEX('Line Detail'!$F$6:$F$505,$M403)="","",INDEX('Line Detail'!$F$6:$F$505,$M403)))</f>
        <v/>
      </c>
      <c r="G403" s="62" t="str">
        <f aca="false">IF($M403=0,"",IF(INDEX('Line Detail'!$G$6:$G$505,$M403)="","",INDEX('Line Detail'!$G$6:$G$505,$M403)))</f>
        <v/>
      </c>
      <c r="H403" s="13" t="str">
        <f aca="false">IF($M403=0,"",IF(INDEX('Line Detail'!$H$6:$H$505,$M403)="","",INDEX('Line Detail'!$H$6:$H$505,$M403)))</f>
        <v/>
      </c>
      <c r="I403" s="34" t="str">
        <f aca="false">IF($M403=0,"",IF(INDEX('Line Detail'!$O$6:$O$505,$M403)="","",INDEX('Line Detail'!$O$6:$O$505,$M403)))</f>
        <v/>
      </c>
      <c r="J403" s="34" t="str">
        <f aca="false">IF($M403=0,"",IF(INDEX('Line Detail'!$R$6:$R$505,$M403)="","",INDEX('Line Detail'!$R$6:$R$505,$M403)))</f>
        <v/>
      </c>
      <c r="K403" s="6" t="str">
        <f aca="false">IF($M403=0,"",IF(INDEX('Line Detail'!$S$6:$S$505,$M403)="","",INDEX('Line Detail'!$S$6:$S$505,$M403)))</f>
        <v/>
      </c>
      <c r="L403" s="1"/>
      <c r="M403" s="63" t="n">
        <f aca="false">IFERROR(MATCH(398,'Line Detail'!$W$6:$W$505,0),0)</f>
        <v>0</v>
      </c>
    </row>
    <row r="404" customFormat="false" ht="15" hidden="false" customHeight="false" outlineLevel="0" collapsed="false">
      <c r="A404" s="13" t="str">
        <f aca="false">IF($M404=0,"",399)</f>
        <v/>
      </c>
      <c r="B404" s="13" t="str">
        <f aca="false">IF($M404=0,"",IF(INDEX('Line Detail'!$B$6:$B$505,$M404)="","",INDEX('Line Detail'!$B$6:$B$505,$M404)))</f>
        <v/>
      </c>
      <c r="C404" s="13" t="str">
        <f aca="false">IF($M404=0,"",IF(INDEX('Line Detail'!$C$6:$C$505,$M404)="","",INDEX('Line Detail'!$C$6:$C$505,$M404)))</f>
        <v/>
      </c>
      <c r="D404" s="13" t="str">
        <f aca="false">IF($M404=0,"",IF(INDEX('Line Detail'!$D$6:$D$505,$M404)="","",INDEX('Line Detail'!$D$6:$D$505,$M404)))</f>
        <v/>
      </c>
      <c r="E404" s="13" t="str">
        <f aca="false">IF($M404=0,"",IF(INDEX('Line Detail'!$E$6:$E$505,$M404)="","",INDEX('Line Detail'!$E$6:$E$505,$M404)))</f>
        <v/>
      </c>
      <c r="F404" s="6" t="str">
        <f aca="false">IF($M404=0,"",IF(INDEX('Line Detail'!$F$6:$F$505,$M404)="","",INDEX('Line Detail'!$F$6:$F$505,$M404)))</f>
        <v/>
      </c>
      <c r="G404" s="62" t="str">
        <f aca="false">IF($M404=0,"",IF(INDEX('Line Detail'!$G$6:$G$505,$M404)="","",INDEX('Line Detail'!$G$6:$G$505,$M404)))</f>
        <v/>
      </c>
      <c r="H404" s="13" t="str">
        <f aca="false">IF($M404=0,"",IF(INDEX('Line Detail'!$H$6:$H$505,$M404)="","",INDEX('Line Detail'!$H$6:$H$505,$M404)))</f>
        <v/>
      </c>
      <c r="I404" s="34" t="str">
        <f aca="false">IF($M404=0,"",IF(INDEX('Line Detail'!$O$6:$O$505,$M404)="","",INDEX('Line Detail'!$O$6:$O$505,$M404)))</f>
        <v/>
      </c>
      <c r="J404" s="34" t="str">
        <f aca="false">IF($M404=0,"",IF(INDEX('Line Detail'!$R$6:$R$505,$M404)="","",INDEX('Line Detail'!$R$6:$R$505,$M404)))</f>
        <v/>
      </c>
      <c r="K404" s="6" t="str">
        <f aca="false">IF($M404=0,"",IF(INDEX('Line Detail'!$S$6:$S$505,$M404)="","",INDEX('Line Detail'!$S$6:$S$505,$M404)))</f>
        <v/>
      </c>
      <c r="L404" s="1"/>
      <c r="M404" s="63" t="n">
        <f aca="false">IFERROR(MATCH(399,'Line Detail'!$W$6:$W$505,0),0)</f>
        <v>0</v>
      </c>
    </row>
    <row r="405" customFormat="false" ht="15" hidden="false" customHeight="false" outlineLevel="0" collapsed="false">
      <c r="A405" s="13" t="str">
        <f aca="false">IF($M405=0,"",400)</f>
        <v/>
      </c>
      <c r="B405" s="13" t="str">
        <f aca="false">IF($M405=0,"",IF(INDEX('Line Detail'!$B$6:$B$505,$M405)="","",INDEX('Line Detail'!$B$6:$B$505,$M405)))</f>
        <v/>
      </c>
      <c r="C405" s="13" t="str">
        <f aca="false">IF($M405=0,"",IF(INDEX('Line Detail'!$C$6:$C$505,$M405)="","",INDEX('Line Detail'!$C$6:$C$505,$M405)))</f>
        <v/>
      </c>
      <c r="D405" s="13" t="str">
        <f aca="false">IF($M405=0,"",IF(INDEX('Line Detail'!$D$6:$D$505,$M405)="","",INDEX('Line Detail'!$D$6:$D$505,$M405)))</f>
        <v/>
      </c>
      <c r="E405" s="13" t="str">
        <f aca="false">IF($M405=0,"",IF(INDEX('Line Detail'!$E$6:$E$505,$M405)="","",INDEX('Line Detail'!$E$6:$E$505,$M405)))</f>
        <v/>
      </c>
      <c r="F405" s="6" t="str">
        <f aca="false">IF($M405=0,"",IF(INDEX('Line Detail'!$F$6:$F$505,$M405)="","",INDEX('Line Detail'!$F$6:$F$505,$M405)))</f>
        <v/>
      </c>
      <c r="G405" s="62" t="str">
        <f aca="false">IF($M405=0,"",IF(INDEX('Line Detail'!$G$6:$G$505,$M405)="","",INDEX('Line Detail'!$G$6:$G$505,$M405)))</f>
        <v/>
      </c>
      <c r="H405" s="13" t="str">
        <f aca="false">IF($M405=0,"",IF(INDEX('Line Detail'!$H$6:$H$505,$M405)="","",INDEX('Line Detail'!$H$6:$H$505,$M405)))</f>
        <v/>
      </c>
      <c r="I405" s="34" t="str">
        <f aca="false">IF($M405=0,"",IF(INDEX('Line Detail'!$O$6:$O$505,$M405)="","",INDEX('Line Detail'!$O$6:$O$505,$M405)))</f>
        <v/>
      </c>
      <c r="J405" s="34" t="str">
        <f aca="false">IF($M405=0,"",IF(INDEX('Line Detail'!$R$6:$R$505,$M405)="","",INDEX('Line Detail'!$R$6:$R$505,$M405)))</f>
        <v/>
      </c>
      <c r="K405" s="6" t="str">
        <f aca="false">IF($M405=0,"",IF(INDEX('Line Detail'!$S$6:$S$505,$M405)="","",INDEX('Line Detail'!$S$6:$S$505,$M405)))</f>
        <v/>
      </c>
      <c r="L405" s="1"/>
      <c r="M405" s="63" t="n">
        <f aca="false">IFERROR(MATCH(400,'Line Detail'!$W$6:$W$505,0),0)</f>
        <v>0</v>
      </c>
    </row>
    <row r="406" customFormat="false" ht="15" hidden="false" customHeight="false" outlineLevel="0" collapsed="false">
      <c r="A406" s="13" t="str">
        <f aca="false">IF($M406=0,"",401)</f>
        <v/>
      </c>
      <c r="B406" s="13" t="str">
        <f aca="false">IF($M406=0,"",IF(INDEX('Line Detail'!$B$6:$B$505,$M406)="","",INDEX('Line Detail'!$B$6:$B$505,$M406)))</f>
        <v/>
      </c>
      <c r="C406" s="13" t="str">
        <f aca="false">IF($M406=0,"",IF(INDEX('Line Detail'!$C$6:$C$505,$M406)="","",INDEX('Line Detail'!$C$6:$C$505,$M406)))</f>
        <v/>
      </c>
      <c r="D406" s="13" t="str">
        <f aca="false">IF($M406=0,"",IF(INDEX('Line Detail'!$D$6:$D$505,$M406)="","",INDEX('Line Detail'!$D$6:$D$505,$M406)))</f>
        <v/>
      </c>
      <c r="E406" s="13" t="str">
        <f aca="false">IF($M406=0,"",IF(INDEX('Line Detail'!$E$6:$E$505,$M406)="","",INDEX('Line Detail'!$E$6:$E$505,$M406)))</f>
        <v/>
      </c>
      <c r="F406" s="6" t="str">
        <f aca="false">IF($M406=0,"",IF(INDEX('Line Detail'!$F$6:$F$505,$M406)="","",INDEX('Line Detail'!$F$6:$F$505,$M406)))</f>
        <v/>
      </c>
      <c r="G406" s="62" t="str">
        <f aca="false">IF($M406=0,"",IF(INDEX('Line Detail'!$G$6:$G$505,$M406)="","",INDEX('Line Detail'!$G$6:$G$505,$M406)))</f>
        <v/>
      </c>
      <c r="H406" s="13" t="str">
        <f aca="false">IF($M406=0,"",IF(INDEX('Line Detail'!$H$6:$H$505,$M406)="","",INDEX('Line Detail'!$H$6:$H$505,$M406)))</f>
        <v/>
      </c>
      <c r="I406" s="34" t="str">
        <f aca="false">IF($M406=0,"",IF(INDEX('Line Detail'!$O$6:$O$505,$M406)="","",INDEX('Line Detail'!$O$6:$O$505,$M406)))</f>
        <v/>
      </c>
      <c r="J406" s="34" t="str">
        <f aca="false">IF($M406=0,"",IF(INDEX('Line Detail'!$R$6:$R$505,$M406)="","",INDEX('Line Detail'!$R$6:$R$505,$M406)))</f>
        <v/>
      </c>
      <c r="K406" s="6" t="str">
        <f aca="false">IF($M406=0,"",IF(INDEX('Line Detail'!$S$6:$S$505,$M406)="","",INDEX('Line Detail'!$S$6:$S$505,$M406)))</f>
        <v/>
      </c>
      <c r="L406" s="1"/>
      <c r="M406" s="63" t="n">
        <f aca="false">IFERROR(MATCH(401,'Line Detail'!$W$6:$W$505,0),0)</f>
        <v>0</v>
      </c>
    </row>
    <row r="407" customFormat="false" ht="15" hidden="false" customHeight="false" outlineLevel="0" collapsed="false">
      <c r="A407" s="13" t="str">
        <f aca="false">IF($M407=0,"",402)</f>
        <v/>
      </c>
      <c r="B407" s="13" t="str">
        <f aca="false">IF($M407=0,"",IF(INDEX('Line Detail'!$B$6:$B$505,$M407)="","",INDEX('Line Detail'!$B$6:$B$505,$M407)))</f>
        <v/>
      </c>
      <c r="C407" s="13" t="str">
        <f aca="false">IF($M407=0,"",IF(INDEX('Line Detail'!$C$6:$C$505,$M407)="","",INDEX('Line Detail'!$C$6:$C$505,$M407)))</f>
        <v/>
      </c>
      <c r="D407" s="13" t="str">
        <f aca="false">IF($M407=0,"",IF(INDEX('Line Detail'!$D$6:$D$505,$M407)="","",INDEX('Line Detail'!$D$6:$D$505,$M407)))</f>
        <v/>
      </c>
      <c r="E407" s="13" t="str">
        <f aca="false">IF($M407=0,"",IF(INDEX('Line Detail'!$E$6:$E$505,$M407)="","",INDEX('Line Detail'!$E$6:$E$505,$M407)))</f>
        <v/>
      </c>
      <c r="F407" s="6" t="str">
        <f aca="false">IF($M407=0,"",IF(INDEX('Line Detail'!$F$6:$F$505,$M407)="","",INDEX('Line Detail'!$F$6:$F$505,$M407)))</f>
        <v/>
      </c>
      <c r="G407" s="62" t="str">
        <f aca="false">IF($M407=0,"",IF(INDEX('Line Detail'!$G$6:$G$505,$M407)="","",INDEX('Line Detail'!$G$6:$G$505,$M407)))</f>
        <v/>
      </c>
      <c r="H407" s="13" t="str">
        <f aca="false">IF($M407=0,"",IF(INDEX('Line Detail'!$H$6:$H$505,$M407)="","",INDEX('Line Detail'!$H$6:$H$505,$M407)))</f>
        <v/>
      </c>
      <c r="I407" s="34" t="str">
        <f aca="false">IF($M407=0,"",IF(INDEX('Line Detail'!$O$6:$O$505,$M407)="","",INDEX('Line Detail'!$O$6:$O$505,$M407)))</f>
        <v/>
      </c>
      <c r="J407" s="34" t="str">
        <f aca="false">IF($M407=0,"",IF(INDEX('Line Detail'!$R$6:$R$505,$M407)="","",INDEX('Line Detail'!$R$6:$R$505,$M407)))</f>
        <v/>
      </c>
      <c r="K407" s="6" t="str">
        <f aca="false">IF($M407=0,"",IF(INDEX('Line Detail'!$S$6:$S$505,$M407)="","",INDEX('Line Detail'!$S$6:$S$505,$M407)))</f>
        <v/>
      </c>
      <c r="L407" s="1"/>
      <c r="M407" s="63" t="n">
        <f aca="false">IFERROR(MATCH(402,'Line Detail'!$W$6:$W$505,0),0)</f>
        <v>0</v>
      </c>
    </row>
    <row r="408" customFormat="false" ht="15" hidden="false" customHeight="false" outlineLevel="0" collapsed="false">
      <c r="A408" s="13" t="str">
        <f aca="false">IF($M408=0,"",403)</f>
        <v/>
      </c>
      <c r="B408" s="13" t="str">
        <f aca="false">IF($M408=0,"",IF(INDEX('Line Detail'!$B$6:$B$505,$M408)="","",INDEX('Line Detail'!$B$6:$B$505,$M408)))</f>
        <v/>
      </c>
      <c r="C408" s="13" t="str">
        <f aca="false">IF($M408=0,"",IF(INDEX('Line Detail'!$C$6:$C$505,$M408)="","",INDEX('Line Detail'!$C$6:$C$505,$M408)))</f>
        <v/>
      </c>
      <c r="D408" s="13" t="str">
        <f aca="false">IF($M408=0,"",IF(INDEX('Line Detail'!$D$6:$D$505,$M408)="","",INDEX('Line Detail'!$D$6:$D$505,$M408)))</f>
        <v/>
      </c>
      <c r="E408" s="13" t="str">
        <f aca="false">IF($M408=0,"",IF(INDEX('Line Detail'!$E$6:$E$505,$M408)="","",INDEX('Line Detail'!$E$6:$E$505,$M408)))</f>
        <v/>
      </c>
      <c r="F408" s="6" t="str">
        <f aca="false">IF($M408=0,"",IF(INDEX('Line Detail'!$F$6:$F$505,$M408)="","",INDEX('Line Detail'!$F$6:$F$505,$M408)))</f>
        <v/>
      </c>
      <c r="G408" s="62" t="str">
        <f aca="false">IF($M408=0,"",IF(INDEX('Line Detail'!$G$6:$G$505,$M408)="","",INDEX('Line Detail'!$G$6:$G$505,$M408)))</f>
        <v/>
      </c>
      <c r="H408" s="13" t="str">
        <f aca="false">IF($M408=0,"",IF(INDEX('Line Detail'!$H$6:$H$505,$M408)="","",INDEX('Line Detail'!$H$6:$H$505,$M408)))</f>
        <v/>
      </c>
      <c r="I408" s="34" t="str">
        <f aca="false">IF($M408=0,"",IF(INDEX('Line Detail'!$O$6:$O$505,$M408)="","",INDEX('Line Detail'!$O$6:$O$505,$M408)))</f>
        <v/>
      </c>
      <c r="J408" s="34" t="str">
        <f aca="false">IF($M408=0,"",IF(INDEX('Line Detail'!$R$6:$R$505,$M408)="","",INDEX('Line Detail'!$R$6:$R$505,$M408)))</f>
        <v/>
      </c>
      <c r="K408" s="6" t="str">
        <f aca="false">IF($M408=0,"",IF(INDEX('Line Detail'!$S$6:$S$505,$M408)="","",INDEX('Line Detail'!$S$6:$S$505,$M408)))</f>
        <v/>
      </c>
      <c r="L408" s="1"/>
      <c r="M408" s="63" t="n">
        <f aca="false">IFERROR(MATCH(403,'Line Detail'!$W$6:$W$505,0),0)</f>
        <v>0</v>
      </c>
    </row>
    <row r="409" customFormat="false" ht="15" hidden="false" customHeight="false" outlineLevel="0" collapsed="false">
      <c r="A409" s="13" t="str">
        <f aca="false">IF($M409=0,"",404)</f>
        <v/>
      </c>
      <c r="B409" s="13" t="str">
        <f aca="false">IF($M409=0,"",IF(INDEX('Line Detail'!$B$6:$B$505,$M409)="","",INDEX('Line Detail'!$B$6:$B$505,$M409)))</f>
        <v/>
      </c>
      <c r="C409" s="13" t="str">
        <f aca="false">IF($M409=0,"",IF(INDEX('Line Detail'!$C$6:$C$505,$M409)="","",INDEX('Line Detail'!$C$6:$C$505,$M409)))</f>
        <v/>
      </c>
      <c r="D409" s="13" t="str">
        <f aca="false">IF($M409=0,"",IF(INDEX('Line Detail'!$D$6:$D$505,$M409)="","",INDEX('Line Detail'!$D$6:$D$505,$M409)))</f>
        <v/>
      </c>
      <c r="E409" s="13" t="str">
        <f aca="false">IF($M409=0,"",IF(INDEX('Line Detail'!$E$6:$E$505,$M409)="","",INDEX('Line Detail'!$E$6:$E$505,$M409)))</f>
        <v/>
      </c>
      <c r="F409" s="6" t="str">
        <f aca="false">IF($M409=0,"",IF(INDEX('Line Detail'!$F$6:$F$505,$M409)="","",INDEX('Line Detail'!$F$6:$F$505,$M409)))</f>
        <v/>
      </c>
      <c r="G409" s="62" t="str">
        <f aca="false">IF($M409=0,"",IF(INDEX('Line Detail'!$G$6:$G$505,$M409)="","",INDEX('Line Detail'!$G$6:$G$505,$M409)))</f>
        <v/>
      </c>
      <c r="H409" s="13" t="str">
        <f aca="false">IF($M409=0,"",IF(INDEX('Line Detail'!$H$6:$H$505,$M409)="","",INDEX('Line Detail'!$H$6:$H$505,$M409)))</f>
        <v/>
      </c>
      <c r="I409" s="34" t="str">
        <f aca="false">IF($M409=0,"",IF(INDEX('Line Detail'!$O$6:$O$505,$M409)="","",INDEX('Line Detail'!$O$6:$O$505,$M409)))</f>
        <v/>
      </c>
      <c r="J409" s="34" t="str">
        <f aca="false">IF($M409=0,"",IF(INDEX('Line Detail'!$R$6:$R$505,$M409)="","",INDEX('Line Detail'!$R$6:$R$505,$M409)))</f>
        <v/>
      </c>
      <c r="K409" s="6" t="str">
        <f aca="false">IF($M409=0,"",IF(INDEX('Line Detail'!$S$6:$S$505,$M409)="","",INDEX('Line Detail'!$S$6:$S$505,$M409)))</f>
        <v/>
      </c>
      <c r="L409" s="1"/>
      <c r="M409" s="63" t="n">
        <f aca="false">IFERROR(MATCH(404,'Line Detail'!$W$6:$W$505,0),0)</f>
        <v>0</v>
      </c>
    </row>
    <row r="410" customFormat="false" ht="15" hidden="false" customHeight="false" outlineLevel="0" collapsed="false">
      <c r="A410" s="13" t="str">
        <f aca="false">IF($M410=0,"",405)</f>
        <v/>
      </c>
      <c r="B410" s="13" t="str">
        <f aca="false">IF($M410=0,"",IF(INDEX('Line Detail'!$B$6:$B$505,$M410)="","",INDEX('Line Detail'!$B$6:$B$505,$M410)))</f>
        <v/>
      </c>
      <c r="C410" s="13" t="str">
        <f aca="false">IF($M410=0,"",IF(INDEX('Line Detail'!$C$6:$C$505,$M410)="","",INDEX('Line Detail'!$C$6:$C$505,$M410)))</f>
        <v/>
      </c>
      <c r="D410" s="13" t="str">
        <f aca="false">IF($M410=0,"",IF(INDEX('Line Detail'!$D$6:$D$505,$M410)="","",INDEX('Line Detail'!$D$6:$D$505,$M410)))</f>
        <v/>
      </c>
      <c r="E410" s="13" t="str">
        <f aca="false">IF($M410=0,"",IF(INDEX('Line Detail'!$E$6:$E$505,$M410)="","",INDEX('Line Detail'!$E$6:$E$505,$M410)))</f>
        <v/>
      </c>
      <c r="F410" s="6" t="str">
        <f aca="false">IF($M410=0,"",IF(INDEX('Line Detail'!$F$6:$F$505,$M410)="","",INDEX('Line Detail'!$F$6:$F$505,$M410)))</f>
        <v/>
      </c>
      <c r="G410" s="62" t="str">
        <f aca="false">IF($M410=0,"",IF(INDEX('Line Detail'!$G$6:$G$505,$M410)="","",INDEX('Line Detail'!$G$6:$G$505,$M410)))</f>
        <v/>
      </c>
      <c r="H410" s="13" t="str">
        <f aca="false">IF($M410=0,"",IF(INDEX('Line Detail'!$H$6:$H$505,$M410)="","",INDEX('Line Detail'!$H$6:$H$505,$M410)))</f>
        <v/>
      </c>
      <c r="I410" s="34" t="str">
        <f aca="false">IF($M410=0,"",IF(INDEX('Line Detail'!$O$6:$O$505,$M410)="","",INDEX('Line Detail'!$O$6:$O$505,$M410)))</f>
        <v/>
      </c>
      <c r="J410" s="34" t="str">
        <f aca="false">IF($M410=0,"",IF(INDEX('Line Detail'!$R$6:$R$505,$M410)="","",INDEX('Line Detail'!$R$6:$R$505,$M410)))</f>
        <v/>
      </c>
      <c r="K410" s="6" t="str">
        <f aca="false">IF($M410=0,"",IF(INDEX('Line Detail'!$S$6:$S$505,$M410)="","",INDEX('Line Detail'!$S$6:$S$505,$M410)))</f>
        <v/>
      </c>
      <c r="L410" s="1"/>
      <c r="M410" s="63" t="n">
        <f aca="false">IFERROR(MATCH(405,'Line Detail'!$W$6:$W$505,0),0)</f>
        <v>0</v>
      </c>
    </row>
    <row r="411" customFormat="false" ht="15" hidden="false" customHeight="false" outlineLevel="0" collapsed="false">
      <c r="A411" s="13" t="str">
        <f aca="false">IF($M411=0,"",406)</f>
        <v/>
      </c>
      <c r="B411" s="13" t="str">
        <f aca="false">IF($M411=0,"",IF(INDEX('Line Detail'!$B$6:$B$505,$M411)="","",INDEX('Line Detail'!$B$6:$B$505,$M411)))</f>
        <v/>
      </c>
      <c r="C411" s="13" t="str">
        <f aca="false">IF($M411=0,"",IF(INDEX('Line Detail'!$C$6:$C$505,$M411)="","",INDEX('Line Detail'!$C$6:$C$505,$M411)))</f>
        <v/>
      </c>
      <c r="D411" s="13" t="str">
        <f aca="false">IF($M411=0,"",IF(INDEX('Line Detail'!$D$6:$D$505,$M411)="","",INDEX('Line Detail'!$D$6:$D$505,$M411)))</f>
        <v/>
      </c>
      <c r="E411" s="13" t="str">
        <f aca="false">IF($M411=0,"",IF(INDEX('Line Detail'!$E$6:$E$505,$M411)="","",INDEX('Line Detail'!$E$6:$E$505,$M411)))</f>
        <v/>
      </c>
      <c r="F411" s="6" t="str">
        <f aca="false">IF($M411=0,"",IF(INDEX('Line Detail'!$F$6:$F$505,$M411)="","",INDEX('Line Detail'!$F$6:$F$505,$M411)))</f>
        <v/>
      </c>
      <c r="G411" s="62" t="str">
        <f aca="false">IF($M411=0,"",IF(INDEX('Line Detail'!$G$6:$G$505,$M411)="","",INDEX('Line Detail'!$G$6:$G$505,$M411)))</f>
        <v/>
      </c>
      <c r="H411" s="13" t="str">
        <f aca="false">IF($M411=0,"",IF(INDEX('Line Detail'!$H$6:$H$505,$M411)="","",INDEX('Line Detail'!$H$6:$H$505,$M411)))</f>
        <v/>
      </c>
      <c r="I411" s="34" t="str">
        <f aca="false">IF($M411=0,"",IF(INDEX('Line Detail'!$O$6:$O$505,$M411)="","",INDEX('Line Detail'!$O$6:$O$505,$M411)))</f>
        <v/>
      </c>
      <c r="J411" s="34" t="str">
        <f aca="false">IF($M411=0,"",IF(INDEX('Line Detail'!$R$6:$R$505,$M411)="","",INDEX('Line Detail'!$R$6:$R$505,$M411)))</f>
        <v/>
      </c>
      <c r="K411" s="6" t="str">
        <f aca="false">IF($M411=0,"",IF(INDEX('Line Detail'!$S$6:$S$505,$M411)="","",INDEX('Line Detail'!$S$6:$S$505,$M411)))</f>
        <v/>
      </c>
      <c r="L411" s="1"/>
      <c r="M411" s="63" t="n">
        <f aca="false">IFERROR(MATCH(406,'Line Detail'!$W$6:$W$505,0),0)</f>
        <v>0</v>
      </c>
    </row>
    <row r="412" customFormat="false" ht="15" hidden="false" customHeight="false" outlineLevel="0" collapsed="false">
      <c r="A412" s="13" t="str">
        <f aca="false">IF($M412=0,"",407)</f>
        <v/>
      </c>
      <c r="B412" s="13" t="str">
        <f aca="false">IF($M412=0,"",IF(INDEX('Line Detail'!$B$6:$B$505,$M412)="","",INDEX('Line Detail'!$B$6:$B$505,$M412)))</f>
        <v/>
      </c>
      <c r="C412" s="13" t="str">
        <f aca="false">IF($M412=0,"",IF(INDEX('Line Detail'!$C$6:$C$505,$M412)="","",INDEX('Line Detail'!$C$6:$C$505,$M412)))</f>
        <v/>
      </c>
      <c r="D412" s="13" t="str">
        <f aca="false">IF($M412=0,"",IF(INDEX('Line Detail'!$D$6:$D$505,$M412)="","",INDEX('Line Detail'!$D$6:$D$505,$M412)))</f>
        <v/>
      </c>
      <c r="E412" s="13" t="str">
        <f aca="false">IF($M412=0,"",IF(INDEX('Line Detail'!$E$6:$E$505,$M412)="","",INDEX('Line Detail'!$E$6:$E$505,$M412)))</f>
        <v/>
      </c>
      <c r="F412" s="6" t="str">
        <f aca="false">IF($M412=0,"",IF(INDEX('Line Detail'!$F$6:$F$505,$M412)="","",INDEX('Line Detail'!$F$6:$F$505,$M412)))</f>
        <v/>
      </c>
      <c r="G412" s="62" t="str">
        <f aca="false">IF($M412=0,"",IF(INDEX('Line Detail'!$G$6:$G$505,$M412)="","",INDEX('Line Detail'!$G$6:$G$505,$M412)))</f>
        <v/>
      </c>
      <c r="H412" s="13" t="str">
        <f aca="false">IF($M412=0,"",IF(INDEX('Line Detail'!$H$6:$H$505,$M412)="","",INDEX('Line Detail'!$H$6:$H$505,$M412)))</f>
        <v/>
      </c>
      <c r="I412" s="34" t="str">
        <f aca="false">IF($M412=0,"",IF(INDEX('Line Detail'!$O$6:$O$505,$M412)="","",INDEX('Line Detail'!$O$6:$O$505,$M412)))</f>
        <v/>
      </c>
      <c r="J412" s="34" t="str">
        <f aca="false">IF($M412=0,"",IF(INDEX('Line Detail'!$R$6:$R$505,$M412)="","",INDEX('Line Detail'!$R$6:$R$505,$M412)))</f>
        <v/>
      </c>
      <c r="K412" s="6" t="str">
        <f aca="false">IF($M412=0,"",IF(INDEX('Line Detail'!$S$6:$S$505,$M412)="","",INDEX('Line Detail'!$S$6:$S$505,$M412)))</f>
        <v/>
      </c>
      <c r="L412" s="1"/>
      <c r="M412" s="63" t="n">
        <f aca="false">IFERROR(MATCH(407,'Line Detail'!$W$6:$W$505,0),0)</f>
        <v>0</v>
      </c>
    </row>
    <row r="413" customFormat="false" ht="15" hidden="false" customHeight="false" outlineLevel="0" collapsed="false">
      <c r="A413" s="13" t="str">
        <f aca="false">IF($M413=0,"",408)</f>
        <v/>
      </c>
      <c r="B413" s="13" t="str">
        <f aca="false">IF($M413=0,"",IF(INDEX('Line Detail'!$B$6:$B$505,$M413)="","",INDEX('Line Detail'!$B$6:$B$505,$M413)))</f>
        <v/>
      </c>
      <c r="C413" s="13" t="str">
        <f aca="false">IF($M413=0,"",IF(INDEX('Line Detail'!$C$6:$C$505,$M413)="","",INDEX('Line Detail'!$C$6:$C$505,$M413)))</f>
        <v/>
      </c>
      <c r="D413" s="13" t="str">
        <f aca="false">IF($M413=0,"",IF(INDEX('Line Detail'!$D$6:$D$505,$M413)="","",INDEX('Line Detail'!$D$6:$D$505,$M413)))</f>
        <v/>
      </c>
      <c r="E413" s="13" t="str">
        <f aca="false">IF($M413=0,"",IF(INDEX('Line Detail'!$E$6:$E$505,$M413)="","",INDEX('Line Detail'!$E$6:$E$505,$M413)))</f>
        <v/>
      </c>
      <c r="F413" s="6" t="str">
        <f aca="false">IF($M413=0,"",IF(INDEX('Line Detail'!$F$6:$F$505,$M413)="","",INDEX('Line Detail'!$F$6:$F$505,$M413)))</f>
        <v/>
      </c>
      <c r="G413" s="62" t="str">
        <f aca="false">IF($M413=0,"",IF(INDEX('Line Detail'!$G$6:$G$505,$M413)="","",INDEX('Line Detail'!$G$6:$G$505,$M413)))</f>
        <v/>
      </c>
      <c r="H413" s="13" t="str">
        <f aca="false">IF($M413=0,"",IF(INDEX('Line Detail'!$H$6:$H$505,$M413)="","",INDEX('Line Detail'!$H$6:$H$505,$M413)))</f>
        <v/>
      </c>
      <c r="I413" s="34" t="str">
        <f aca="false">IF($M413=0,"",IF(INDEX('Line Detail'!$O$6:$O$505,$M413)="","",INDEX('Line Detail'!$O$6:$O$505,$M413)))</f>
        <v/>
      </c>
      <c r="J413" s="34" t="str">
        <f aca="false">IF($M413=0,"",IF(INDEX('Line Detail'!$R$6:$R$505,$M413)="","",INDEX('Line Detail'!$R$6:$R$505,$M413)))</f>
        <v/>
      </c>
      <c r="K413" s="6" t="str">
        <f aca="false">IF($M413=0,"",IF(INDEX('Line Detail'!$S$6:$S$505,$M413)="","",INDEX('Line Detail'!$S$6:$S$505,$M413)))</f>
        <v/>
      </c>
      <c r="L413" s="1"/>
      <c r="M413" s="63" t="n">
        <f aca="false">IFERROR(MATCH(408,'Line Detail'!$W$6:$W$505,0),0)</f>
        <v>0</v>
      </c>
    </row>
    <row r="414" customFormat="false" ht="15" hidden="false" customHeight="false" outlineLevel="0" collapsed="false">
      <c r="A414" s="13" t="str">
        <f aca="false">IF($M414=0,"",409)</f>
        <v/>
      </c>
      <c r="B414" s="13" t="str">
        <f aca="false">IF($M414=0,"",IF(INDEX('Line Detail'!$B$6:$B$505,$M414)="","",INDEX('Line Detail'!$B$6:$B$505,$M414)))</f>
        <v/>
      </c>
      <c r="C414" s="13" t="str">
        <f aca="false">IF($M414=0,"",IF(INDEX('Line Detail'!$C$6:$C$505,$M414)="","",INDEX('Line Detail'!$C$6:$C$505,$M414)))</f>
        <v/>
      </c>
      <c r="D414" s="13" t="str">
        <f aca="false">IF($M414=0,"",IF(INDEX('Line Detail'!$D$6:$D$505,$M414)="","",INDEX('Line Detail'!$D$6:$D$505,$M414)))</f>
        <v/>
      </c>
      <c r="E414" s="13" t="str">
        <f aca="false">IF($M414=0,"",IF(INDEX('Line Detail'!$E$6:$E$505,$M414)="","",INDEX('Line Detail'!$E$6:$E$505,$M414)))</f>
        <v/>
      </c>
      <c r="F414" s="6" t="str">
        <f aca="false">IF($M414=0,"",IF(INDEX('Line Detail'!$F$6:$F$505,$M414)="","",INDEX('Line Detail'!$F$6:$F$505,$M414)))</f>
        <v/>
      </c>
      <c r="G414" s="62" t="str">
        <f aca="false">IF($M414=0,"",IF(INDEX('Line Detail'!$G$6:$G$505,$M414)="","",INDEX('Line Detail'!$G$6:$G$505,$M414)))</f>
        <v/>
      </c>
      <c r="H414" s="13" t="str">
        <f aca="false">IF($M414=0,"",IF(INDEX('Line Detail'!$H$6:$H$505,$M414)="","",INDEX('Line Detail'!$H$6:$H$505,$M414)))</f>
        <v/>
      </c>
      <c r="I414" s="34" t="str">
        <f aca="false">IF($M414=0,"",IF(INDEX('Line Detail'!$O$6:$O$505,$M414)="","",INDEX('Line Detail'!$O$6:$O$505,$M414)))</f>
        <v/>
      </c>
      <c r="J414" s="34" t="str">
        <f aca="false">IF($M414=0,"",IF(INDEX('Line Detail'!$R$6:$R$505,$M414)="","",INDEX('Line Detail'!$R$6:$R$505,$M414)))</f>
        <v/>
      </c>
      <c r="K414" s="6" t="str">
        <f aca="false">IF($M414=0,"",IF(INDEX('Line Detail'!$S$6:$S$505,$M414)="","",INDEX('Line Detail'!$S$6:$S$505,$M414)))</f>
        <v/>
      </c>
      <c r="L414" s="1"/>
      <c r="M414" s="63" t="n">
        <f aca="false">IFERROR(MATCH(409,'Line Detail'!$W$6:$W$505,0),0)</f>
        <v>0</v>
      </c>
    </row>
    <row r="415" customFormat="false" ht="15" hidden="false" customHeight="false" outlineLevel="0" collapsed="false">
      <c r="A415" s="13" t="str">
        <f aca="false">IF($M415=0,"",410)</f>
        <v/>
      </c>
      <c r="B415" s="13" t="str">
        <f aca="false">IF($M415=0,"",IF(INDEX('Line Detail'!$B$6:$B$505,$M415)="","",INDEX('Line Detail'!$B$6:$B$505,$M415)))</f>
        <v/>
      </c>
      <c r="C415" s="13" t="str">
        <f aca="false">IF($M415=0,"",IF(INDEX('Line Detail'!$C$6:$C$505,$M415)="","",INDEX('Line Detail'!$C$6:$C$505,$M415)))</f>
        <v/>
      </c>
      <c r="D415" s="13" t="str">
        <f aca="false">IF($M415=0,"",IF(INDEX('Line Detail'!$D$6:$D$505,$M415)="","",INDEX('Line Detail'!$D$6:$D$505,$M415)))</f>
        <v/>
      </c>
      <c r="E415" s="13" t="str">
        <f aca="false">IF($M415=0,"",IF(INDEX('Line Detail'!$E$6:$E$505,$M415)="","",INDEX('Line Detail'!$E$6:$E$505,$M415)))</f>
        <v/>
      </c>
      <c r="F415" s="6" t="str">
        <f aca="false">IF($M415=0,"",IF(INDEX('Line Detail'!$F$6:$F$505,$M415)="","",INDEX('Line Detail'!$F$6:$F$505,$M415)))</f>
        <v/>
      </c>
      <c r="G415" s="62" t="str">
        <f aca="false">IF($M415=0,"",IF(INDEX('Line Detail'!$G$6:$G$505,$M415)="","",INDEX('Line Detail'!$G$6:$G$505,$M415)))</f>
        <v/>
      </c>
      <c r="H415" s="13" t="str">
        <f aca="false">IF($M415=0,"",IF(INDEX('Line Detail'!$H$6:$H$505,$M415)="","",INDEX('Line Detail'!$H$6:$H$505,$M415)))</f>
        <v/>
      </c>
      <c r="I415" s="34" t="str">
        <f aca="false">IF($M415=0,"",IF(INDEX('Line Detail'!$O$6:$O$505,$M415)="","",INDEX('Line Detail'!$O$6:$O$505,$M415)))</f>
        <v/>
      </c>
      <c r="J415" s="34" t="str">
        <f aca="false">IF($M415=0,"",IF(INDEX('Line Detail'!$R$6:$R$505,$M415)="","",INDEX('Line Detail'!$R$6:$R$505,$M415)))</f>
        <v/>
      </c>
      <c r="K415" s="6" t="str">
        <f aca="false">IF($M415=0,"",IF(INDEX('Line Detail'!$S$6:$S$505,$M415)="","",INDEX('Line Detail'!$S$6:$S$505,$M415)))</f>
        <v/>
      </c>
      <c r="L415" s="1"/>
      <c r="M415" s="63" t="n">
        <f aca="false">IFERROR(MATCH(410,'Line Detail'!$W$6:$W$505,0),0)</f>
        <v>0</v>
      </c>
    </row>
    <row r="416" customFormat="false" ht="15" hidden="false" customHeight="false" outlineLevel="0" collapsed="false">
      <c r="A416" s="13" t="str">
        <f aca="false">IF($M416=0,"",411)</f>
        <v/>
      </c>
      <c r="B416" s="13" t="str">
        <f aca="false">IF($M416=0,"",IF(INDEX('Line Detail'!$B$6:$B$505,$M416)="","",INDEX('Line Detail'!$B$6:$B$505,$M416)))</f>
        <v/>
      </c>
      <c r="C416" s="13" t="str">
        <f aca="false">IF($M416=0,"",IF(INDEX('Line Detail'!$C$6:$C$505,$M416)="","",INDEX('Line Detail'!$C$6:$C$505,$M416)))</f>
        <v/>
      </c>
      <c r="D416" s="13" t="str">
        <f aca="false">IF($M416=0,"",IF(INDEX('Line Detail'!$D$6:$D$505,$M416)="","",INDEX('Line Detail'!$D$6:$D$505,$M416)))</f>
        <v/>
      </c>
      <c r="E416" s="13" t="str">
        <f aca="false">IF($M416=0,"",IF(INDEX('Line Detail'!$E$6:$E$505,$M416)="","",INDEX('Line Detail'!$E$6:$E$505,$M416)))</f>
        <v/>
      </c>
      <c r="F416" s="6" t="str">
        <f aca="false">IF($M416=0,"",IF(INDEX('Line Detail'!$F$6:$F$505,$M416)="","",INDEX('Line Detail'!$F$6:$F$505,$M416)))</f>
        <v/>
      </c>
      <c r="G416" s="62" t="str">
        <f aca="false">IF($M416=0,"",IF(INDEX('Line Detail'!$G$6:$G$505,$M416)="","",INDEX('Line Detail'!$G$6:$G$505,$M416)))</f>
        <v/>
      </c>
      <c r="H416" s="13" t="str">
        <f aca="false">IF($M416=0,"",IF(INDEX('Line Detail'!$H$6:$H$505,$M416)="","",INDEX('Line Detail'!$H$6:$H$505,$M416)))</f>
        <v/>
      </c>
      <c r="I416" s="34" t="str">
        <f aca="false">IF($M416=0,"",IF(INDEX('Line Detail'!$O$6:$O$505,$M416)="","",INDEX('Line Detail'!$O$6:$O$505,$M416)))</f>
        <v/>
      </c>
      <c r="J416" s="34" t="str">
        <f aca="false">IF($M416=0,"",IF(INDEX('Line Detail'!$R$6:$R$505,$M416)="","",INDEX('Line Detail'!$R$6:$R$505,$M416)))</f>
        <v/>
      </c>
      <c r="K416" s="6" t="str">
        <f aca="false">IF($M416=0,"",IF(INDEX('Line Detail'!$S$6:$S$505,$M416)="","",INDEX('Line Detail'!$S$6:$S$505,$M416)))</f>
        <v/>
      </c>
      <c r="L416" s="1"/>
      <c r="M416" s="63" t="n">
        <f aca="false">IFERROR(MATCH(411,'Line Detail'!$W$6:$W$505,0),0)</f>
        <v>0</v>
      </c>
    </row>
    <row r="417" customFormat="false" ht="15" hidden="false" customHeight="false" outlineLevel="0" collapsed="false">
      <c r="A417" s="13" t="str">
        <f aca="false">IF($M417=0,"",412)</f>
        <v/>
      </c>
      <c r="B417" s="13" t="str">
        <f aca="false">IF($M417=0,"",IF(INDEX('Line Detail'!$B$6:$B$505,$M417)="","",INDEX('Line Detail'!$B$6:$B$505,$M417)))</f>
        <v/>
      </c>
      <c r="C417" s="13" t="str">
        <f aca="false">IF($M417=0,"",IF(INDEX('Line Detail'!$C$6:$C$505,$M417)="","",INDEX('Line Detail'!$C$6:$C$505,$M417)))</f>
        <v/>
      </c>
      <c r="D417" s="13" t="str">
        <f aca="false">IF($M417=0,"",IF(INDEX('Line Detail'!$D$6:$D$505,$M417)="","",INDEX('Line Detail'!$D$6:$D$505,$M417)))</f>
        <v/>
      </c>
      <c r="E417" s="13" t="str">
        <f aca="false">IF($M417=0,"",IF(INDEX('Line Detail'!$E$6:$E$505,$M417)="","",INDEX('Line Detail'!$E$6:$E$505,$M417)))</f>
        <v/>
      </c>
      <c r="F417" s="6" t="str">
        <f aca="false">IF($M417=0,"",IF(INDEX('Line Detail'!$F$6:$F$505,$M417)="","",INDEX('Line Detail'!$F$6:$F$505,$M417)))</f>
        <v/>
      </c>
      <c r="G417" s="62" t="str">
        <f aca="false">IF($M417=0,"",IF(INDEX('Line Detail'!$G$6:$G$505,$M417)="","",INDEX('Line Detail'!$G$6:$G$505,$M417)))</f>
        <v/>
      </c>
      <c r="H417" s="13" t="str">
        <f aca="false">IF($M417=0,"",IF(INDEX('Line Detail'!$H$6:$H$505,$M417)="","",INDEX('Line Detail'!$H$6:$H$505,$M417)))</f>
        <v/>
      </c>
      <c r="I417" s="34" t="str">
        <f aca="false">IF($M417=0,"",IF(INDEX('Line Detail'!$O$6:$O$505,$M417)="","",INDEX('Line Detail'!$O$6:$O$505,$M417)))</f>
        <v/>
      </c>
      <c r="J417" s="34" t="str">
        <f aca="false">IF($M417=0,"",IF(INDEX('Line Detail'!$R$6:$R$505,$M417)="","",INDEX('Line Detail'!$R$6:$R$505,$M417)))</f>
        <v/>
      </c>
      <c r="K417" s="6" t="str">
        <f aca="false">IF($M417=0,"",IF(INDEX('Line Detail'!$S$6:$S$505,$M417)="","",INDEX('Line Detail'!$S$6:$S$505,$M417)))</f>
        <v/>
      </c>
      <c r="L417" s="1"/>
      <c r="M417" s="63" t="n">
        <f aca="false">IFERROR(MATCH(412,'Line Detail'!$W$6:$W$505,0),0)</f>
        <v>0</v>
      </c>
    </row>
    <row r="418" customFormat="false" ht="15" hidden="false" customHeight="false" outlineLevel="0" collapsed="false">
      <c r="A418" s="13" t="str">
        <f aca="false">IF($M418=0,"",413)</f>
        <v/>
      </c>
      <c r="B418" s="13" t="str">
        <f aca="false">IF($M418=0,"",IF(INDEX('Line Detail'!$B$6:$B$505,$M418)="","",INDEX('Line Detail'!$B$6:$B$505,$M418)))</f>
        <v/>
      </c>
      <c r="C418" s="13" t="str">
        <f aca="false">IF($M418=0,"",IF(INDEX('Line Detail'!$C$6:$C$505,$M418)="","",INDEX('Line Detail'!$C$6:$C$505,$M418)))</f>
        <v/>
      </c>
      <c r="D418" s="13" t="str">
        <f aca="false">IF($M418=0,"",IF(INDEX('Line Detail'!$D$6:$D$505,$M418)="","",INDEX('Line Detail'!$D$6:$D$505,$M418)))</f>
        <v/>
      </c>
      <c r="E418" s="13" t="str">
        <f aca="false">IF($M418=0,"",IF(INDEX('Line Detail'!$E$6:$E$505,$M418)="","",INDEX('Line Detail'!$E$6:$E$505,$M418)))</f>
        <v/>
      </c>
      <c r="F418" s="6" t="str">
        <f aca="false">IF($M418=0,"",IF(INDEX('Line Detail'!$F$6:$F$505,$M418)="","",INDEX('Line Detail'!$F$6:$F$505,$M418)))</f>
        <v/>
      </c>
      <c r="G418" s="62" t="str">
        <f aca="false">IF($M418=0,"",IF(INDEX('Line Detail'!$G$6:$G$505,$M418)="","",INDEX('Line Detail'!$G$6:$G$505,$M418)))</f>
        <v/>
      </c>
      <c r="H418" s="13" t="str">
        <f aca="false">IF($M418=0,"",IF(INDEX('Line Detail'!$H$6:$H$505,$M418)="","",INDEX('Line Detail'!$H$6:$H$505,$M418)))</f>
        <v/>
      </c>
      <c r="I418" s="34" t="str">
        <f aca="false">IF($M418=0,"",IF(INDEX('Line Detail'!$O$6:$O$505,$M418)="","",INDEX('Line Detail'!$O$6:$O$505,$M418)))</f>
        <v/>
      </c>
      <c r="J418" s="34" t="str">
        <f aca="false">IF($M418=0,"",IF(INDEX('Line Detail'!$R$6:$R$505,$M418)="","",INDEX('Line Detail'!$R$6:$R$505,$M418)))</f>
        <v/>
      </c>
      <c r="K418" s="6" t="str">
        <f aca="false">IF($M418=0,"",IF(INDEX('Line Detail'!$S$6:$S$505,$M418)="","",INDEX('Line Detail'!$S$6:$S$505,$M418)))</f>
        <v/>
      </c>
      <c r="L418" s="1"/>
      <c r="M418" s="63" t="n">
        <f aca="false">IFERROR(MATCH(413,'Line Detail'!$W$6:$W$505,0),0)</f>
        <v>0</v>
      </c>
    </row>
    <row r="419" customFormat="false" ht="15" hidden="false" customHeight="false" outlineLevel="0" collapsed="false">
      <c r="A419" s="13" t="str">
        <f aca="false">IF($M419=0,"",414)</f>
        <v/>
      </c>
      <c r="B419" s="13" t="str">
        <f aca="false">IF($M419=0,"",IF(INDEX('Line Detail'!$B$6:$B$505,$M419)="","",INDEX('Line Detail'!$B$6:$B$505,$M419)))</f>
        <v/>
      </c>
      <c r="C419" s="13" t="str">
        <f aca="false">IF($M419=0,"",IF(INDEX('Line Detail'!$C$6:$C$505,$M419)="","",INDEX('Line Detail'!$C$6:$C$505,$M419)))</f>
        <v/>
      </c>
      <c r="D419" s="13" t="str">
        <f aca="false">IF($M419=0,"",IF(INDEX('Line Detail'!$D$6:$D$505,$M419)="","",INDEX('Line Detail'!$D$6:$D$505,$M419)))</f>
        <v/>
      </c>
      <c r="E419" s="13" t="str">
        <f aca="false">IF($M419=0,"",IF(INDEX('Line Detail'!$E$6:$E$505,$M419)="","",INDEX('Line Detail'!$E$6:$E$505,$M419)))</f>
        <v/>
      </c>
      <c r="F419" s="6" t="str">
        <f aca="false">IF($M419=0,"",IF(INDEX('Line Detail'!$F$6:$F$505,$M419)="","",INDEX('Line Detail'!$F$6:$F$505,$M419)))</f>
        <v/>
      </c>
      <c r="G419" s="62" t="str">
        <f aca="false">IF($M419=0,"",IF(INDEX('Line Detail'!$G$6:$G$505,$M419)="","",INDEX('Line Detail'!$G$6:$G$505,$M419)))</f>
        <v/>
      </c>
      <c r="H419" s="13" t="str">
        <f aca="false">IF($M419=0,"",IF(INDEX('Line Detail'!$H$6:$H$505,$M419)="","",INDEX('Line Detail'!$H$6:$H$505,$M419)))</f>
        <v/>
      </c>
      <c r="I419" s="34" t="str">
        <f aca="false">IF($M419=0,"",IF(INDEX('Line Detail'!$O$6:$O$505,$M419)="","",INDEX('Line Detail'!$O$6:$O$505,$M419)))</f>
        <v/>
      </c>
      <c r="J419" s="34" t="str">
        <f aca="false">IF($M419=0,"",IF(INDEX('Line Detail'!$R$6:$R$505,$M419)="","",INDEX('Line Detail'!$R$6:$R$505,$M419)))</f>
        <v/>
      </c>
      <c r="K419" s="6" t="str">
        <f aca="false">IF($M419=0,"",IF(INDEX('Line Detail'!$S$6:$S$505,$M419)="","",INDEX('Line Detail'!$S$6:$S$505,$M419)))</f>
        <v/>
      </c>
      <c r="L419" s="1"/>
      <c r="M419" s="63" t="n">
        <f aca="false">IFERROR(MATCH(414,'Line Detail'!$W$6:$W$505,0),0)</f>
        <v>0</v>
      </c>
    </row>
    <row r="420" customFormat="false" ht="15" hidden="false" customHeight="false" outlineLevel="0" collapsed="false">
      <c r="A420" s="13" t="str">
        <f aca="false">IF($M420=0,"",415)</f>
        <v/>
      </c>
      <c r="B420" s="13" t="str">
        <f aca="false">IF($M420=0,"",IF(INDEX('Line Detail'!$B$6:$B$505,$M420)="","",INDEX('Line Detail'!$B$6:$B$505,$M420)))</f>
        <v/>
      </c>
      <c r="C420" s="13" t="str">
        <f aca="false">IF($M420=0,"",IF(INDEX('Line Detail'!$C$6:$C$505,$M420)="","",INDEX('Line Detail'!$C$6:$C$505,$M420)))</f>
        <v/>
      </c>
      <c r="D420" s="13" t="str">
        <f aca="false">IF($M420=0,"",IF(INDEX('Line Detail'!$D$6:$D$505,$M420)="","",INDEX('Line Detail'!$D$6:$D$505,$M420)))</f>
        <v/>
      </c>
      <c r="E420" s="13" t="str">
        <f aca="false">IF($M420=0,"",IF(INDEX('Line Detail'!$E$6:$E$505,$M420)="","",INDEX('Line Detail'!$E$6:$E$505,$M420)))</f>
        <v/>
      </c>
      <c r="F420" s="6" t="str">
        <f aca="false">IF($M420=0,"",IF(INDEX('Line Detail'!$F$6:$F$505,$M420)="","",INDEX('Line Detail'!$F$6:$F$505,$M420)))</f>
        <v/>
      </c>
      <c r="G420" s="62" t="str">
        <f aca="false">IF($M420=0,"",IF(INDEX('Line Detail'!$G$6:$G$505,$M420)="","",INDEX('Line Detail'!$G$6:$G$505,$M420)))</f>
        <v/>
      </c>
      <c r="H420" s="13" t="str">
        <f aca="false">IF($M420=0,"",IF(INDEX('Line Detail'!$H$6:$H$505,$M420)="","",INDEX('Line Detail'!$H$6:$H$505,$M420)))</f>
        <v/>
      </c>
      <c r="I420" s="34" t="str">
        <f aca="false">IF($M420=0,"",IF(INDEX('Line Detail'!$O$6:$O$505,$M420)="","",INDEX('Line Detail'!$O$6:$O$505,$M420)))</f>
        <v/>
      </c>
      <c r="J420" s="34" t="str">
        <f aca="false">IF($M420=0,"",IF(INDEX('Line Detail'!$R$6:$R$505,$M420)="","",INDEX('Line Detail'!$R$6:$R$505,$M420)))</f>
        <v/>
      </c>
      <c r="K420" s="6" t="str">
        <f aca="false">IF($M420=0,"",IF(INDEX('Line Detail'!$S$6:$S$505,$M420)="","",INDEX('Line Detail'!$S$6:$S$505,$M420)))</f>
        <v/>
      </c>
      <c r="L420" s="1"/>
      <c r="M420" s="63" t="n">
        <f aca="false">IFERROR(MATCH(415,'Line Detail'!$W$6:$W$505,0),0)</f>
        <v>0</v>
      </c>
    </row>
    <row r="421" customFormat="false" ht="15" hidden="false" customHeight="false" outlineLevel="0" collapsed="false">
      <c r="A421" s="13" t="str">
        <f aca="false">IF($M421=0,"",416)</f>
        <v/>
      </c>
      <c r="B421" s="13" t="str">
        <f aca="false">IF($M421=0,"",IF(INDEX('Line Detail'!$B$6:$B$505,$M421)="","",INDEX('Line Detail'!$B$6:$B$505,$M421)))</f>
        <v/>
      </c>
      <c r="C421" s="13" t="str">
        <f aca="false">IF($M421=0,"",IF(INDEX('Line Detail'!$C$6:$C$505,$M421)="","",INDEX('Line Detail'!$C$6:$C$505,$M421)))</f>
        <v/>
      </c>
      <c r="D421" s="13" t="str">
        <f aca="false">IF($M421=0,"",IF(INDEX('Line Detail'!$D$6:$D$505,$M421)="","",INDEX('Line Detail'!$D$6:$D$505,$M421)))</f>
        <v/>
      </c>
      <c r="E421" s="13" t="str">
        <f aca="false">IF($M421=0,"",IF(INDEX('Line Detail'!$E$6:$E$505,$M421)="","",INDEX('Line Detail'!$E$6:$E$505,$M421)))</f>
        <v/>
      </c>
      <c r="F421" s="6" t="str">
        <f aca="false">IF($M421=0,"",IF(INDEX('Line Detail'!$F$6:$F$505,$M421)="","",INDEX('Line Detail'!$F$6:$F$505,$M421)))</f>
        <v/>
      </c>
      <c r="G421" s="62" t="str">
        <f aca="false">IF($M421=0,"",IF(INDEX('Line Detail'!$G$6:$G$505,$M421)="","",INDEX('Line Detail'!$G$6:$G$505,$M421)))</f>
        <v/>
      </c>
      <c r="H421" s="13" t="str">
        <f aca="false">IF($M421=0,"",IF(INDEX('Line Detail'!$H$6:$H$505,$M421)="","",INDEX('Line Detail'!$H$6:$H$505,$M421)))</f>
        <v/>
      </c>
      <c r="I421" s="34" t="str">
        <f aca="false">IF($M421=0,"",IF(INDEX('Line Detail'!$O$6:$O$505,$M421)="","",INDEX('Line Detail'!$O$6:$O$505,$M421)))</f>
        <v/>
      </c>
      <c r="J421" s="34" t="str">
        <f aca="false">IF($M421=0,"",IF(INDEX('Line Detail'!$R$6:$R$505,$M421)="","",INDEX('Line Detail'!$R$6:$R$505,$M421)))</f>
        <v/>
      </c>
      <c r="K421" s="6" t="str">
        <f aca="false">IF($M421=0,"",IF(INDEX('Line Detail'!$S$6:$S$505,$M421)="","",INDEX('Line Detail'!$S$6:$S$505,$M421)))</f>
        <v/>
      </c>
      <c r="L421" s="1"/>
      <c r="M421" s="63" t="n">
        <f aca="false">IFERROR(MATCH(416,'Line Detail'!$W$6:$W$505,0),0)</f>
        <v>0</v>
      </c>
    </row>
    <row r="422" customFormat="false" ht="15" hidden="false" customHeight="false" outlineLevel="0" collapsed="false">
      <c r="A422" s="13" t="str">
        <f aca="false">IF($M422=0,"",417)</f>
        <v/>
      </c>
      <c r="B422" s="13" t="str">
        <f aca="false">IF($M422=0,"",IF(INDEX('Line Detail'!$B$6:$B$505,$M422)="","",INDEX('Line Detail'!$B$6:$B$505,$M422)))</f>
        <v/>
      </c>
      <c r="C422" s="13" t="str">
        <f aca="false">IF($M422=0,"",IF(INDEX('Line Detail'!$C$6:$C$505,$M422)="","",INDEX('Line Detail'!$C$6:$C$505,$M422)))</f>
        <v/>
      </c>
      <c r="D422" s="13" t="str">
        <f aca="false">IF($M422=0,"",IF(INDEX('Line Detail'!$D$6:$D$505,$M422)="","",INDEX('Line Detail'!$D$6:$D$505,$M422)))</f>
        <v/>
      </c>
      <c r="E422" s="13" t="str">
        <f aca="false">IF($M422=0,"",IF(INDEX('Line Detail'!$E$6:$E$505,$M422)="","",INDEX('Line Detail'!$E$6:$E$505,$M422)))</f>
        <v/>
      </c>
      <c r="F422" s="6" t="str">
        <f aca="false">IF($M422=0,"",IF(INDEX('Line Detail'!$F$6:$F$505,$M422)="","",INDEX('Line Detail'!$F$6:$F$505,$M422)))</f>
        <v/>
      </c>
      <c r="G422" s="62" t="str">
        <f aca="false">IF($M422=0,"",IF(INDEX('Line Detail'!$G$6:$G$505,$M422)="","",INDEX('Line Detail'!$G$6:$G$505,$M422)))</f>
        <v/>
      </c>
      <c r="H422" s="13" t="str">
        <f aca="false">IF($M422=0,"",IF(INDEX('Line Detail'!$H$6:$H$505,$M422)="","",INDEX('Line Detail'!$H$6:$H$505,$M422)))</f>
        <v/>
      </c>
      <c r="I422" s="34" t="str">
        <f aca="false">IF($M422=0,"",IF(INDEX('Line Detail'!$O$6:$O$505,$M422)="","",INDEX('Line Detail'!$O$6:$O$505,$M422)))</f>
        <v/>
      </c>
      <c r="J422" s="34" t="str">
        <f aca="false">IF($M422=0,"",IF(INDEX('Line Detail'!$R$6:$R$505,$M422)="","",INDEX('Line Detail'!$R$6:$R$505,$M422)))</f>
        <v/>
      </c>
      <c r="K422" s="6" t="str">
        <f aca="false">IF($M422=0,"",IF(INDEX('Line Detail'!$S$6:$S$505,$M422)="","",INDEX('Line Detail'!$S$6:$S$505,$M422)))</f>
        <v/>
      </c>
      <c r="L422" s="1"/>
      <c r="M422" s="63" t="n">
        <f aca="false">IFERROR(MATCH(417,'Line Detail'!$W$6:$W$505,0),0)</f>
        <v>0</v>
      </c>
    </row>
    <row r="423" customFormat="false" ht="15" hidden="false" customHeight="false" outlineLevel="0" collapsed="false">
      <c r="A423" s="13" t="str">
        <f aca="false">IF($M423=0,"",418)</f>
        <v/>
      </c>
      <c r="B423" s="13" t="str">
        <f aca="false">IF($M423=0,"",IF(INDEX('Line Detail'!$B$6:$B$505,$M423)="","",INDEX('Line Detail'!$B$6:$B$505,$M423)))</f>
        <v/>
      </c>
      <c r="C423" s="13" t="str">
        <f aca="false">IF($M423=0,"",IF(INDEX('Line Detail'!$C$6:$C$505,$M423)="","",INDEX('Line Detail'!$C$6:$C$505,$M423)))</f>
        <v/>
      </c>
      <c r="D423" s="13" t="str">
        <f aca="false">IF($M423=0,"",IF(INDEX('Line Detail'!$D$6:$D$505,$M423)="","",INDEX('Line Detail'!$D$6:$D$505,$M423)))</f>
        <v/>
      </c>
      <c r="E423" s="13" t="str">
        <f aca="false">IF($M423=0,"",IF(INDEX('Line Detail'!$E$6:$E$505,$M423)="","",INDEX('Line Detail'!$E$6:$E$505,$M423)))</f>
        <v/>
      </c>
      <c r="F423" s="6" t="str">
        <f aca="false">IF($M423=0,"",IF(INDEX('Line Detail'!$F$6:$F$505,$M423)="","",INDEX('Line Detail'!$F$6:$F$505,$M423)))</f>
        <v/>
      </c>
      <c r="G423" s="62" t="str">
        <f aca="false">IF($M423=0,"",IF(INDEX('Line Detail'!$G$6:$G$505,$M423)="","",INDEX('Line Detail'!$G$6:$G$505,$M423)))</f>
        <v/>
      </c>
      <c r="H423" s="13" t="str">
        <f aca="false">IF($M423=0,"",IF(INDEX('Line Detail'!$H$6:$H$505,$M423)="","",INDEX('Line Detail'!$H$6:$H$505,$M423)))</f>
        <v/>
      </c>
      <c r="I423" s="34" t="str">
        <f aca="false">IF($M423=0,"",IF(INDEX('Line Detail'!$O$6:$O$505,$M423)="","",INDEX('Line Detail'!$O$6:$O$505,$M423)))</f>
        <v/>
      </c>
      <c r="J423" s="34" t="str">
        <f aca="false">IF($M423=0,"",IF(INDEX('Line Detail'!$R$6:$R$505,$M423)="","",INDEX('Line Detail'!$R$6:$R$505,$M423)))</f>
        <v/>
      </c>
      <c r="K423" s="6" t="str">
        <f aca="false">IF($M423=0,"",IF(INDEX('Line Detail'!$S$6:$S$505,$M423)="","",INDEX('Line Detail'!$S$6:$S$505,$M423)))</f>
        <v/>
      </c>
      <c r="L423" s="1"/>
      <c r="M423" s="63" t="n">
        <f aca="false">IFERROR(MATCH(418,'Line Detail'!$W$6:$W$505,0),0)</f>
        <v>0</v>
      </c>
    </row>
    <row r="424" customFormat="false" ht="15" hidden="false" customHeight="false" outlineLevel="0" collapsed="false">
      <c r="A424" s="13" t="str">
        <f aca="false">IF($M424=0,"",419)</f>
        <v/>
      </c>
      <c r="B424" s="13" t="str">
        <f aca="false">IF($M424=0,"",IF(INDEX('Line Detail'!$B$6:$B$505,$M424)="","",INDEX('Line Detail'!$B$6:$B$505,$M424)))</f>
        <v/>
      </c>
      <c r="C424" s="13" t="str">
        <f aca="false">IF($M424=0,"",IF(INDEX('Line Detail'!$C$6:$C$505,$M424)="","",INDEX('Line Detail'!$C$6:$C$505,$M424)))</f>
        <v/>
      </c>
      <c r="D424" s="13" t="str">
        <f aca="false">IF($M424=0,"",IF(INDEX('Line Detail'!$D$6:$D$505,$M424)="","",INDEX('Line Detail'!$D$6:$D$505,$M424)))</f>
        <v/>
      </c>
      <c r="E424" s="13" t="str">
        <f aca="false">IF($M424=0,"",IF(INDEX('Line Detail'!$E$6:$E$505,$M424)="","",INDEX('Line Detail'!$E$6:$E$505,$M424)))</f>
        <v/>
      </c>
      <c r="F424" s="6" t="str">
        <f aca="false">IF($M424=0,"",IF(INDEX('Line Detail'!$F$6:$F$505,$M424)="","",INDEX('Line Detail'!$F$6:$F$505,$M424)))</f>
        <v/>
      </c>
      <c r="G424" s="62" t="str">
        <f aca="false">IF($M424=0,"",IF(INDEX('Line Detail'!$G$6:$G$505,$M424)="","",INDEX('Line Detail'!$G$6:$G$505,$M424)))</f>
        <v/>
      </c>
      <c r="H424" s="13" t="str">
        <f aca="false">IF($M424=0,"",IF(INDEX('Line Detail'!$H$6:$H$505,$M424)="","",INDEX('Line Detail'!$H$6:$H$505,$M424)))</f>
        <v/>
      </c>
      <c r="I424" s="34" t="str">
        <f aca="false">IF($M424=0,"",IF(INDEX('Line Detail'!$O$6:$O$505,$M424)="","",INDEX('Line Detail'!$O$6:$O$505,$M424)))</f>
        <v/>
      </c>
      <c r="J424" s="34" t="str">
        <f aca="false">IF($M424=0,"",IF(INDEX('Line Detail'!$R$6:$R$505,$M424)="","",INDEX('Line Detail'!$R$6:$R$505,$M424)))</f>
        <v/>
      </c>
      <c r="K424" s="6" t="str">
        <f aca="false">IF($M424=0,"",IF(INDEX('Line Detail'!$S$6:$S$505,$M424)="","",INDEX('Line Detail'!$S$6:$S$505,$M424)))</f>
        <v/>
      </c>
      <c r="L424" s="1"/>
      <c r="M424" s="63" t="n">
        <f aca="false">IFERROR(MATCH(419,'Line Detail'!$W$6:$W$505,0),0)</f>
        <v>0</v>
      </c>
    </row>
    <row r="425" customFormat="false" ht="15" hidden="false" customHeight="false" outlineLevel="0" collapsed="false">
      <c r="A425" s="13" t="str">
        <f aca="false">IF($M425=0,"",420)</f>
        <v/>
      </c>
      <c r="B425" s="13" t="str">
        <f aca="false">IF($M425=0,"",IF(INDEX('Line Detail'!$B$6:$B$505,$M425)="","",INDEX('Line Detail'!$B$6:$B$505,$M425)))</f>
        <v/>
      </c>
      <c r="C425" s="13" t="str">
        <f aca="false">IF($M425=0,"",IF(INDEX('Line Detail'!$C$6:$C$505,$M425)="","",INDEX('Line Detail'!$C$6:$C$505,$M425)))</f>
        <v/>
      </c>
      <c r="D425" s="13" t="str">
        <f aca="false">IF($M425=0,"",IF(INDEX('Line Detail'!$D$6:$D$505,$M425)="","",INDEX('Line Detail'!$D$6:$D$505,$M425)))</f>
        <v/>
      </c>
      <c r="E425" s="13" t="str">
        <f aca="false">IF($M425=0,"",IF(INDEX('Line Detail'!$E$6:$E$505,$M425)="","",INDEX('Line Detail'!$E$6:$E$505,$M425)))</f>
        <v/>
      </c>
      <c r="F425" s="6" t="str">
        <f aca="false">IF($M425=0,"",IF(INDEX('Line Detail'!$F$6:$F$505,$M425)="","",INDEX('Line Detail'!$F$6:$F$505,$M425)))</f>
        <v/>
      </c>
      <c r="G425" s="62" t="str">
        <f aca="false">IF($M425=0,"",IF(INDEX('Line Detail'!$G$6:$G$505,$M425)="","",INDEX('Line Detail'!$G$6:$G$505,$M425)))</f>
        <v/>
      </c>
      <c r="H425" s="13" t="str">
        <f aca="false">IF($M425=0,"",IF(INDEX('Line Detail'!$H$6:$H$505,$M425)="","",INDEX('Line Detail'!$H$6:$H$505,$M425)))</f>
        <v/>
      </c>
      <c r="I425" s="34" t="str">
        <f aca="false">IF($M425=0,"",IF(INDEX('Line Detail'!$O$6:$O$505,$M425)="","",INDEX('Line Detail'!$O$6:$O$505,$M425)))</f>
        <v/>
      </c>
      <c r="J425" s="34" t="str">
        <f aca="false">IF($M425=0,"",IF(INDEX('Line Detail'!$R$6:$R$505,$M425)="","",INDEX('Line Detail'!$R$6:$R$505,$M425)))</f>
        <v/>
      </c>
      <c r="K425" s="6" t="str">
        <f aca="false">IF($M425=0,"",IF(INDEX('Line Detail'!$S$6:$S$505,$M425)="","",INDEX('Line Detail'!$S$6:$S$505,$M425)))</f>
        <v/>
      </c>
      <c r="L425" s="1"/>
      <c r="M425" s="63" t="n">
        <f aca="false">IFERROR(MATCH(420,'Line Detail'!$W$6:$W$505,0),0)</f>
        <v>0</v>
      </c>
    </row>
    <row r="426" customFormat="false" ht="15" hidden="false" customHeight="false" outlineLevel="0" collapsed="false">
      <c r="A426" s="13" t="str">
        <f aca="false">IF($M426=0,"",421)</f>
        <v/>
      </c>
      <c r="B426" s="13" t="str">
        <f aca="false">IF($M426=0,"",IF(INDEX('Line Detail'!$B$6:$B$505,$M426)="","",INDEX('Line Detail'!$B$6:$B$505,$M426)))</f>
        <v/>
      </c>
      <c r="C426" s="13" t="str">
        <f aca="false">IF($M426=0,"",IF(INDEX('Line Detail'!$C$6:$C$505,$M426)="","",INDEX('Line Detail'!$C$6:$C$505,$M426)))</f>
        <v/>
      </c>
      <c r="D426" s="13" t="str">
        <f aca="false">IF($M426=0,"",IF(INDEX('Line Detail'!$D$6:$D$505,$M426)="","",INDEX('Line Detail'!$D$6:$D$505,$M426)))</f>
        <v/>
      </c>
      <c r="E426" s="13" t="str">
        <f aca="false">IF($M426=0,"",IF(INDEX('Line Detail'!$E$6:$E$505,$M426)="","",INDEX('Line Detail'!$E$6:$E$505,$M426)))</f>
        <v/>
      </c>
      <c r="F426" s="6" t="str">
        <f aca="false">IF($M426=0,"",IF(INDEX('Line Detail'!$F$6:$F$505,$M426)="","",INDEX('Line Detail'!$F$6:$F$505,$M426)))</f>
        <v/>
      </c>
      <c r="G426" s="62" t="str">
        <f aca="false">IF($M426=0,"",IF(INDEX('Line Detail'!$G$6:$G$505,$M426)="","",INDEX('Line Detail'!$G$6:$G$505,$M426)))</f>
        <v/>
      </c>
      <c r="H426" s="13" t="str">
        <f aca="false">IF($M426=0,"",IF(INDEX('Line Detail'!$H$6:$H$505,$M426)="","",INDEX('Line Detail'!$H$6:$H$505,$M426)))</f>
        <v/>
      </c>
      <c r="I426" s="34" t="str">
        <f aca="false">IF($M426=0,"",IF(INDEX('Line Detail'!$O$6:$O$505,$M426)="","",INDEX('Line Detail'!$O$6:$O$505,$M426)))</f>
        <v/>
      </c>
      <c r="J426" s="34" t="str">
        <f aca="false">IF($M426=0,"",IF(INDEX('Line Detail'!$R$6:$R$505,$M426)="","",INDEX('Line Detail'!$R$6:$R$505,$M426)))</f>
        <v/>
      </c>
      <c r="K426" s="6" t="str">
        <f aca="false">IF($M426=0,"",IF(INDEX('Line Detail'!$S$6:$S$505,$M426)="","",INDEX('Line Detail'!$S$6:$S$505,$M426)))</f>
        <v/>
      </c>
      <c r="L426" s="1"/>
      <c r="M426" s="63" t="n">
        <f aca="false">IFERROR(MATCH(421,'Line Detail'!$W$6:$W$505,0),0)</f>
        <v>0</v>
      </c>
    </row>
    <row r="427" customFormat="false" ht="15" hidden="false" customHeight="false" outlineLevel="0" collapsed="false">
      <c r="A427" s="13" t="str">
        <f aca="false">IF($M427=0,"",422)</f>
        <v/>
      </c>
      <c r="B427" s="13" t="str">
        <f aca="false">IF($M427=0,"",IF(INDEX('Line Detail'!$B$6:$B$505,$M427)="","",INDEX('Line Detail'!$B$6:$B$505,$M427)))</f>
        <v/>
      </c>
      <c r="C427" s="13" t="str">
        <f aca="false">IF($M427=0,"",IF(INDEX('Line Detail'!$C$6:$C$505,$M427)="","",INDEX('Line Detail'!$C$6:$C$505,$M427)))</f>
        <v/>
      </c>
      <c r="D427" s="13" t="str">
        <f aca="false">IF($M427=0,"",IF(INDEX('Line Detail'!$D$6:$D$505,$M427)="","",INDEX('Line Detail'!$D$6:$D$505,$M427)))</f>
        <v/>
      </c>
      <c r="E427" s="13" t="str">
        <f aca="false">IF($M427=0,"",IF(INDEX('Line Detail'!$E$6:$E$505,$M427)="","",INDEX('Line Detail'!$E$6:$E$505,$M427)))</f>
        <v/>
      </c>
      <c r="F427" s="6" t="str">
        <f aca="false">IF($M427=0,"",IF(INDEX('Line Detail'!$F$6:$F$505,$M427)="","",INDEX('Line Detail'!$F$6:$F$505,$M427)))</f>
        <v/>
      </c>
      <c r="G427" s="62" t="str">
        <f aca="false">IF($M427=0,"",IF(INDEX('Line Detail'!$G$6:$G$505,$M427)="","",INDEX('Line Detail'!$G$6:$G$505,$M427)))</f>
        <v/>
      </c>
      <c r="H427" s="13" t="str">
        <f aca="false">IF($M427=0,"",IF(INDEX('Line Detail'!$H$6:$H$505,$M427)="","",INDEX('Line Detail'!$H$6:$H$505,$M427)))</f>
        <v/>
      </c>
      <c r="I427" s="34" t="str">
        <f aca="false">IF($M427=0,"",IF(INDEX('Line Detail'!$O$6:$O$505,$M427)="","",INDEX('Line Detail'!$O$6:$O$505,$M427)))</f>
        <v/>
      </c>
      <c r="J427" s="34" t="str">
        <f aca="false">IF($M427=0,"",IF(INDEX('Line Detail'!$R$6:$R$505,$M427)="","",INDEX('Line Detail'!$R$6:$R$505,$M427)))</f>
        <v/>
      </c>
      <c r="K427" s="6" t="str">
        <f aca="false">IF($M427=0,"",IF(INDEX('Line Detail'!$S$6:$S$505,$M427)="","",INDEX('Line Detail'!$S$6:$S$505,$M427)))</f>
        <v/>
      </c>
      <c r="L427" s="1"/>
      <c r="M427" s="63" t="n">
        <f aca="false">IFERROR(MATCH(422,'Line Detail'!$W$6:$W$505,0),0)</f>
        <v>0</v>
      </c>
    </row>
    <row r="428" customFormat="false" ht="15" hidden="false" customHeight="false" outlineLevel="0" collapsed="false">
      <c r="A428" s="13" t="str">
        <f aca="false">IF($M428=0,"",423)</f>
        <v/>
      </c>
      <c r="B428" s="13" t="str">
        <f aca="false">IF($M428=0,"",IF(INDEX('Line Detail'!$B$6:$B$505,$M428)="","",INDEX('Line Detail'!$B$6:$B$505,$M428)))</f>
        <v/>
      </c>
      <c r="C428" s="13" t="str">
        <f aca="false">IF($M428=0,"",IF(INDEX('Line Detail'!$C$6:$C$505,$M428)="","",INDEX('Line Detail'!$C$6:$C$505,$M428)))</f>
        <v/>
      </c>
      <c r="D428" s="13" t="str">
        <f aca="false">IF($M428=0,"",IF(INDEX('Line Detail'!$D$6:$D$505,$M428)="","",INDEX('Line Detail'!$D$6:$D$505,$M428)))</f>
        <v/>
      </c>
      <c r="E428" s="13" t="str">
        <f aca="false">IF($M428=0,"",IF(INDEX('Line Detail'!$E$6:$E$505,$M428)="","",INDEX('Line Detail'!$E$6:$E$505,$M428)))</f>
        <v/>
      </c>
      <c r="F428" s="6" t="str">
        <f aca="false">IF($M428=0,"",IF(INDEX('Line Detail'!$F$6:$F$505,$M428)="","",INDEX('Line Detail'!$F$6:$F$505,$M428)))</f>
        <v/>
      </c>
      <c r="G428" s="62" t="str">
        <f aca="false">IF($M428=0,"",IF(INDEX('Line Detail'!$G$6:$G$505,$M428)="","",INDEX('Line Detail'!$G$6:$G$505,$M428)))</f>
        <v/>
      </c>
      <c r="H428" s="13" t="str">
        <f aca="false">IF($M428=0,"",IF(INDEX('Line Detail'!$H$6:$H$505,$M428)="","",INDEX('Line Detail'!$H$6:$H$505,$M428)))</f>
        <v/>
      </c>
      <c r="I428" s="34" t="str">
        <f aca="false">IF($M428=0,"",IF(INDEX('Line Detail'!$O$6:$O$505,$M428)="","",INDEX('Line Detail'!$O$6:$O$505,$M428)))</f>
        <v/>
      </c>
      <c r="J428" s="34" t="str">
        <f aca="false">IF($M428=0,"",IF(INDEX('Line Detail'!$R$6:$R$505,$M428)="","",INDEX('Line Detail'!$R$6:$R$505,$M428)))</f>
        <v/>
      </c>
      <c r="K428" s="6" t="str">
        <f aca="false">IF($M428=0,"",IF(INDEX('Line Detail'!$S$6:$S$505,$M428)="","",INDEX('Line Detail'!$S$6:$S$505,$M428)))</f>
        <v/>
      </c>
      <c r="L428" s="1"/>
      <c r="M428" s="63" t="n">
        <f aca="false">IFERROR(MATCH(423,'Line Detail'!$W$6:$W$505,0),0)</f>
        <v>0</v>
      </c>
    </row>
    <row r="429" customFormat="false" ht="15" hidden="false" customHeight="false" outlineLevel="0" collapsed="false">
      <c r="A429" s="13" t="str">
        <f aca="false">IF($M429=0,"",424)</f>
        <v/>
      </c>
      <c r="B429" s="13" t="str">
        <f aca="false">IF($M429=0,"",IF(INDEX('Line Detail'!$B$6:$B$505,$M429)="","",INDEX('Line Detail'!$B$6:$B$505,$M429)))</f>
        <v/>
      </c>
      <c r="C429" s="13" t="str">
        <f aca="false">IF($M429=0,"",IF(INDEX('Line Detail'!$C$6:$C$505,$M429)="","",INDEX('Line Detail'!$C$6:$C$505,$M429)))</f>
        <v/>
      </c>
      <c r="D429" s="13" t="str">
        <f aca="false">IF($M429=0,"",IF(INDEX('Line Detail'!$D$6:$D$505,$M429)="","",INDEX('Line Detail'!$D$6:$D$505,$M429)))</f>
        <v/>
      </c>
      <c r="E429" s="13" t="str">
        <f aca="false">IF($M429=0,"",IF(INDEX('Line Detail'!$E$6:$E$505,$M429)="","",INDEX('Line Detail'!$E$6:$E$505,$M429)))</f>
        <v/>
      </c>
      <c r="F429" s="6" t="str">
        <f aca="false">IF($M429=0,"",IF(INDEX('Line Detail'!$F$6:$F$505,$M429)="","",INDEX('Line Detail'!$F$6:$F$505,$M429)))</f>
        <v/>
      </c>
      <c r="G429" s="62" t="str">
        <f aca="false">IF($M429=0,"",IF(INDEX('Line Detail'!$G$6:$G$505,$M429)="","",INDEX('Line Detail'!$G$6:$G$505,$M429)))</f>
        <v/>
      </c>
      <c r="H429" s="13" t="str">
        <f aca="false">IF($M429=0,"",IF(INDEX('Line Detail'!$H$6:$H$505,$M429)="","",INDEX('Line Detail'!$H$6:$H$505,$M429)))</f>
        <v/>
      </c>
      <c r="I429" s="34" t="str">
        <f aca="false">IF($M429=0,"",IF(INDEX('Line Detail'!$O$6:$O$505,$M429)="","",INDEX('Line Detail'!$O$6:$O$505,$M429)))</f>
        <v/>
      </c>
      <c r="J429" s="34" t="str">
        <f aca="false">IF($M429=0,"",IF(INDEX('Line Detail'!$R$6:$R$505,$M429)="","",INDEX('Line Detail'!$R$6:$R$505,$M429)))</f>
        <v/>
      </c>
      <c r="K429" s="6" t="str">
        <f aca="false">IF($M429=0,"",IF(INDEX('Line Detail'!$S$6:$S$505,$M429)="","",INDEX('Line Detail'!$S$6:$S$505,$M429)))</f>
        <v/>
      </c>
      <c r="L429" s="1"/>
      <c r="M429" s="63" t="n">
        <f aca="false">IFERROR(MATCH(424,'Line Detail'!$W$6:$W$505,0),0)</f>
        <v>0</v>
      </c>
    </row>
    <row r="430" customFormat="false" ht="15" hidden="false" customHeight="false" outlineLevel="0" collapsed="false">
      <c r="A430" s="13" t="str">
        <f aca="false">IF($M430=0,"",425)</f>
        <v/>
      </c>
      <c r="B430" s="13" t="str">
        <f aca="false">IF($M430=0,"",IF(INDEX('Line Detail'!$B$6:$B$505,$M430)="","",INDEX('Line Detail'!$B$6:$B$505,$M430)))</f>
        <v/>
      </c>
      <c r="C430" s="13" t="str">
        <f aca="false">IF($M430=0,"",IF(INDEX('Line Detail'!$C$6:$C$505,$M430)="","",INDEX('Line Detail'!$C$6:$C$505,$M430)))</f>
        <v/>
      </c>
      <c r="D430" s="13" t="str">
        <f aca="false">IF($M430=0,"",IF(INDEX('Line Detail'!$D$6:$D$505,$M430)="","",INDEX('Line Detail'!$D$6:$D$505,$M430)))</f>
        <v/>
      </c>
      <c r="E430" s="13" t="str">
        <f aca="false">IF($M430=0,"",IF(INDEX('Line Detail'!$E$6:$E$505,$M430)="","",INDEX('Line Detail'!$E$6:$E$505,$M430)))</f>
        <v/>
      </c>
      <c r="F430" s="6" t="str">
        <f aca="false">IF($M430=0,"",IF(INDEX('Line Detail'!$F$6:$F$505,$M430)="","",INDEX('Line Detail'!$F$6:$F$505,$M430)))</f>
        <v/>
      </c>
      <c r="G430" s="62" t="str">
        <f aca="false">IF($M430=0,"",IF(INDEX('Line Detail'!$G$6:$G$505,$M430)="","",INDEX('Line Detail'!$G$6:$G$505,$M430)))</f>
        <v/>
      </c>
      <c r="H430" s="13" t="str">
        <f aca="false">IF($M430=0,"",IF(INDEX('Line Detail'!$H$6:$H$505,$M430)="","",INDEX('Line Detail'!$H$6:$H$505,$M430)))</f>
        <v/>
      </c>
      <c r="I430" s="34" t="str">
        <f aca="false">IF($M430=0,"",IF(INDEX('Line Detail'!$O$6:$O$505,$M430)="","",INDEX('Line Detail'!$O$6:$O$505,$M430)))</f>
        <v/>
      </c>
      <c r="J430" s="34" t="str">
        <f aca="false">IF($M430=0,"",IF(INDEX('Line Detail'!$R$6:$R$505,$M430)="","",INDEX('Line Detail'!$R$6:$R$505,$M430)))</f>
        <v/>
      </c>
      <c r="K430" s="6" t="str">
        <f aca="false">IF($M430=0,"",IF(INDEX('Line Detail'!$S$6:$S$505,$M430)="","",INDEX('Line Detail'!$S$6:$S$505,$M430)))</f>
        <v/>
      </c>
      <c r="L430" s="1"/>
      <c r="M430" s="63" t="n">
        <f aca="false">IFERROR(MATCH(425,'Line Detail'!$W$6:$W$505,0),0)</f>
        <v>0</v>
      </c>
    </row>
    <row r="431" customFormat="false" ht="15" hidden="false" customHeight="false" outlineLevel="0" collapsed="false">
      <c r="A431" s="13" t="str">
        <f aca="false">IF($M431=0,"",426)</f>
        <v/>
      </c>
      <c r="B431" s="13" t="str">
        <f aca="false">IF($M431=0,"",IF(INDEX('Line Detail'!$B$6:$B$505,$M431)="","",INDEX('Line Detail'!$B$6:$B$505,$M431)))</f>
        <v/>
      </c>
      <c r="C431" s="13" t="str">
        <f aca="false">IF($M431=0,"",IF(INDEX('Line Detail'!$C$6:$C$505,$M431)="","",INDEX('Line Detail'!$C$6:$C$505,$M431)))</f>
        <v/>
      </c>
      <c r="D431" s="13" t="str">
        <f aca="false">IF($M431=0,"",IF(INDEX('Line Detail'!$D$6:$D$505,$M431)="","",INDEX('Line Detail'!$D$6:$D$505,$M431)))</f>
        <v/>
      </c>
      <c r="E431" s="13" t="str">
        <f aca="false">IF($M431=0,"",IF(INDEX('Line Detail'!$E$6:$E$505,$M431)="","",INDEX('Line Detail'!$E$6:$E$505,$M431)))</f>
        <v/>
      </c>
      <c r="F431" s="6" t="str">
        <f aca="false">IF($M431=0,"",IF(INDEX('Line Detail'!$F$6:$F$505,$M431)="","",INDEX('Line Detail'!$F$6:$F$505,$M431)))</f>
        <v/>
      </c>
      <c r="G431" s="62" t="str">
        <f aca="false">IF($M431=0,"",IF(INDEX('Line Detail'!$G$6:$G$505,$M431)="","",INDEX('Line Detail'!$G$6:$G$505,$M431)))</f>
        <v/>
      </c>
      <c r="H431" s="13" t="str">
        <f aca="false">IF($M431=0,"",IF(INDEX('Line Detail'!$H$6:$H$505,$M431)="","",INDEX('Line Detail'!$H$6:$H$505,$M431)))</f>
        <v/>
      </c>
      <c r="I431" s="34" t="str">
        <f aca="false">IF($M431=0,"",IF(INDEX('Line Detail'!$O$6:$O$505,$M431)="","",INDEX('Line Detail'!$O$6:$O$505,$M431)))</f>
        <v/>
      </c>
      <c r="J431" s="34" t="str">
        <f aca="false">IF($M431=0,"",IF(INDEX('Line Detail'!$R$6:$R$505,$M431)="","",INDEX('Line Detail'!$R$6:$R$505,$M431)))</f>
        <v/>
      </c>
      <c r="K431" s="6" t="str">
        <f aca="false">IF($M431=0,"",IF(INDEX('Line Detail'!$S$6:$S$505,$M431)="","",INDEX('Line Detail'!$S$6:$S$505,$M431)))</f>
        <v/>
      </c>
      <c r="L431" s="1"/>
      <c r="M431" s="63" t="n">
        <f aca="false">IFERROR(MATCH(426,'Line Detail'!$W$6:$W$505,0),0)</f>
        <v>0</v>
      </c>
    </row>
    <row r="432" customFormat="false" ht="15" hidden="false" customHeight="false" outlineLevel="0" collapsed="false">
      <c r="A432" s="13" t="str">
        <f aca="false">IF($M432=0,"",427)</f>
        <v/>
      </c>
      <c r="B432" s="13" t="str">
        <f aca="false">IF($M432=0,"",IF(INDEX('Line Detail'!$B$6:$B$505,$M432)="","",INDEX('Line Detail'!$B$6:$B$505,$M432)))</f>
        <v/>
      </c>
      <c r="C432" s="13" t="str">
        <f aca="false">IF($M432=0,"",IF(INDEX('Line Detail'!$C$6:$C$505,$M432)="","",INDEX('Line Detail'!$C$6:$C$505,$M432)))</f>
        <v/>
      </c>
      <c r="D432" s="13" t="str">
        <f aca="false">IF($M432=0,"",IF(INDEX('Line Detail'!$D$6:$D$505,$M432)="","",INDEX('Line Detail'!$D$6:$D$505,$M432)))</f>
        <v/>
      </c>
      <c r="E432" s="13" t="str">
        <f aca="false">IF($M432=0,"",IF(INDEX('Line Detail'!$E$6:$E$505,$M432)="","",INDEX('Line Detail'!$E$6:$E$505,$M432)))</f>
        <v/>
      </c>
      <c r="F432" s="6" t="str">
        <f aca="false">IF($M432=0,"",IF(INDEX('Line Detail'!$F$6:$F$505,$M432)="","",INDEX('Line Detail'!$F$6:$F$505,$M432)))</f>
        <v/>
      </c>
      <c r="G432" s="62" t="str">
        <f aca="false">IF($M432=0,"",IF(INDEX('Line Detail'!$G$6:$G$505,$M432)="","",INDEX('Line Detail'!$G$6:$G$505,$M432)))</f>
        <v/>
      </c>
      <c r="H432" s="13" t="str">
        <f aca="false">IF($M432=0,"",IF(INDEX('Line Detail'!$H$6:$H$505,$M432)="","",INDEX('Line Detail'!$H$6:$H$505,$M432)))</f>
        <v/>
      </c>
      <c r="I432" s="34" t="str">
        <f aca="false">IF($M432=0,"",IF(INDEX('Line Detail'!$O$6:$O$505,$M432)="","",INDEX('Line Detail'!$O$6:$O$505,$M432)))</f>
        <v/>
      </c>
      <c r="J432" s="34" t="str">
        <f aca="false">IF($M432=0,"",IF(INDEX('Line Detail'!$R$6:$R$505,$M432)="","",INDEX('Line Detail'!$R$6:$R$505,$M432)))</f>
        <v/>
      </c>
      <c r="K432" s="6" t="str">
        <f aca="false">IF($M432=0,"",IF(INDEX('Line Detail'!$S$6:$S$505,$M432)="","",INDEX('Line Detail'!$S$6:$S$505,$M432)))</f>
        <v/>
      </c>
      <c r="L432" s="1"/>
      <c r="M432" s="63" t="n">
        <f aca="false">IFERROR(MATCH(427,'Line Detail'!$W$6:$W$505,0),0)</f>
        <v>0</v>
      </c>
    </row>
    <row r="433" customFormat="false" ht="15" hidden="false" customHeight="false" outlineLevel="0" collapsed="false">
      <c r="A433" s="13" t="str">
        <f aca="false">IF($M433=0,"",428)</f>
        <v/>
      </c>
      <c r="B433" s="13" t="str">
        <f aca="false">IF($M433=0,"",IF(INDEX('Line Detail'!$B$6:$B$505,$M433)="","",INDEX('Line Detail'!$B$6:$B$505,$M433)))</f>
        <v/>
      </c>
      <c r="C433" s="13" t="str">
        <f aca="false">IF($M433=0,"",IF(INDEX('Line Detail'!$C$6:$C$505,$M433)="","",INDEX('Line Detail'!$C$6:$C$505,$M433)))</f>
        <v/>
      </c>
      <c r="D433" s="13" t="str">
        <f aca="false">IF($M433=0,"",IF(INDEX('Line Detail'!$D$6:$D$505,$M433)="","",INDEX('Line Detail'!$D$6:$D$505,$M433)))</f>
        <v/>
      </c>
      <c r="E433" s="13" t="str">
        <f aca="false">IF($M433=0,"",IF(INDEX('Line Detail'!$E$6:$E$505,$M433)="","",INDEX('Line Detail'!$E$6:$E$505,$M433)))</f>
        <v/>
      </c>
      <c r="F433" s="6" t="str">
        <f aca="false">IF($M433=0,"",IF(INDEX('Line Detail'!$F$6:$F$505,$M433)="","",INDEX('Line Detail'!$F$6:$F$505,$M433)))</f>
        <v/>
      </c>
      <c r="G433" s="62" t="str">
        <f aca="false">IF($M433=0,"",IF(INDEX('Line Detail'!$G$6:$G$505,$M433)="","",INDEX('Line Detail'!$G$6:$G$505,$M433)))</f>
        <v/>
      </c>
      <c r="H433" s="13" t="str">
        <f aca="false">IF($M433=0,"",IF(INDEX('Line Detail'!$H$6:$H$505,$M433)="","",INDEX('Line Detail'!$H$6:$H$505,$M433)))</f>
        <v/>
      </c>
      <c r="I433" s="34" t="str">
        <f aca="false">IF($M433=0,"",IF(INDEX('Line Detail'!$O$6:$O$505,$M433)="","",INDEX('Line Detail'!$O$6:$O$505,$M433)))</f>
        <v/>
      </c>
      <c r="J433" s="34" t="str">
        <f aca="false">IF($M433=0,"",IF(INDEX('Line Detail'!$R$6:$R$505,$M433)="","",INDEX('Line Detail'!$R$6:$R$505,$M433)))</f>
        <v/>
      </c>
      <c r="K433" s="6" t="str">
        <f aca="false">IF($M433=0,"",IF(INDEX('Line Detail'!$S$6:$S$505,$M433)="","",INDEX('Line Detail'!$S$6:$S$505,$M433)))</f>
        <v/>
      </c>
      <c r="L433" s="1"/>
      <c r="M433" s="63" t="n">
        <f aca="false">IFERROR(MATCH(428,'Line Detail'!$W$6:$W$505,0),0)</f>
        <v>0</v>
      </c>
    </row>
    <row r="434" customFormat="false" ht="15" hidden="false" customHeight="false" outlineLevel="0" collapsed="false">
      <c r="A434" s="13" t="str">
        <f aca="false">IF($M434=0,"",429)</f>
        <v/>
      </c>
      <c r="B434" s="13" t="str">
        <f aca="false">IF($M434=0,"",IF(INDEX('Line Detail'!$B$6:$B$505,$M434)="","",INDEX('Line Detail'!$B$6:$B$505,$M434)))</f>
        <v/>
      </c>
      <c r="C434" s="13" t="str">
        <f aca="false">IF($M434=0,"",IF(INDEX('Line Detail'!$C$6:$C$505,$M434)="","",INDEX('Line Detail'!$C$6:$C$505,$M434)))</f>
        <v/>
      </c>
      <c r="D434" s="13" t="str">
        <f aca="false">IF($M434=0,"",IF(INDEX('Line Detail'!$D$6:$D$505,$M434)="","",INDEX('Line Detail'!$D$6:$D$505,$M434)))</f>
        <v/>
      </c>
      <c r="E434" s="13" t="str">
        <f aca="false">IF($M434=0,"",IF(INDEX('Line Detail'!$E$6:$E$505,$M434)="","",INDEX('Line Detail'!$E$6:$E$505,$M434)))</f>
        <v/>
      </c>
      <c r="F434" s="6" t="str">
        <f aca="false">IF($M434=0,"",IF(INDEX('Line Detail'!$F$6:$F$505,$M434)="","",INDEX('Line Detail'!$F$6:$F$505,$M434)))</f>
        <v/>
      </c>
      <c r="G434" s="62" t="str">
        <f aca="false">IF($M434=0,"",IF(INDEX('Line Detail'!$G$6:$G$505,$M434)="","",INDEX('Line Detail'!$G$6:$G$505,$M434)))</f>
        <v/>
      </c>
      <c r="H434" s="13" t="str">
        <f aca="false">IF($M434=0,"",IF(INDEX('Line Detail'!$H$6:$H$505,$M434)="","",INDEX('Line Detail'!$H$6:$H$505,$M434)))</f>
        <v/>
      </c>
      <c r="I434" s="34" t="str">
        <f aca="false">IF($M434=0,"",IF(INDEX('Line Detail'!$O$6:$O$505,$M434)="","",INDEX('Line Detail'!$O$6:$O$505,$M434)))</f>
        <v/>
      </c>
      <c r="J434" s="34" t="str">
        <f aca="false">IF($M434=0,"",IF(INDEX('Line Detail'!$R$6:$R$505,$M434)="","",INDEX('Line Detail'!$R$6:$R$505,$M434)))</f>
        <v/>
      </c>
      <c r="K434" s="6" t="str">
        <f aca="false">IF($M434=0,"",IF(INDEX('Line Detail'!$S$6:$S$505,$M434)="","",INDEX('Line Detail'!$S$6:$S$505,$M434)))</f>
        <v/>
      </c>
      <c r="L434" s="1"/>
      <c r="M434" s="63" t="n">
        <f aca="false">IFERROR(MATCH(429,'Line Detail'!$W$6:$W$505,0),0)</f>
        <v>0</v>
      </c>
    </row>
    <row r="435" customFormat="false" ht="15" hidden="false" customHeight="false" outlineLevel="0" collapsed="false">
      <c r="A435" s="13" t="str">
        <f aca="false">IF($M435=0,"",430)</f>
        <v/>
      </c>
      <c r="B435" s="13" t="str">
        <f aca="false">IF($M435=0,"",IF(INDEX('Line Detail'!$B$6:$B$505,$M435)="","",INDEX('Line Detail'!$B$6:$B$505,$M435)))</f>
        <v/>
      </c>
      <c r="C435" s="13" t="str">
        <f aca="false">IF($M435=0,"",IF(INDEX('Line Detail'!$C$6:$C$505,$M435)="","",INDEX('Line Detail'!$C$6:$C$505,$M435)))</f>
        <v/>
      </c>
      <c r="D435" s="13" t="str">
        <f aca="false">IF($M435=0,"",IF(INDEX('Line Detail'!$D$6:$D$505,$M435)="","",INDEX('Line Detail'!$D$6:$D$505,$M435)))</f>
        <v/>
      </c>
      <c r="E435" s="13" t="str">
        <f aca="false">IF($M435=0,"",IF(INDEX('Line Detail'!$E$6:$E$505,$M435)="","",INDEX('Line Detail'!$E$6:$E$505,$M435)))</f>
        <v/>
      </c>
      <c r="F435" s="6" t="str">
        <f aca="false">IF($M435=0,"",IF(INDEX('Line Detail'!$F$6:$F$505,$M435)="","",INDEX('Line Detail'!$F$6:$F$505,$M435)))</f>
        <v/>
      </c>
      <c r="G435" s="62" t="str">
        <f aca="false">IF($M435=0,"",IF(INDEX('Line Detail'!$G$6:$G$505,$M435)="","",INDEX('Line Detail'!$G$6:$G$505,$M435)))</f>
        <v/>
      </c>
      <c r="H435" s="13" t="str">
        <f aca="false">IF($M435=0,"",IF(INDEX('Line Detail'!$H$6:$H$505,$M435)="","",INDEX('Line Detail'!$H$6:$H$505,$M435)))</f>
        <v/>
      </c>
      <c r="I435" s="34" t="str">
        <f aca="false">IF($M435=0,"",IF(INDEX('Line Detail'!$O$6:$O$505,$M435)="","",INDEX('Line Detail'!$O$6:$O$505,$M435)))</f>
        <v/>
      </c>
      <c r="J435" s="34" t="str">
        <f aca="false">IF($M435=0,"",IF(INDEX('Line Detail'!$R$6:$R$505,$M435)="","",INDEX('Line Detail'!$R$6:$R$505,$M435)))</f>
        <v/>
      </c>
      <c r="K435" s="6" t="str">
        <f aca="false">IF($M435=0,"",IF(INDEX('Line Detail'!$S$6:$S$505,$M435)="","",INDEX('Line Detail'!$S$6:$S$505,$M435)))</f>
        <v/>
      </c>
      <c r="L435" s="1"/>
      <c r="M435" s="63" t="n">
        <f aca="false">IFERROR(MATCH(430,'Line Detail'!$W$6:$W$505,0),0)</f>
        <v>0</v>
      </c>
    </row>
    <row r="436" customFormat="false" ht="15" hidden="false" customHeight="false" outlineLevel="0" collapsed="false">
      <c r="A436" s="13" t="str">
        <f aca="false">IF($M436=0,"",431)</f>
        <v/>
      </c>
      <c r="B436" s="13" t="str">
        <f aca="false">IF($M436=0,"",IF(INDEX('Line Detail'!$B$6:$B$505,$M436)="","",INDEX('Line Detail'!$B$6:$B$505,$M436)))</f>
        <v/>
      </c>
      <c r="C436" s="13" t="str">
        <f aca="false">IF($M436=0,"",IF(INDEX('Line Detail'!$C$6:$C$505,$M436)="","",INDEX('Line Detail'!$C$6:$C$505,$M436)))</f>
        <v/>
      </c>
      <c r="D436" s="13" t="str">
        <f aca="false">IF($M436=0,"",IF(INDEX('Line Detail'!$D$6:$D$505,$M436)="","",INDEX('Line Detail'!$D$6:$D$505,$M436)))</f>
        <v/>
      </c>
      <c r="E436" s="13" t="str">
        <f aca="false">IF($M436=0,"",IF(INDEX('Line Detail'!$E$6:$E$505,$M436)="","",INDEX('Line Detail'!$E$6:$E$505,$M436)))</f>
        <v/>
      </c>
      <c r="F436" s="6" t="str">
        <f aca="false">IF($M436=0,"",IF(INDEX('Line Detail'!$F$6:$F$505,$M436)="","",INDEX('Line Detail'!$F$6:$F$505,$M436)))</f>
        <v/>
      </c>
      <c r="G436" s="62" t="str">
        <f aca="false">IF($M436=0,"",IF(INDEX('Line Detail'!$G$6:$G$505,$M436)="","",INDEX('Line Detail'!$G$6:$G$505,$M436)))</f>
        <v/>
      </c>
      <c r="H436" s="13" t="str">
        <f aca="false">IF($M436=0,"",IF(INDEX('Line Detail'!$H$6:$H$505,$M436)="","",INDEX('Line Detail'!$H$6:$H$505,$M436)))</f>
        <v/>
      </c>
      <c r="I436" s="34" t="str">
        <f aca="false">IF($M436=0,"",IF(INDEX('Line Detail'!$O$6:$O$505,$M436)="","",INDEX('Line Detail'!$O$6:$O$505,$M436)))</f>
        <v/>
      </c>
      <c r="J436" s="34" t="str">
        <f aca="false">IF($M436=0,"",IF(INDEX('Line Detail'!$R$6:$R$505,$M436)="","",INDEX('Line Detail'!$R$6:$R$505,$M436)))</f>
        <v/>
      </c>
      <c r="K436" s="6" t="str">
        <f aca="false">IF($M436=0,"",IF(INDEX('Line Detail'!$S$6:$S$505,$M436)="","",INDEX('Line Detail'!$S$6:$S$505,$M436)))</f>
        <v/>
      </c>
      <c r="L436" s="1"/>
      <c r="M436" s="63" t="n">
        <f aca="false">IFERROR(MATCH(431,'Line Detail'!$W$6:$W$505,0),0)</f>
        <v>0</v>
      </c>
    </row>
    <row r="437" customFormat="false" ht="15" hidden="false" customHeight="false" outlineLevel="0" collapsed="false">
      <c r="A437" s="13" t="str">
        <f aca="false">IF($M437=0,"",432)</f>
        <v/>
      </c>
      <c r="B437" s="13" t="str">
        <f aca="false">IF($M437=0,"",IF(INDEX('Line Detail'!$B$6:$B$505,$M437)="","",INDEX('Line Detail'!$B$6:$B$505,$M437)))</f>
        <v/>
      </c>
      <c r="C437" s="13" t="str">
        <f aca="false">IF($M437=0,"",IF(INDEX('Line Detail'!$C$6:$C$505,$M437)="","",INDEX('Line Detail'!$C$6:$C$505,$M437)))</f>
        <v/>
      </c>
      <c r="D437" s="13" t="str">
        <f aca="false">IF($M437=0,"",IF(INDEX('Line Detail'!$D$6:$D$505,$M437)="","",INDEX('Line Detail'!$D$6:$D$505,$M437)))</f>
        <v/>
      </c>
      <c r="E437" s="13" t="str">
        <f aca="false">IF($M437=0,"",IF(INDEX('Line Detail'!$E$6:$E$505,$M437)="","",INDEX('Line Detail'!$E$6:$E$505,$M437)))</f>
        <v/>
      </c>
      <c r="F437" s="6" t="str">
        <f aca="false">IF($M437=0,"",IF(INDEX('Line Detail'!$F$6:$F$505,$M437)="","",INDEX('Line Detail'!$F$6:$F$505,$M437)))</f>
        <v/>
      </c>
      <c r="G437" s="62" t="str">
        <f aca="false">IF($M437=0,"",IF(INDEX('Line Detail'!$G$6:$G$505,$M437)="","",INDEX('Line Detail'!$G$6:$G$505,$M437)))</f>
        <v/>
      </c>
      <c r="H437" s="13" t="str">
        <f aca="false">IF($M437=0,"",IF(INDEX('Line Detail'!$H$6:$H$505,$M437)="","",INDEX('Line Detail'!$H$6:$H$505,$M437)))</f>
        <v/>
      </c>
      <c r="I437" s="34" t="str">
        <f aca="false">IF($M437=0,"",IF(INDEX('Line Detail'!$O$6:$O$505,$M437)="","",INDEX('Line Detail'!$O$6:$O$505,$M437)))</f>
        <v/>
      </c>
      <c r="J437" s="34" t="str">
        <f aca="false">IF($M437=0,"",IF(INDEX('Line Detail'!$R$6:$R$505,$M437)="","",INDEX('Line Detail'!$R$6:$R$505,$M437)))</f>
        <v/>
      </c>
      <c r="K437" s="6" t="str">
        <f aca="false">IF($M437=0,"",IF(INDEX('Line Detail'!$S$6:$S$505,$M437)="","",INDEX('Line Detail'!$S$6:$S$505,$M437)))</f>
        <v/>
      </c>
      <c r="L437" s="1"/>
      <c r="M437" s="63" t="n">
        <f aca="false">IFERROR(MATCH(432,'Line Detail'!$W$6:$W$505,0),0)</f>
        <v>0</v>
      </c>
    </row>
    <row r="438" customFormat="false" ht="15" hidden="false" customHeight="false" outlineLevel="0" collapsed="false">
      <c r="A438" s="13" t="str">
        <f aca="false">IF($M438=0,"",433)</f>
        <v/>
      </c>
      <c r="B438" s="13" t="str">
        <f aca="false">IF($M438=0,"",IF(INDEX('Line Detail'!$B$6:$B$505,$M438)="","",INDEX('Line Detail'!$B$6:$B$505,$M438)))</f>
        <v/>
      </c>
      <c r="C438" s="13" t="str">
        <f aca="false">IF($M438=0,"",IF(INDEX('Line Detail'!$C$6:$C$505,$M438)="","",INDEX('Line Detail'!$C$6:$C$505,$M438)))</f>
        <v/>
      </c>
      <c r="D438" s="13" t="str">
        <f aca="false">IF($M438=0,"",IF(INDEX('Line Detail'!$D$6:$D$505,$M438)="","",INDEX('Line Detail'!$D$6:$D$505,$M438)))</f>
        <v/>
      </c>
      <c r="E438" s="13" t="str">
        <f aca="false">IF($M438=0,"",IF(INDEX('Line Detail'!$E$6:$E$505,$M438)="","",INDEX('Line Detail'!$E$6:$E$505,$M438)))</f>
        <v/>
      </c>
      <c r="F438" s="6" t="str">
        <f aca="false">IF($M438=0,"",IF(INDEX('Line Detail'!$F$6:$F$505,$M438)="","",INDEX('Line Detail'!$F$6:$F$505,$M438)))</f>
        <v/>
      </c>
      <c r="G438" s="62" t="str">
        <f aca="false">IF($M438=0,"",IF(INDEX('Line Detail'!$G$6:$G$505,$M438)="","",INDEX('Line Detail'!$G$6:$G$505,$M438)))</f>
        <v/>
      </c>
      <c r="H438" s="13" t="str">
        <f aca="false">IF($M438=0,"",IF(INDEX('Line Detail'!$H$6:$H$505,$M438)="","",INDEX('Line Detail'!$H$6:$H$505,$M438)))</f>
        <v/>
      </c>
      <c r="I438" s="34" t="str">
        <f aca="false">IF($M438=0,"",IF(INDEX('Line Detail'!$O$6:$O$505,$M438)="","",INDEX('Line Detail'!$O$6:$O$505,$M438)))</f>
        <v/>
      </c>
      <c r="J438" s="34" t="str">
        <f aca="false">IF($M438=0,"",IF(INDEX('Line Detail'!$R$6:$R$505,$M438)="","",INDEX('Line Detail'!$R$6:$R$505,$M438)))</f>
        <v/>
      </c>
      <c r="K438" s="6" t="str">
        <f aca="false">IF($M438=0,"",IF(INDEX('Line Detail'!$S$6:$S$505,$M438)="","",INDEX('Line Detail'!$S$6:$S$505,$M438)))</f>
        <v/>
      </c>
      <c r="L438" s="1"/>
      <c r="M438" s="63" t="n">
        <f aca="false">IFERROR(MATCH(433,'Line Detail'!$W$6:$W$505,0),0)</f>
        <v>0</v>
      </c>
    </row>
    <row r="439" customFormat="false" ht="15" hidden="false" customHeight="false" outlineLevel="0" collapsed="false">
      <c r="A439" s="13" t="str">
        <f aca="false">IF($M439=0,"",434)</f>
        <v/>
      </c>
      <c r="B439" s="13" t="str">
        <f aca="false">IF($M439=0,"",IF(INDEX('Line Detail'!$B$6:$B$505,$M439)="","",INDEX('Line Detail'!$B$6:$B$505,$M439)))</f>
        <v/>
      </c>
      <c r="C439" s="13" t="str">
        <f aca="false">IF($M439=0,"",IF(INDEX('Line Detail'!$C$6:$C$505,$M439)="","",INDEX('Line Detail'!$C$6:$C$505,$M439)))</f>
        <v/>
      </c>
      <c r="D439" s="13" t="str">
        <f aca="false">IF($M439=0,"",IF(INDEX('Line Detail'!$D$6:$D$505,$M439)="","",INDEX('Line Detail'!$D$6:$D$505,$M439)))</f>
        <v/>
      </c>
      <c r="E439" s="13" t="str">
        <f aca="false">IF($M439=0,"",IF(INDEX('Line Detail'!$E$6:$E$505,$M439)="","",INDEX('Line Detail'!$E$6:$E$505,$M439)))</f>
        <v/>
      </c>
      <c r="F439" s="6" t="str">
        <f aca="false">IF($M439=0,"",IF(INDEX('Line Detail'!$F$6:$F$505,$M439)="","",INDEX('Line Detail'!$F$6:$F$505,$M439)))</f>
        <v/>
      </c>
      <c r="G439" s="62" t="str">
        <f aca="false">IF($M439=0,"",IF(INDEX('Line Detail'!$G$6:$G$505,$M439)="","",INDEX('Line Detail'!$G$6:$G$505,$M439)))</f>
        <v/>
      </c>
      <c r="H439" s="13" t="str">
        <f aca="false">IF($M439=0,"",IF(INDEX('Line Detail'!$H$6:$H$505,$M439)="","",INDEX('Line Detail'!$H$6:$H$505,$M439)))</f>
        <v/>
      </c>
      <c r="I439" s="34" t="str">
        <f aca="false">IF($M439=0,"",IF(INDEX('Line Detail'!$O$6:$O$505,$M439)="","",INDEX('Line Detail'!$O$6:$O$505,$M439)))</f>
        <v/>
      </c>
      <c r="J439" s="34" t="str">
        <f aca="false">IF($M439=0,"",IF(INDEX('Line Detail'!$R$6:$R$505,$M439)="","",INDEX('Line Detail'!$R$6:$R$505,$M439)))</f>
        <v/>
      </c>
      <c r="K439" s="6" t="str">
        <f aca="false">IF($M439=0,"",IF(INDEX('Line Detail'!$S$6:$S$505,$M439)="","",INDEX('Line Detail'!$S$6:$S$505,$M439)))</f>
        <v/>
      </c>
      <c r="L439" s="1"/>
      <c r="M439" s="63" t="n">
        <f aca="false">IFERROR(MATCH(434,'Line Detail'!$W$6:$W$505,0),0)</f>
        <v>0</v>
      </c>
    </row>
    <row r="440" customFormat="false" ht="15" hidden="false" customHeight="false" outlineLevel="0" collapsed="false">
      <c r="A440" s="13" t="str">
        <f aca="false">IF($M440=0,"",435)</f>
        <v/>
      </c>
      <c r="B440" s="13" t="str">
        <f aca="false">IF($M440=0,"",IF(INDEX('Line Detail'!$B$6:$B$505,$M440)="","",INDEX('Line Detail'!$B$6:$B$505,$M440)))</f>
        <v/>
      </c>
      <c r="C440" s="13" t="str">
        <f aca="false">IF($M440=0,"",IF(INDEX('Line Detail'!$C$6:$C$505,$M440)="","",INDEX('Line Detail'!$C$6:$C$505,$M440)))</f>
        <v/>
      </c>
      <c r="D440" s="13" t="str">
        <f aca="false">IF($M440=0,"",IF(INDEX('Line Detail'!$D$6:$D$505,$M440)="","",INDEX('Line Detail'!$D$6:$D$505,$M440)))</f>
        <v/>
      </c>
      <c r="E440" s="13" t="str">
        <f aca="false">IF($M440=0,"",IF(INDEX('Line Detail'!$E$6:$E$505,$M440)="","",INDEX('Line Detail'!$E$6:$E$505,$M440)))</f>
        <v/>
      </c>
      <c r="F440" s="6" t="str">
        <f aca="false">IF($M440=0,"",IF(INDEX('Line Detail'!$F$6:$F$505,$M440)="","",INDEX('Line Detail'!$F$6:$F$505,$M440)))</f>
        <v/>
      </c>
      <c r="G440" s="62" t="str">
        <f aca="false">IF($M440=0,"",IF(INDEX('Line Detail'!$G$6:$G$505,$M440)="","",INDEX('Line Detail'!$G$6:$G$505,$M440)))</f>
        <v/>
      </c>
      <c r="H440" s="13" t="str">
        <f aca="false">IF($M440=0,"",IF(INDEX('Line Detail'!$H$6:$H$505,$M440)="","",INDEX('Line Detail'!$H$6:$H$505,$M440)))</f>
        <v/>
      </c>
      <c r="I440" s="34" t="str">
        <f aca="false">IF($M440=0,"",IF(INDEX('Line Detail'!$O$6:$O$505,$M440)="","",INDEX('Line Detail'!$O$6:$O$505,$M440)))</f>
        <v/>
      </c>
      <c r="J440" s="34" t="str">
        <f aca="false">IF($M440=0,"",IF(INDEX('Line Detail'!$R$6:$R$505,$M440)="","",INDEX('Line Detail'!$R$6:$R$505,$M440)))</f>
        <v/>
      </c>
      <c r="K440" s="6" t="str">
        <f aca="false">IF($M440=0,"",IF(INDEX('Line Detail'!$S$6:$S$505,$M440)="","",INDEX('Line Detail'!$S$6:$S$505,$M440)))</f>
        <v/>
      </c>
      <c r="L440" s="1"/>
      <c r="M440" s="63" t="n">
        <f aca="false">IFERROR(MATCH(435,'Line Detail'!$W$6:$W$505,0),0)</f>
        <v>0</v>
      </c>
    </row>
    <row r="441" customFormat="false" ht="15" hidden="false" customHeight="false" outlineLevel="0" collapsed="false">
      <c r="A441" s="13" t="str">
        <f aca="false">IF($M441=0,"",436)</f>
        <v/>
      </c>
      <c r="B441" s="13" t="str">
        <f aca="false">IF($M441=0,"",IF(INDEX('Line Detail'!$B$6:$B$505,$M441)="","",INDEX('Line Detail'!$B$6:$B$505,$M441)))</f>
        <v/>
      </c>
      <c r="C441" s="13" t="str">
        <f aca="false">IF($M441=0,"",IF(INDEX('Line Detail'!$C$6:$C$505,$M441)="","",INDEX('Line Detail'!$C$6:$C$505,$M441)))</f>
        <v/>
      </c>
      <c r="D441" s="13" t="str">
        <f aca="false">IF($M441=0,"",IF(INDEX('Line Detail'!$D$6:$D$505,$M441)="","",INDEX('Line Detail'!$D$6:$D$505,$M441)))</f>
        <v/>
      </c>
      <c r="E441" s="13" t="str">
        <f aca="false">IF($M441=0,"",IF(INDEX('Line Detail'!$E$6:$E$505,$M441)="","",INDEX('Line Detail'!$E$6:$E$505,$M441)))</f>
        <v/>
      </c>
      <c r="F441" s="6" t="str">
        <f aca="false">IF($M441=0,"",IF(INDEX('Line Detail'!$F$6:$F$505,$M441)="","",INDEX('Line Detail'!$F$6:$F$505,$M441)))</f>
        <v/>
      </c>
      <c r="G441" s="62" t="str">
        <f aca="false">IF($M441=0,"",IF(INDEX('Line Detail'!$G$6:$G$505,$M441)="","",INDEX('Line Detail'!$G$6:$G$505,$M441)))</f>
        <v/>
      </c>
      <c r="H441" s="13" t="str">
        <f aca="false">IF($M441=0,"",IF(INDEX('Line Detail'!$H$6:$H$505,$M441)="","",INDEX('Line Detail'!$H$6:$H$505,$M441)))</f>
        <v/>
      </c>
      <c r="I441" s="34" t="str">
        <f aca="false">IF($M441=0,"",IF(INDEX('Line Detail'!$O$6:$O$505,$M441)="","",INDEX('Line Detail'!$O$6:$O$505,$M441)))</f>
        <v/>
      </c>
      <c r="J441" s="34" t="str">
        <f aca="false">IF($M441=0,"",IF(INDEX('Line Detail'!$R$6:$R$505,$M441)="","",INDEX('Line Detail'!$R$6:$R$505,$M441)))</f>
        <v/>
      </c>
      <c r="K441" s="6" t="str">
        <f aca="false">IF($M441=0,"",IF(INDEX('Line Detail'!$S$6:$S$505,$M441)="","",INDEX('Line Detail'!$S$6:$S$505,$M441)))</f>
        <v/>
      </c>
      <c r="L441" s="1"/>
      <c r="M441" s="63" t="n">
        <f aca="false">IFERROR(MATCH(436,'Line Detail'!$W$6:$W$505,0),0)</f>
        <v>0</v>
      </c>
    </row>
    <row r="442" customFormat="false" ht="15" hidden="false" customHeight="false" outlineLevel="0" collapsed="false">
      <c r="A442" s="13" t="str">
        <f aca="false">IF($M442=0,"",437)</f>
        <v/>
      </c>
      <c r="B442" s="13" t="str">
        <f aca="false">IF($M442=0,"",IF(INDEX('Line Detail'!$B$6:$B$505,$M442)="","",INDEX('Line Detail'!$B$6:$B$505,$M442)))</f>
        <v/>
      </c>
      <c r="C442" s="13" t="str">
        <f aca="false">IF($M442=0,"",IF(INDEX('Line Detail'!$C$6:$C$505,$M442)="","",INDEX('Line Detail'!$C$6:$C$505,$M442)))</f>
        <v/>
      </c>
      <c r="D442" s="13" t="str">
        <f aca="false">IF($M442=0,"",IF(INDEX('Line Detail'!$D$6:$D$505,$M442)="","",INDEX('Line Detail'!$D$6:$D$505,$M442)))</f>
        <v/>
      </c>
      <c r="E442" s="13" t="str">
        <f aca="false">IF($M442=0,"",IF(INDEX('Line Detail'!$E$6:$E$505,$M442)="","",INDEX('Line Detail'!$E$6:$E$505,$M442)))</f>
        <v/>
      </c>
      <c r="F442" s="6" t="str">
        <f aca="false">IF($M442=0,"",IF(INDEX('Line Detail'!$F$6:$F$505,$M442)="","",INDEX('Line Detail'!$F$6:$F$505,$M442)))</f>
        <v/>
      </c>
      <c r="G442" s="62" t="str">
        <f aca="false">IF($M442=0,"",IF(INDEX('Line Detail'!$G$6:$G$505,$M442)="","",INDEX('Line Detail'!$G$6:$G$505,$M442)))</f>
        <v/>
      </c>
      <c r="H442" s="13" t="str">
        <f aca="false">IF($M442=0,"",IF(INDEX('Line Detail'!$H$6:$H$505,$M442)="","",INDEX('Line Detail'!$H$6:$H$505,$M442)))</f>
        <v/>
      </c>
      <c r="I442" s="34" t="str">
        <f aca="false">IF($M442=0,"",IF(INDEX('Line Detail'!$O$6:$O$505,$M442)="","",INDEX('Line Detail'!$O$6:$O$505,$M442)))</f>
        <v/>
      </c>
      <c r="J442" s="34" t="str">
        <f aca="false">IF($M442=0,"",IF(INDEX('Line Detail'!$R$6:$R$505,$M442)="","",INDEX('Line Detail'!$R$6:$R$505,$M442)))</f>
        <v/>
      </c>
      <c r="K442" s="6" t="str">
        <f aca="false">IF($M442=0,"",IF(INDEX('Line Detail'!$S$6:$S$505,$M442)="","",INDEX('Line Detail'!$S$6:$S$505,$M442)))</f>
        <v/>
      </c>
      <c r="L442" s="1"/>
      <c r="M442" s="63" t="n">
        <f aca="false">IFERROR(MATCH(437,'Line Detail'!$W$6:$W$505,0),0)</f>
        <v>0</v>
      </c>
    </row>
    <row r="443" customFormat="false" ht="15" hidden="false" customHeight="false" outlineLevel="0" collapsed="false">
      <c r="A443" s="13" t="str">
        <f aca="false">IF($M443=0,"",438)</f>
        <v/>
      </c>
      <c r="B443" s="13" t="str">
        <f aca="false">IF($M443=0,"",IF(INDEX('Line Detail'!$B$6:$B$505,$M443)="","",INDEX('Line Detail'!$B$6:$B$505,$M443)))</f>
        <v/>
      </c>
      <c r="C443" s="13" t="str">
        <f aca="false">IF($M443=0,"",IF(INDEX('Line Detail'!$C$6:$C$505,$M443)="","",INDEX('Line Detail'!$C$6:$C$505,$M443)))</f>
        <v/>
      </c>
      <c r="D443" s="13" t="str">
        <f aca="false">IF($M443=0,"",IF(INDEX('Line Detail'!$D$6:$D$505,$M443)="","",INDEX('Line Detail'!$D$6:$D$505,$M443)))</f>
        <v/>
      </c>
      <c r="E443" s="13" t="str">
        <f aca="false">IF($M443=0,"",IF(INDEX('Line Detail'!$E$6:$E$505,$M443)="","",INDEX('Line Detail'!$E$6:$E$505,$M443)))</f>
        <v/>
      </c>
      <c r="F443" s="6" t="str">
        <f aca="false">IF($M443=0,"",IF(INDEX('Line Detail'!$F$6:$F$505,$M443)="","",INDEX('Line Detail'!$F$6:$F$505,$M443)))</f>
        <v/>
      </c>
      <c r="G443" s="62" t="str">
        <f aca="false">IF($M443=0,"",IF(INDEX('Line Detail'!$G$6:$G$505,$M443)="","",INDEX('Line Detail'!$G$6:$G$505,$M443)))</f>
        <v/>
      </c>
      <c r="H443" s="13" t="str">
        <f aca="false">IF($M443=0,"",IF(INDEX('Line Detail'!$H$6:$H$505,$M443)="","",INDEX('Line Detail'!$H$6:$H$505,$M443)))</f>
        <v/>
      </c>
      <c r="I443" s="34" t="str">
        <f aca="false">IF($M443=0,"",IF(INDEX('Line Detail'!$O$6:$O$505,$M443)="","",INDEX('Line Detail'!$O$6:$O$505,$M443)))</f>
        <v/>
      </c>
      <c r="J443" s="34" t="str">
        <f aca="false">IF($M443=0,"",IF(INDEX('Line Detail'!$R$6:$R$505,$M443)="","",INDEX('Line Detail'!$R$6:$R$505,$M443)))</f>
        <v/>
      </c>
      <c r="K443" s="6" t="str">
        <f aca="false">IF($M443=0,"",IF(INDEX('Line Detail'!$S$6:$S$505,$M443)="","",INDEX('Line Detail'!$S$6:$S$505,$M443)))</f>
        <v/>
      </c>
      <c r="L443" s="1"/>
      <c r="M443" s="63" t="n">
        <f aca="false">IFERROR(MATCH(438,'Line Detail'!$W$6:$W$505,0),0)</f>
        <v>0</v>
      </c>
    </row>
    <row r="444" customFormat="false" ht="15" hidden="false" customHeight="false" outlineLevel="0" collapsed="false">
      <c r="A444" s="13" t="str">
        <f aca="false">IF($M444=0,"",439)</f>
        <v/>
      </c>
      <c r="B444" s="13" t="str">
        <f aca="false">IF($M444=0,"",IF(INDEX('Line Detail'!$B$6:$B$505,$M444)="","",INDEX('Line Detail'!$B$6:$B$505,$M444)))</f>
        <v/>
      </c>
      <c r="C444" s="13" t="str">
        <f aca="false">IF($M444=0,"",IF(INDEX('Line Detail'!$C$6:$C$505,$M444)="","",INDEX('Line Detail'!$C$6:$C$505,$M444)))</f>
        <v/>
      </c>
      <c r="D444" s="13" t="str">
        <f aca="false">IF($M444=0,"",IF(INDEX('Line Detail'!$D$6:$D$505,$M444)="","",INDEX('Line Detail'!$D$6:$D$505,$M444)))</f>
        <v/>
      </c>
      <c r="E444" s="13" t="str">
        <f aca="false">IF($M444=0,"",IF(INDEX('Line Detail'!$E$6:$E$505,$M444)="","",INDEX('Line Detail'!$E$6:$E$505,$M444)))</f>
        <v/>
      </c>
      <c r="F444" s="6" t="str">
        <f aca="false">IF($M444=0,"",IF(INDEX('Line Detail'!$F$6:$F$505,$M444)="","",INDEX('Line Detail'!$F$6:$F$505,$M444)))</f>
        <v/>
      </c>
      <c r="G444" s="62" t="str">
        <f aca="false">IF($M444=0,"",IF(INDEX('Line Detail'!$G$6:$G$505,$M444)="","",INDEX('Line Detail'!$G$6:$G$505,$M444)))</f>
        <v/>
      </c>
      <c r="H444" s="13" t="str">
        <f aca="false">IF($M444=0,"",IF(INDEX('Line Detail'!$H$6:$H$505,$M444)="","",INDEX('Line Detail'!$H$6:$H$505,$M444)))</f>
        <v/>
      </c>
      <c r="I444" s="34" t="str">
        <f aca="false">IF($M444=0,"",IF(INDEX('Line Detail'!$O$6:$O$505,$M444)="","",INDEX('Line Detail'!$O$6:$O$505,$M444)))</f>
        <v/>
      </c>
      <c r="J444" s="34" t="str">
        <f aca="false">IF($M444=0,"",IF(INDEX('Line Detail'!$R$6:$R$505,$M444)="","",INDEX('Line Detail'!$R$6:$R$505,$M444)))</f>
        <v/>
      </c>
      <c r="K444" s="6" t="str">
        <f aca="false">IF($M444=0,"",IF(INDEX('Line Detail'!$S$6:$S$505,$M444)="","",INDEX('Line Detail'!$S$6:$S$505,$M444)))</f>
        <v/>
      </c>
      <c r="L444" s="1"/>
      <c r="M444" s="63" t="n">
        <f aca="false">IFERROR(MATCH(439,'Line Detail'!$W$6:$W$505,0),0)</f>
        <v>0</v>
      </c>
    </row>
    <row r="445" customFormat="false" ht="15" hidden="false" customHeight="false" outlineLevel="0" collapsed="false">
      <c r="A445" s="13" t="str">
        <f aca="false">IF($M445=0,"",440)</f>
        <v/>
      </c>
      <c r="B445" s="13" t="str">
        <f aca="false">IF($M445=0,"",IF(INDEX('Line Detail'!$B$6:$B$505,$M445)="","",INDEX('Line Detail'!$B$6:$B$505,$M445)))</f>
        <v/>
      </c>
      <c r="C445" s="13" t="str">
        <f aca="false">IF($M445=0,"",IF(INDEX('Line Detail'!$C$6:$C$505,$M445)="","",INDEX('Line Detail'!$C$6:$C$505,$M445)))</f>
        <v/>
      </c>
      <c r="D445" s="13" t="str">
        <f aca="false">IF($M445=0,"",IF(INDEX('Line Detail'!$D$6:$D$505,$M445)="","",INDEX('Line Detail'!$D$6:$D$505,$M445)))</f>
        <v/>
      </c>
      <c r="E445" s="13" t="str">
        <f aca="false">IF($M445=0,"",IF(INDEX('Line Detail'!$E$6:$E$505,$M445)="","",INDEX('Line Detail'!$E$6:$E$505,$M445)))</f>
        <v/>
      </c>
      <c r="F445" s="6" t="str">
        <f aca="false">IF($M445=0,"",IF(INDEX('Line Detail'!$F$6:$F$505,$M445)="","",INDEX('Line Detail'!$F$6:$F$505,$M445)))</f>
        <v/>
      </c>
      <c r="G445" s="62" t="str">
        <f aca="false">IF($M445=0,"",IF(INDEX('Line Detail'!$G$6:$G$505,$M445)="","",INDEX('Line Detail'!$G$6:$G$505,$M445)))</f>
        <v/>
      </c>
      <c r="H445" s="13" t="str">
        <f aca="false">IF($M445=0,"",IF(INDEX('Line Detail'!$H$6:$H$505,$M445)="","",INDEX('Line Detail'!$H$6:$H$505,$M445)))</f>
        <v/>
      </c>
      <c r="I445" s="34" t="str">
        <f aca="false">IF($M445=0,"",IF(INDEX('Line Detail'!$O$6:$O$505,$M445)="","",INDEX('Line Detail'!$O$6:$O$505,$M445)))</f>
        <v/>
      </c>
      <c r="J445" s="34" t="str">
        <f aca="false">IF($M445=0,"",IF(INDEX('Line Detail'!$R$6:$R$505,$M445)="","",INDEX('Line Detail'!$R$6:$R$505,$M445)))</f>
        <v/>
      </c>
      <c r="K445" s="6" t="str">
        <f aca="false">IF($M445=0,"",IF(INDEX('Line Detail'!$S$6:$S$505,$M445)="","",INDEX('Line Detail'!$S$6:$S$505,$M445)))</f>
        <v/>
      </c>
      <c r="L445" s="1"/>
      <c r="M445" s="63" t="n">
        <f aca="false">IFERROR(MATCH(440,'Line Detail'!$W$6:$W$505,0),0)</f>
        <v>0</v>
      </c>
    </row>
    <row r="446" customFormat="false" ht="15" hidden="false" customHeight="false" outlineLevel="0" collapsed="false">
      <c r="A446" s="13" t="str">
        <f aca="false">IF($M446=0,"",441)</f>
        <v/>
      </c>
      <c r="B446" s="13" t="str">
        <f aca="false">IF($M446=0,"",IF(INDEX('Line Detail'!$B$6:$B$505,$M446)="","",INDEX('Line Detail'!$B$6:$B$505,$M446)))</f>
        <v/>
      </c>
      <c r="C446" s="13" t="str">
        <f aca="false">IF($M446=0,"",IF(INDEX('Line Detail'!$C$6:$C$505,$M446)="","",INDEX('Line Detail'!$C$6:$C$505,$M446)))</f>
        <v/>
      </c>
      <c r="D446" s="13" t="str">
        <f aca="false">IF($M446=0,"",IF(INDEX('Line Detail'!$D$6:$D$505,$M446)="","",INDEX('Line Detail'!$D$6:$D$505,$M446)))</f>
        <v/>
      </c>
      <c r="E446" s="13" t="str">
        <f aca="false">IF($M446=0,"",IF(INDEX('Line Detail'!$E$6:$E$505,$M446)="","",INDEX('Line Detail'!$E$6:$E$505,$M446)))</f>
        <v/>
      </c>
      <c r="F446" s="6" t="str">
        <f aca="false">IF($M446=0,"",IF(INDEX('Line Detail'!$F$6:$F$505,$M446)="","",INDEX('Line Detail'!$F$6:$F$505,$M446)))</f>
        <v/>
      </c>
      <c r="G446" s="62" t="str">
        <f aca="false">IF($M446=0,"",IF(INDEX('Line Detail'!$G$6:$G$505,$M446)="","",INDEX('Line Detail'!$G$6:$G$505,$M446)))</f>
        <v/>
      </c>
      <c r="H446" s="13" t="str">
        <f aca="false">IF($M446=0,"",IF(INDEX('Line Detail'!$H$6:$H$505,$M446)="","",INDEX('Line Detail'!$H$6:$H$505,$M446)))</f>
        <v/>
      </c>
      <c r="I446" s="34" t="str">
        <f aca="false">IF($M446=0,"",IF(INDEX('Line Detail'!$O$6:$O$505,$M446)="","",INDEX('Line Detail'!$O$6:$O$505,$M446)))</f>
        <v/>
      </c>
      <c r="J446" s="34" t="str">
        <f aca="false">IF($M446=0,"",IF(INDEX('Line Detail'!$R$6:$R$505,$M446)="","",INDEX('Line Detail'!$R$6:$R$505,$M446)))</f>
        <v/>
      </c>
      <c r="K446" s="6" t="str">
        <f aca="false">IF($M446=0,"",IF(INDEX('Line Detail'!$S$6:$S$505,$M446)="","",INDEX('Line Detail'!$S$6:$S$505,$M446)))</f>
        <v/>
      </c>
      <c r="L446" s="1"/>
      <c r="M446" s="63" t="n">
        <f aca="false">IFERROR(MATCH(441,'Line Detail'!$W$6:$W$505,0),0)</f>
        <v>0</v>
      </c>
    </row>
    <row r="447" customFormat="false" ht="15" hidden="false" customHeight="false" outlineLevel="0" collapsed="false">
      <c r="A447" s="13" t="str">
        <f aca="false">IF($M447=0,"",442)</f>
        <v/>
      </c>
      <c r="B447" s="13" t="str">
        <f aca="false">IF($M447=0,"",IF(INDEX('Line Detail'!$B$6:$B$505,$M447)="","",INDEX('Line Detail'!$B$6:$B$505,$M447)))</f>
        <v/>
      </c>
      <c r="C447" s="13" t="str">
        <f aca="false">IF($M447=0,"",IF(INDEX('Line Detail'!$C$6:$C$505,$M447)="","",INDEX('Line Detail'!$C$6:$C$505,$M447)))</f>
        <v/>
      </c>
      <c r="D447" s="13" t="str">
        <f aca="false">IF($M447=0,"",IF(INDEX('Line Detail'!$D$6:$D$505,$M447)="","",INDEX('Line Detail'!$D$6:$D$505,$M447)))</f>
        <v/>
      </c>
      <c r="E447" s="13" t="str">
        <f aca="false">IF($M447=0,"",IF(INDEX('Line Detail'!$E$6:$E$505,$M447)="","",INDEX('Line Detail'!$E$6:$E$505,$M447)))</f>
        <v/>
      </c>
      <c r="F447" s="6" t="str">
        <f aca="false">IF($M447=0,"",IF(INDEX('Line Detail'!$F$6:$F$505,$M447)="","",INDEX('Line Detail'!$F$6:$F$505,$M447)))</f>
        <v/>
      </c>
      <c r="G447" s="62" t="str">
        <f aca="false">IF($M447=0,"",IF(INDEX('Line Detail'!$G$6:$G$505,$M447)="","",INDEX('Line Detail'!$G$6:$G$505,$M447)))</f>
        <v/>
      </c>
      <c r="H447" s="13" t="str">
        <f aca="false">IF($M447=0,"",IF(INDEX('Line Detail'!$H$6:$H$505,$M447)="","",INDEX('Line Detail'!$H$6:$H$505,$M447)))</f>
        <v/>
      </c>
      <c r="I447" s="34" t="str">
        <f aca="false">IF($M447=0,"",IF(INDEX('Line Detail'!$O$6:$O$505,$M447)="","",INDEX('Line Detail'!$O$6:$O$505,$M447)))</f>
        <v/>
      </c>
      <c r="J447" s="34" t="str">
        <f aca="false">IF($M447=0,"",IF(INDEX('Line Detail'!$R$6:$R$505,$M447)="","",INDEX('Line Detail'!$R$6:$R$505,$M447)))</f>
        <v/>
      </c>
      <c r="K447" s="6" t="str">
        <f aca="false">IF($M447=0,"",IF(INDEX('Line Detail'!$S$6:$S$505,$M447)="","",INDEX('Line Detail'!$S$6:$S$505,$M447)))</f>
        <v/>
      </c>
      <c r="L447" s="1"/>
      <c r="M447" s="63" t="n">
        <f aca="false">IFERROR(MATCH(442,'Line Detail'!$W$6:$W$505,0),0)</f>
        <v>0</v>
      </c>
    </row>
    <row r="448" customFormat="false" ht="15" hidden="false" customHeight="false" outlineLevel="0" collapsed="false">
      <c r="A448" s="13" t="str">
        <f aca="false">IF($M448=0,"",443)</f>
        <v/>
      </c>
      <c r="B448" s="13" t="str">
        <f aca="false">IF($M448=0,"",IF(INDEX('Line Detail'!$B$6:$B$505,$M448)="","",INDEX('Line Detail'!$B$6:$B$505,$M448)))</f>
        <v/>
      </c>
      <c r="C448" s="13" t="str">
        <f aca="false">IF($M448=0,"",IF(INDEX('Line Detail'!$C$6:$C$505,$M448)="","",INDEX('Line Detail'!$C$6:$C$505,$M448)))</f>
        <v/>
      </c>
      <c r="D448" s="13" t="str">
        <f aca="false">IF($M448=0,"",IF(INDEX('Line Detail'!$D$6:$D$505,$M448)="","",INDEX('Line Detail'!$D$6:$D$505,$M448)))</f>
        <v/>
      </c>
      <c r="E448" s="13" t="str">
        <f aca="false">IF($M448=0,"",IF(INDEX('Line Detail'!$E$6:$E$505,$M448)="","",INDEX('Line Detail'!$E$6:$E$505,$M448)))</f>
        <v/>
      </c>
      <c r="F448" s="6" t="str">
        <f aca="false">IF($M448=0,"",IF(INDEX('Line Detail'!$F$6:$F$505,$M448)="","",INDEX('Line Detail'!$F$6:$F$505,$M448)))</f>
        <v/>
      </c>
      <c r="G448" s="62" t="str">
        <f aca="false">IF($M448=0,"",IF(INDEX('Line Detail'!$G$6:$G$505,$M448)="","",INDEX('Line Detail'!$G$6:$G$505,$M448)))</f>
        <v/>
      </c>
      <c r="H448" s="13" t="str">
        <f aca="false">IF($M448=0,"",IF(INDEX('Line Detail'!$H$6:$H$505,$M448)="","",INDEX('Line Detail'!$H$6:$H$505,$M448)))</f>
        <v/>
      </c>
      <c r="I448" s="34" t="str">
        <f aca="false">IF($M448=0,"",IF(INDEX('Line Detail'!$O$6:$O$505,$M448)="","",INDEX('Line Detail'!$O$6:$O$505,$M448)))</f>
        <v/>
      </c>
      <c r="J448" s="34" t="str">
        <f aca="false">IF($M448=0,"",IF(INDEX('Line Detail'!$R$6:$R$505,$M448)="","",INDEX('Line Detail'!$R$6:$R$505,$M448)))</f>
        <v/>
      </c>
      <c r="K448" s="6" t="str">
        <f aca="false">IF($M448=0,"",IF(INDEX('Line Detail'!$S$6:$S$505,$M448)="","",INDEX('Line Detail'!$S$6:$S$505,$M448)))</f>
        <v/>
      </c>
      <c r="L448" s="1"/>
      <c r="M448" s="63" t="n">
        <f aca="false">IFERROR(MATCH(443,'Line Detail'!$W$6:$W$505,0),0)</f>
        <v>0</v>
      </c>
    </row>
    <row r="449" customFormat="false" ht="15" hidden="false" customHeight="false" outlineLevel="0" collapsed="false">
      <c r="A449" s="13" t="str">
        <f aca="false">IF($M449=0,"",444)</f>
        <v/>
      </c>
      <c r="B449" s="13" t="str">
        <f aca="false">IF($M449=0,"",IF(INDEX('Line Detail'!$B$6:$B$505,$M449)="","",INDEX('Line Detail'!$B$6:$B$505,$M449)))</f>
        <v/>
      </c>
      <c r="C449" s="13" t="str">
        <f aca="false">IF($M449=0,"",IF(INDEX('Line Detail'!$C$6:$C$505,$M449)="","",INDEX('Line Detail'!$C$6:$C$505,$M449)))</f>
        <v/>
      </c>
      <c r="D449" s="13" t="str">
        <f aca="false">IF($M449=0,"",IF(INDEX('Line Detail'!$D$6:$D$505,$M449)="","",INDEX('Line Detail'!$D$6:$D$505,$M449)))</f>
        <v/>
      </c>
      <c r="E449" s="13" t="str">
        <f aca="false">IF($M449=0,"",IF(INDEX('Line Detail'!$E$6:$E$505,$M449)="","",INDEX('Line Detail'!$E$6:$E$505,$M449)))</f>
        <v/>
      </c>
      <c r="F449" s="6" t="str">
        <f aca="false">IF($M449=0,"",IF(INDEX('Line Detail'!$F$6:$F$505,$M449)="","",INDEX('Line Detail'!$F$6:$F$505,$M449)))</f>
        <v/>
      </c>
      <c r="G449" s="62" t="str">
        <f aca="false">IF($M449=0,"",IF(INDEX('Line Detail'!$G$6:$G$505,$M449)="","",INDEX('Line Detail'!$G$6:$G$505,$M449)))</f>
        <v/>
      </c>
      <c r="H449" s="13" t="str">
        <f aca="false">IF($M449=0,"",IF(INDEX('Line Detail'!$H$6:$H$505,$M449)="","",INDEX('Line Detail'!$H$6:$H$505,$M449)))</f>
        <v/>
      </c>
      <c r="I449" s="34" t="str">
        <f aca="false">IF($M449=0,"",IF(INDEX('Line Detail'!$O$6:$O$505,$M449)="","",INDEX('Line Detail'!$O$6:$O$505,$M449)))</f>
        <v/>
      </c>
      <c r="J449" s="34" t="str">
        <f aca="false">IF($M449=0,"",IF(INDEX('Line Detail'!$R$6:$R$505,$M449)="","",INDEX('Line Detail'!$R$6:$R$505,$M449)))</f>
        <v/>
      </c>
      <c r="K449" s="6" t="str">
        <f aca="false">IF($M449=0,"",IF(INDEX('Line Detail'!$S$6:$S$505,$M449)="","",INDEX('Line Detail'!$S$6:$S$505,$M449)))</f>
        <v/>
      </c>
      <c r="L449" s="1"/>
      <c r="M449" s="63" t="n">
        <f aca="false">IFERROR(MATCH(444,'Line Detail'!$W$6:$W$505,0),0)</f>
        <v>0</v>
      </c>
    </row>
    <row r="450" customFormat="false" ht="15" hidden="false" customHeight="false" outlineLevel="0" collapsed="false">
      <c r="A450" s="13" t="str">
        <f aca="false">IF($M450=0,"",445)</f>
        <v/>
      </c>
      <c r="B450" s="13" t="str">
        <f aca="false">IF($M450=0,"",IF(INDEX('Line Detail'!$B$6:$B$505,$M450)="","",INDEX('Line Detail'!$B$6:$B$505,$M450)))</f>
        <v/>
      </c>
      <c r="C450" s="13" t="str">
        <f aca="false">IF($M450=0,"",IF(INDEX('Line Detail'!$C$6:$C$505,$M450)="","",INDEX('Line Detail'!$C$6:$C$505,$M450)))</f>
        <v/>
      </c>
      <c r="D450" s="13" t="str">
        <f aca="false">IF($M450=0,"",IF(INDEX('Line Detail'!$D$6:$D$505,$M450)="","",INDEX('Line Detail'!$D$6:$D$505,$M450)))</f>
        <v/>
      </c>
      <c r="E450" s="13" t="str">
        <f aca="false">IF($M450=0,"",IF(INDEX('Line Detail'!$E$6:$E$505,$M450)="","",INDEX('Line Detail'!$E$6:$E$505,$M450)))</f>
        <v/>
      </c>
      <c r="F450" s="6" t="str">
        <f aca="false">IF($M450=0,"",IF(INDEX('Line Detail'!$F$6:$F$505,$M450)="","",INDEX('Line Detail'!$F$6:$F$505,$M450)))</f>
        <v/>
      </c>
      <c r="G450" s="62" t="str">
        <f aca="false">IF($M450=0,"",IF(INDEX('Line Detail'!$G$6:$G$505,$M450)="","",INDEX('Line Detail'!$G$6:$G$505,$M450)))</f>
        <v/>
      </c>
      <c r="H450" s="13" t="str">
        <f aca="false">IF($M450=0,"",IF(INDEX('Line Detail'!$H$6:$H$505,$M450)="","",INDEX('Line Detail'!$H$6:$H$505,$M450)))</f>
        <v/>
      </c>
      <c r="I450" s="34" t="str">
        <f aca="false">IF($M450=0,"",IF(INDEX('Line Detail'!$O$6:$O$505,$M450)="","",INDEX('Line Detail'!$O$6:$O$505,$M450)))</f>
        <v/>
      </c>
      <c r="J450" s="34" t="str">
        <f aca="false">IF($M450=0,"",IF(INDEX('Line Detail'!$R$6:$R$505,$M450)="","",INDEX('Line Detail'!$R$6:$R$505,$M450)))</f>
        <v/>
      </c>
      <c r="K450" s="6" t="str">
        <f aca="false">IF($M450=0,"",IF(INDEX('Line Detail'!$S$6:$S$505,$M450)="","",INDEX('Line Detail'!$S$6:$S$505,$M450)))</f>
        <v/>
      </c>
      <c r="L450" s="1"/>
      <c r="M450" s="63" t="n">
        <f aca="false">IFERROR(MATCH(445,'Line Detail'!$W$6:$W$505,0),0)</f>
        <v>0</v>
      </c>
    </row>
    <row r="451" customFormat="false" ht="15" hidden="false" customHeight="false" outlineLevel="0" collapsed="false">
      <c r="A451" s="13" t="str">
        <f aca="false">IF($M451=0,"",446)</f>
        <v/>
      </c>
      <c r="B451" s="13" t="str">
        <f aca="false">IF($M451=0,"",IF(INDEX('Line Detail'!$B$6:$B$505,$M451)="","",INDEX('Line Detail'!$B$6:$B$505,$M451)))</f>
        <v/>
      </c>
      <c r="C451" s="13" t="str">
        <f aca="false">IF($M451=0,"",IF(INDEX('Line Detail'!$C$6:$C$505,$M451)="","",INDEX('Line Detail'!$C$6:$C$505,$M451)))</f>
        <v/>
      </c>
      <c r="D451" s="13" t="str">
        <f aca="false">IF($M451=0,"",IF(INDEX('Line Detail'!$D$6:$D$505,$M451)="","",INDEX('Line Detail'!$D$6:$D$505,$M451)))</f>
        <v/>
      </c>
      <c r="E451" s="13" t="str">
        <f aca="false">IF($M451=0,"",IF(INDEX('Line Detail'!$E$6:$E$505,$M451)="","",INDEX('Line Detail'!$E$6:$E$505,$M451)))</f>
        <v/>
      </c>
      <c r="F451" s="6" t="str">
        <f aca="false">IF($M451=0,"",IF(INDEX('Line Detail'!$F$6:$F$505,$M451)="","",INDEX('Line Detail'!$F$6:$F$505,$M451)))</f>
        <v/>
      </c>
      <c r="G451" s="62" t="str">
        <f aca="false">IF($M451=0,"",IF(INDEX('Line Detail'!$G$6:$G$505,$M451)="","",INDEX('Line Detail'!$G$6:$G$505,$M451)))</f>
        <v/>
      </c>
      <c r="H451" s="13" t="str">
        <f aca="false">IF($M451=0,"",IF(INDEX('Line Detail'!$H$6:$H$505,$M451)="","",INDEX('Line Detail'!$H$6:$H$505,$M451)))</f>
        <v/>
      </c>
      <c r="I451" s="34" t="str">
        <f aca="false">IF($M451=0,"",IF(INDEX('Line Detail'!$O$6:$O$505,$M451)="","",INDEX('Line Detail'!$O$6:$O$505,$M451)))</f>
        <v/>
      </c>
      <c r="J451" s="34" t="str">
        <f aca="false">IF($M451=0,"",IF(INDEX('Line Detail'!$R$6:$R$505,$M451)="","",INDEX('Line Detail'!$R$6:$R$505,$M451)))</f>
        <v/>
      </c>
      <c r="K451" s="6" t="str">
        <f aca="false">IF($M451=0,"",IF(INDEX('Line Detail'!$S$6:$S$505,$M451)="","",INDEX('Line Detail'!$S$6:$S$505,$M451)))</f>
        <v/>
      </c>
      <c r="L451" s="1"/>
      <c r="M451" s="63" t="n">
        <f aca="false">IFERROR(MATCH(446,'Line Detail'!$W$6:$W$505,0),0)</f>
        <v>0</v>
      </c>
    </row>
    <row r="452" customFormat="false" ht="15" hidden="false" customHeight="false" outlineLevel="0" collapsed="false">
      <c r="A452" s="13" t="str">
        <f aca="false">IF($M452=0,"",447)</f>
        <v/>
      </c>
      <c r="B452" s="13" t="str">
        <f aca="false">IF($M452=0,"",IF(INDEX('Line Detail'!$B$6:$B$505,$M452)="","",INDEX('Line Detail'!$B$6:$B$505,$M452)))</f>
        <v/>
      </c>
      <c r="C452" s="13" t="str">
        <f aca="false">IF($M452=0,"",IF(INDEX('Line Detail'!$C$6:$C$505,$M452)="","",INDEX('Line Detail'!$C$6:$C$505,$M452)))</f>
        <v/>
      </c>
      <c r="D452" s="13" t="str">
        <f aca="false">IF($M452=0,"",IF(INDEX('Line Detail'!$D$6:$D$505,$M452)="","",INDEX('Line Detail'!$D$6:$D$505,$M452)))</f>
        <v/>
      </c>
      <c r="E452" s="13" t="str">
        <f aca="false">IF($M452=0,"",IF(INDEX('Line Detail'!$E$6:$E$505,$M452)="","",INDEX('Line Detail'!$E$6:$E$505,$M452)))</f>
        <v/>
      </c>
      <c r="F452" s="6" t="str">
        <f aca="false">IF($M452=0,"",IF(INDEX('Line Detail'!$F$6:$F$505,$M452)="","",INDEX('Line Detail'!$F$6:$F$505,$M452)))</f>
        <v/>
      </c>
      <c r="G452" s="62" t="str">
        <f aca="false">IF($M452=0,"",IF(INDEX('Line Detail'!$G$6:$G$505,$M452)="","",INDEX('Line Detail'!$G$6:$G$505,$M452)))</f>
        <v/>
      </c>
      <c r="H452" s="13" t="str">
        <f aca="false">IF($M452=0,"",IF(INDEX('Line Detail'!$H$6:$H$505,$M452)="","",INDEX('Line Detail'!$H$6:$H$505,$M452)))</f>
        <v/>
      </c>
      <c r="I452" s="34" t="str">
        <f aca="false">IF($M452=0,"",IF(INDEX('Line Detail'!$O$6:$O$505,$M452)="","",INDEX('Line Detail'!$O$6:$O$505,$M452)))</f>
        <v/>
      </c>
      <c r="J452" s="34" t="str">
        <f aca="false">IF($M452=0,"",IF(INDEX('Line Detail'!$R$6:$R$505,$M452)="","",INDEX('Line Detail'!$R$6:$R$505,$M452)))</f>
        <v/>
      </c>
      <c r="K452" s="6" t="str">
        <f aca="false">IF($M452=0,"",IF(INDEX('Line Detail'!$S$6:$S$505,$M452)="","",INDEX('Line Detail'!$S$6:$S$505,$M452)))</f>
        <v/>
      </c>
      <c r="L452" s="1"/>
      <c r="M452" s="63" t="n">
        <f aca="false">IFERROR(MATCH(447,'Line Detail'!$W$6:$W$505,0),0)</f>
        <v>0</v>
      </c>
    </row>
    <row r="453" customFormat="false" ht="15" hidden="false" customHeight="false" outlineLevel="0" collapsed="false">
      <c r="A453" s="13" t="str">
        <f aca="false">IF($M453=0,"",448)</f>
        <v/>
      </c>
      <c r="B453" s="13" t="str">
        <f aca="false">IF($M453=0,"",IF(INDEX('Line Detail'!$B$6:$B$505,$M453)="","",INDEX('Line Detail'!$B$6:$B$505,$M453)))</f>
        <v/>
      </c>
      <c r="C453" s="13" t="str">
        <f aca="false">IF($M453=0,"",IF(INDEX('Line Detail'!$C$6:$C$505,$M453)="","",INDEX('Line Detail'!$C$6:$C$505,$M453)))</f>
        <v/>
      </c>
      <c r="D453" s="13" t="str">
        <f aca="false">IF($M453=0,"",IF(INDEX('Line Detail'!$D$6:$D$505,$M453)="","",INDEX('Line Detail'!$D$6:$D$505,$M453)))</f>
        <v/>
      </c>
      <c r="E453" s="13" t="str">
        <f aca="false">IF($M453=0,"",IF(INDEX('Line Detail'!$E$6:$E$505,$M453)="","",INDEX('Line Detail'!$E$6:$E$505,$M453)))</f>
        <v/>
      </c>
      <c r="F453" s="6" t="str">
        <f aca="false">IF($M453=0,"",IF(INDEX('Line Detail'!$F$6:$F$505,$M453)="","",INDEX('Line Detail'!$F$6:$F$505,$M453)))</f>
        <v/>
      </c>
      <c r="G453" s="62" t="str">
        <f aca="false">IF($M453=0,"",IF(INDEX('Line Detail'!$G$6:$G$505,$M453)="","",INDEX('Line Detail'!$G$6:$G$505,$M453)))</f>
        <v/>
      </c>
      <c r="H453" s="13" t="str">
        <f aca="false">IF($M453=0,"",IF(INDEX('Line Detail'!$H$6:$H$505,$M453)="","",INDEX('Line Detail'!$H$6:$H$505,$M453)))</f>
        <v/>
      </c>
      <c r="I453" s="34" t="str">
        <f aca="false">IF($M453=0,"",IF(INDEX('Line Detail'!$O$6:$O$505,$M453)="","",INDEX('Line Detail'!$O$6:$O$505,$M453)))</f>
        <v/>
      </c>
      <c r="J453" s="34" t="str">
        <f aca="false">IF($M453=0,"",IF(INDEX('Line Detail'!$R$6:$R$505,$M453)="","",INDEX('Line Detail'!$R$6:$R$505,$M453)))</f>
        <v/>
      </c>
      <c r="K453" s="6" t="str">
        <f aca="false">IF($M453=0,"",IF(INDEX('Line Detail'!$S$6:$S$505,$M453)="","",INDEX('Line Detail'!$S$6:$S$505,$M453)))</f>
        <v/>
      </c>
      <c r="L453" s="1"/>
      <c r="M453" s="63" t="n">
        <f aca="false">IFERROR(MATCH(448,'Line Detail'!$W$6:$W$505,0),0)</f>
        <v>0</v>
      </c>
    </row>
    <row r="454" customFormat="false" ht="15" hidden="false" customHeight="false" outlineLevel="0" collapsed="false">
      <c r="A454" s="13" t="str">
        <f aca="false">IF($M454=0,"",449)</f>
        <v/>
      </c>
      <c r="B454" s="13" t="str">
        <f aca="false">IF($M454=0,"",IF(INDEX('Line Detail'!$B$6:$B$505,$M454)="","",INDEX('Line Detail'!$B$6:$B$505,$M454)))</f>
        <v/>
      </c>
      <c r="C454" s="13" t="str">
        <f aca="false">IF($M454=0,"",IF(INDEX('Line Detail'!$C$6:$C$505,$M454)="","",INDEX('Line Detail'!$C$6:$C$505,$M454)))</f>
        <v/>
      </c>
      <c r="D454" s="13" t="str">
        <f aca="false">IF($M454=0,"",IF(INDEX('Line Detail'!$D$6:$D$505,$M454)="","",INDEX('Line Detail'!$D$6:$D$505,$M454)))</f>
        <v/>
      </c>
      <c r="E454" s="13" t="str">
        <f aca="false">IF($M454=0,"",IF(INDEX('Line Detail'!$E$6:$E$505,$M454)="","",INDEX('Line Detail'!$E$6:$E$505,$M454)))</f>
        <v/>
      </c>
      <c r="F454" s="6" t="str">
        <f aca="false">IF($M454=0,"",IF(INDEX('Line Detail'!$F$6:$F$505,$M454)="","",INDEX('Line Detail'!$F$6:$F$505,$M454)))</f>
        <v/>
      </c>
      <c r="G454" s="62" t="str">
        <f aca="false">IF($M454=0,"",IF(INDEX('Line Detail'!$G$6:$G$505,$M454)="","",INDEX('Line Detail'!$G$6:$G$505,$M454)))</f>
        <v/>
      </c>
      <c r="H454" s="13" t="str">
        <f aca="false">IF($M454=0,"",IF(INDEX('Line Detail'!$H$6:$H$505,$M454)="","",INDEX('Line Detail'!$H$6:$H$505,$M454)))</f>
        <v/>
      </c>
      <c r="I454" s="34" t="str">
        <f aca="false">IF($M454=0,"",IF(INDEX('Line Detail'!$O$6:$O$505,$M454)="","",INDEX('Line Detail'!$O$6:$O$505,$M454)))</f>
        <v/>
      </c>
      <c r="J454" s="34" t="str">
        <f aca="false">IF($M454=0,"",IF(INDEX('Line Detail'!$R$6:$R$505,$M454)="","",INDEX('Line Detail'!$R$6:$R$505,$M454)))</f>
        <v/>
      </c>
      <c r="K454" s="6" t="str">
        <f aca="false">IF($M454=0,"",IF(INDEX('Line Detail'!$S$6:$S$505,$M454)="","",INDEX('Line Detail'!$S$6:$S$505,$M454)))</f>
        <v/>
      </c>
      <c r="L454" s="1"/>
      <c r="M454" s="63" t="n">
        <f aca="false">IFERROR(MATCH(449,'Line Detail'!$W$6:$W$505,0),0)</f>
        <v>0</v>
      </c>
    </row>
    <row r="455" customFormat="false" ht="15" hidden="false" customHeight="false" outlineLevel="0" collapsed="false">
      <c r="A455" s="13" t="str">
        <f aca="false">IF($M455=0,"",450)</f>
        <v/>
      </c>
      <c r="B455" s="13" t="str">
        <f aca="false">IF($M455=0,"",IF(INDEX('Line Detail'!$B$6:$B$505,$M455)="","",INDEX('Line Detail'!$B$6:$B$505,$M455)))</f>
        <v/>
      </c>
      <c r="C455" s="13" t="str">
        <f aca="false">IF($M455=0,"",IF(INDEX('Line Detail'!$C$6:$C$505,$M455)="","",INDEX('Line Detail'!$C$6:$C$505,$M455)))</f>
        <v/>
      </c>
      <c r="D455" s="13" t="str">
        <f aca="false">IF($M455=0,"",IF(INDEX('Line Detail'!$D$6:$D$505,$M455)="","",INDEX('Line Detail'!$D$6:$D$505,$M455)))</f>
        <v/>
      </c>
      <c r="E455" s="13" t="str">
        <f aca="false">IF($M455=0,"",IF(INDEX('Line Detail'!$E$6:$E$505,$M455)="","",INDEX('Line Detail'!$E$6:$E$505,$M455)))</f>
        <v/>
      </c>
      <c r="F455" s="6" t="str">
        <f aca="false">IF($M455=0,"",IF(INDEX('Line Detail'!$F$6:$F$505,$M455)="","",INDEX('Line Detail'!$F$6:$F$505,$M455)))</f>
        <v/>
      </c>
      <c r="G455" s="62" t="str">
        <f aca="false">IF($M455=0,"",IF(INDEX('Line Detail'!$G$6:$G$505,$M455)="","",INDEX('Line Detail'!$G$6:$G$505,$M455)))</f>
        <v/>
      </c>
      <c r="H455" s="13" t="str">
        <f aca="false">IF($M455=0,"",IF(INDEX('Line Detail'!$H$6:$H$505,$M455)="","",INDEX('Line Detail'!$H$6:$H$505,$M455)))</f>
        <v/>
      </c>
      <c r="I455" s="34" t="str">
        <f aca="false">IF($M455=0,"",IF(INDEX('Line Detail'!$O$6:$O$505,$M455)="","",INDEX('Line Detail'!$O$6:$O$505,$M455)))</f>
        <v/>
      </c>
      <c r="J455" s="34" t="str">
        <f aca="false">IF($M455=0,"",IF(INDEX('Line Detail'!$R$6:$R$505,$M455)="","",INDEX('Line Detail'!$R$6:$R$505,$M455)))</f>
        <v/>
      </c>
      <c r="K455" s="6" t="str">
        <f aca="false">IF($M455=0,"",IF(INDEX('Line Detail'!$S$6:$S$505,$M455)="","",INDEX('Line Detail'!$S$6:$S$505,$M455)))</f>
        <v/>
      </c>
      <c r="L455" s="1"/>
      <c r="M455" s="63" t="n">
        <f aca="false">IFERROR(MATCH(450,'Line Detail'!$W$6:$W$505,0),0)</f>
        <v>0</v>
      </c>
    </row>
    <row r="456" customFormat="false" ht="15" hidden="false" customHeight="false" outlineLevel="0" collapsed="false">
      <c r="A456" s="13" t="str">
        <f aca="false">IF($M456=0,"",451)</f>
        <v/>
      </c>
      <c r="B456" s="13" t="str">
        <f aca="false">IF($M456=0,"",IF(INDEX('Line Detail'!$B$6:$B$505,$M456)="","",INDEX('Line Detail'!$B$6:$B$505,$M456)))</f>
        <v/>
      </c>
      <c r="C456" s="13" t="str">
        <f aca="false">IF($M456=0,"",IF(INDEX('Line Detail'!$C$6:$C$505,$M456)="","",INDEX('Line Detail'!$C$6:$C$505,$M456)))</f>
        <v/>
      </c>
      <c r="D456" s="13" t="str">
        <f aca="false">IF($M456=0,"",IF(INDEX('Line Detail'!$D$6:$D$505,$M456)="","",INDEX('Line Detail'!$D$6:$D$505,$M456)))</f>
        <v/>
      </c>
      <c r="E456" s="13" t="str">
        <f aca="false">IF($M456=0,"",IF(INDEX('Line Detail'!$E$6:$E$505,$M456)="","",INDEX('Line Detail'!$E$6:$E$505,$M456)))</f>
        <v/>
      </c>
      <c r="F456" s="6" t="str">
        <f aca="false">IF($M456=0,"",IF(INDEX('Line Detail'!$F$6:$F$505,$M456)="","",INDEX('Line Detail'!$F$6:$F$505,$M456)))</f>
        <v/>
      </c>
      <c r="G456" s="62" t="str">
        <f aca="false">IF($M456=0,"",IF(INDEX('Line Detail'!$G$6:$G$505,$M456)="","",INDEX('Line Detail'!$G$6:$G$505,$M456)))</f>
        <v/>
      </c>
      <c r="H456" s="13" t="str">
        <f aca="false">IF($M456=0,"",IF(INDEX('Line Detail'!$H$6:$H$505,$M456)="","",INDEX('Line Detail'!$H$6:$H$505,$M456)))</f>
        <v/>
      </c>
      <c r="I456" s="34" t="str">
        <f aca="false">IF($M456=0,"",IF(INDEX('Line Detail'!$O$6:$O$505,$M456)="","",INDEX('Line Detail'!$O$6:$O$505,$M456)))</f>
        <v/>
      </c>
      <c r="J456" s="34" t="str">
        <f aca="false">IF($M456=0,"",IF(INDEX('Line Detail'!$R$6:$R$505,$M456)="","",INDEX('Line Detail'!$R$6:$R$505,$M456)))</f>
        <v/>
      </c>
      <c r="K456" s="6" t="str">
        <f aca="false">IF($M456=0,"",IF(INDEX('Line Detail'!$S$6:$S$505,$M456)="","",INDEX('Line Detail'!$S$6:$S$505,$M456)))</f>
        <v/>
      </c>
      <c r="L456" s="1"/>
      <c r="M456" s="63" t="n">
        <f aca="false">IFERROR(MATCH(451,'Line Detail'!$W$6:$W$505,0),0)</f>
        <v>0</v>
      </c>
    </row>
    <row r="457" customFormat="false" ht="15" hidden="false" customHeight="false" outlineLevel="0" collapsed="false">
      <c r="A457" s="13" t="str">
        <f aca="false">IF($M457=0,"",452)</f>
        <v/>
      </c>
      <c r="B457" s="13" t="str">
        <f aca="false">IF($M457=0,"",IF(INDEX('Line Detail'!$B$6:$B$505,$M457)="","",INDEX('Line Detail'!$B$6:$B$505,$M457)))</f>
        <v/>
      </c>
      <c r="C457" s="13" t="str">
        <f aca="false">IF($M457=0,"",IF(INDEX('Line Detail'!$C$6:$C$505,$M457)="","",INDEX('Line Detail'!$C$6:$C$505,$M457)))</f>
        <v/>
      </c>
      <c r="D457" s="13" t="str">
        <f aca="false">IF($M457=0,"",IF(INDEX('Line Detail'!$D$6:$D$505,$M457)="","",INDEX('Line Detail'!$D$6:$D$505,$M457)))</f>
        <v/>
      </c>
      <c r="E457" s="13" t="str">
        <f aca="false">IF($M457=0,"",IF(INDEX('Line Detail'!$E$6:$E$505,$M457)="","",INDEX('Line Detail'!$E$6:$E$505,$M457)))</f>
        <v/>
      </c>
      <c r="F457" s="6" t="str">
        <f aca="false">IF($M457=0,"",IF(INDEX('Line Detail'!$F$6:$F$505,$M457)="","",INDEX('Line Detail'!$F$6:$F$505,$M457)))</f>
        <v/>
      </c>
      <c r="G457" s="62" t="str">
        <f aca="false">IF($M457=0,"",IF(INDEX('Line Detail'!$G$6:$G$505,$M457)="","",INDEX('Line Detail'!$G$6:$G$505,$M457)))</f>
        <v/>
      </c>
      <c r="H457" s="13" t="str">
        <f aca="false">IF($M457=0,"",IF(INDEX('Line Detail'!$H$6:$H$505,$M457)="","",INDEX('Line Detail'!$H$6:$H$505,$M457)))</f>
        <v/>
      </c>
      <c r="I457" s="34" t="str">
        <f aca="false">IF($M457=0,"",IF(INDEX('Line Detail'!$O$6:$O$505,$M457)="","",INDEX('Line Detail'!$O$6:$O$505,$M457)))</f>
        <v/>
      </c>
      <c r="J457" s="34" t="str">
        <f aca="false">IF($M457=0,"",IF(INDEX('Line Detail'!$R$6:$R$505,$M457)="","",INDEX('Line Detail'!$R$6:$R$505,$M457)))</f>
        <v/>
      </c>
      <c r="K457" s="6" t="str">
        <f aca="false">IF($M457=0,"",IF(INDEX('Line Detail'!$S$6:$S$505,$M457)="","",INDEX('Line Detail'!$S$6:$S$505,$M457)))</f>
        <v/>
      </c>
      <c r="L457" s="1"/>
      <c r="M457" s="63" t="n">
        <f aca="false">IFERROR(MATCH(452,'Line Detail'!$W$6:$W$505,0),0)</f>
        <v>0</v>
      </c>
    </row>
    <row r="458" customFormat="false" ht="15" hidden="false" customHeight="false" outlineLevel="0" collapsed="false">
      <c r="A458" s="13" t="str">
        <f aca="false">IF($M458=0,"",453)</f>
        <v/>
      </c>
      <c r="B458" s="13" t="str">
        <f aca="false">IF($M458=0,"",IF(INDEX('Line Detail'!$B$6:$B$505,$M458)="","",INDEX('Line Detail'!$B$6:$B$505,$M458)))</f>
        <v/>
      </c>
      <c r="C458" s="13" t="str">
        <f aca="false">IF($M458=0,"",IF(INDEX('Line Detail'!$C$6:$C$505,$M458)="","",INDEX('Line Detail'!$C$6:$C$505,$M458)))</f>
        <v/>
      </c>
      <c r="D458" s="13" t="str">
        <f aca="false">IF($M458=0,"",IF(INDEX('Line Detail'!$D$6:$D$505,$M458)="","",INDEX('Line Detail'!$D$6:$D$505,$M458)))</f>
        <v/>
      </c>
      <c r="E458" s="13" t="str">
        <f aca="false">IF($M458=0,"",IF(INDEX('Line Detail'!$E$6:$E$505,$M458)="","",INDEX('Line Detail'!$E$6:$E$505,$M458)))</f>
        <v/>
      </c>
      <c r="F458" s="6" t="str">
        <f aca="false">IF($M458=0,"",IF(INDEX('Line Detail'!$F$6:$F$505,$M458)="","",INDEX('Line Detail'!$F$6:$F$505,$M458)))</f>
        <v/>
      </c>
      <c r="G458" s="62" t="str">
        <f aca="false">IF($M458=0,"",IF(INDEX('Line Detail'!$G$6:$G$505,$M458)="","",INDEX('Line Detail'!$G$6:$G$505,$M458)))</f>
        <v/>
      </c>
      <c r="H458" s="13" t="str">
        <f aca="false">IF($M458=0,"",IF(INDEX('Line Detail'!$H$6:$H$505,$M458)="","",INDEX('Line Detail'!$H$6:$H$505,$M458)))</f>
        <v/>
      </c>
      <c r="I458" s="34" t="str">
        <f aca="false">IF($M458=0,"",IF(INDEX('Line Detail'!$O$6:$O$505,$M458)="","",INDEX('Line Detail'!$O$6:$O$505,$M458)))</f>
        <v/>
      </c>
      <c r="J458" s="34" t="str">
        <f aca="false">IF($M458=0,"",IF(INDEX('Line Detail'!$R$6:$R$505,$M458)="","",INDEX('Line Detail'!$R$6:$R$505,$M458)))</f>
        <v/>
      </c>
      <c r="K458" s="6" t="str">
        <f aca="false">IF($M458=0,"",IF(INDEX('Line Detail'!$S$6:$S$505,$M458)="","",INDEX('Line Detail'!$S$6:$S$505,$M458)))</f>
        <v/>
      </c>
      <c r="L458" s="1"/>
      <c r="M458" s="63" t="n">
        <f aca="false">IFERROR(MATCH(453,'Line Detail'!$W$6:$W$505,0),0)</f>
        <v>0</v>
      </c>
    </row>
    <row r="459" customFormat="false" ht="15" hidden="false" customHeight="false" outlineLevel="0" collapsed="false">
      <c r="A459" s="13" t="str">
        <f aca="false">IF($M459=0,"",454)</f>
        <v/>
      </c>
      <c r="B459" s="13" t="str">
        <f aca="false">IF($M459=0,"",IF(INDEX('Line Detail'!$B$6:$B$505,$M459)="","",INDEX('Line Detail'!$B$6:$B$505,$M459)))</f>
        <v/>
      </c>
      <c r="C459" s="13" t="str">
        <f aca="false">IF($M459=0,"",IF(INDEX('Line Detail'!$C$6:$C$505,$M459)="","",INDEX('Line Detail'!$C$6:$C$505,$M459)))</f>
        <v/>
      </c>
      <c r="D459" s="13" t="str">
        <f aca="false">IF($M459=0,"",IF(INDEX('Line Detail'!$D$6:$D$505,$M459)="","",INDEX('Line Detail'!$D$6:$D$505,$M459)))</f>
        <v/>
      </c>
      <c r="E459" s="13" t="str">
        <f aca="false">IF($M459=0,"",IF(INDEX('Line Detail'!$E$6:$E$505,$M459)="","",INDEX('Line Detail'!$E$6:$E$505,$M459)))</f>
        <v/>
      </c>
      <c r="F459" s="6" t="str">
        <f aca="false">IF($M459=0,"",IF(INDEX('Line Detail'!$F$6:$F$505,$M459)="","",INDEX('Line Detail'!$F$6:$F$505,$M459)))</f>
        <v/>
      </c>
      <c r="G459" s="62" t="str">
        <f aca="false">IF($M459=0,"",IF(INDEX('Line Detail'!$G$6:$G$505,$M459)="","",INDEX('Line Detail'!$G$6:$G$505,$M459)))</f>
        <v/>
      </c>
      <c r="H459" s="13" t="str">
        <f aca="false">IF($M459=0,"",IF(INDEX('Line Detail'!$H$6:$H$505,$M459)="","",INDEX('Line Detail'!$H$6:$H$505,$M459)))</f>
        <v/>
      </c>
      <c r="I459" s="34" t="str">
        <f aca="false">IF($M459=0,"",IF(INDEX('Line Detail'!$O$6:$O$505,$M459)="","",INDEX('Line Detail'!$O$6:$O$505,$M459)))</f>
        <v/>
      </c>
      <c r="J459" s="34" t="str">
        <f aca="false">IF($M459=0,"",IF(INDEX('Line Detail'!$R$6:$R$505,$M459)="","",INDEX('Line Detail'!$R$6:$R$505,$M459)))</f>
        <v/>
      </c>
      <c r="K459" s="6" t="str">
        <f aca="false">IF($M459=0,"",IF(INDEX('Line Detail'!$S$6:$S$505,$M459)="","",INDEX('Line Detail'!$S$6:$S$505,$M459)))</f>
        <v/>
      </c>
      <c r="L459" s="1"/>
      <c r="M459" s="63" t="n">
        <f aca="false">IFERROR(MATCH(454,'Line Detail'!$W$6:$W$505,0),0)</f>
        <v>0</v>
      </c>
    </row>
    <row r="460" customFormat="false" ht="15" hidden="false" customHeight="false" outlineLevel="0" collapsed="false">
      <c r="A460" s="13" t="str">
        <f aca="false">IF($M460=0,"",455)</f>
        <v/>
      </c>
      <c r="B460" s="13" t="str">
        <f aca="false">IF($M460=0,"",IF(INDEX('Line Detail'!$B$6:$B$505,$M460)="","",INDEX('Line Detail'!$B$6:$B$505,$M460)))</f>
        <v/>
      </c>
      <c r="C460" s="13" t="str">
        <f aca="false">IF($M460=0,"",IF(INDEX('Line Detail'!$C$6:$C$505,$M460)="","",INDEX('Line Detail'!$C$6:$C$505,$M460)))</f>
        <v/>
      </c>
      <c r="D460" s="13" t="str">
        <f aca="false">IF($M460=0,"",IF(INDEX('Line Detail'!$D$6:$D$505,$M460)="","",INDEX('Line Detail'!$D$6:$D$505,$M460)))</f>
        <v/>
      </c>
      <c r="E460" s="13" t="str">
        <f aca="false">IF($M460=0,"",IF(INDEX('Line Detail'!$E$6:$E$505,$M460)="","",INDEX('Line Detail'!$E$6:$E$505,$M460)))</f>
        <v/>
      </c>
      <c r="F460" s="6" t="str">
        <f aca="false">IF($M460=0,"",IF(INDEX('Line Detail'!$F$6:$F$505,$M460)="","",INDEX('Line Detail'!$F$6:$F$505,$M460)))</f>
        <v/>
      </c>
      <c r="G460" s="62" t="str">
        <f aca="false">IF($M460=0,"",IF(INDEX('Line Detail'!$G$6:$G$505,$M460)="","",INDEX('Line Detail'!$G$6:$G$505,$M460)))</f>
        <v/>
      </c>
      <c r="H460" s="13" t="str">
        <f aca="false">IF($M460=0,"",IF(INDEX('Line Detail'!$H$6:$H$505,$M460)="","",INDEX('Line Detail'!$H$6:$H$505,$M460)))</f>
        <v/>
      </c>
      <c r="I460" s="34" t="str">
        <f aca="false">IF($M460=0,"",IF(INDEX('Line Detail'!$O$6:$O$505,$M460)="","",INDEX('Line Detail'!$O$6:$O$505,$M460)))</f>
        <v/>
      </c>
      <c r="J460" s="34" t="str">
        <f aca="false">IF($M460=0,"",IF(INDEX('Line Detail'!$R$6:$R$505,$M460)="","",INDEX('Line Detail'!$R$6:$R$505,$M460)))</f>
        <v/>
      </c>
      <c r="K460" s="6" t="str">
        <f aca="false">IF($M460=0,"",IF(INDEX('Line Detail'!$S$6:$S$505,$M460)="","",INDEX('Line Detail'!$S$6:$S$505,$M460)))</f>
        <v/>
      </c>
      <c r="L460" s="1"/>
      <c r="M460" s="63" t="n">
        <f aca="false">IFERROR(MATCH(455,'Line Detail'!$W$6:$W$505,0),0)</f>
        <v>0</v>
      </c>
    </row>
    <row r="461" customFormat="false" ht="15" hidden="false" customHeight="false" outlineLevel="0" collapsed="false">
      <c r="A461" s="13" t="str">
        <f aca="false">IF($M461=0,"",456)</f>
        <v/>
      </c>
      <c r="B461" s="13" t="str">
        <f aca="false">IF($M461=0,"",IF(INDEX('Line Detail'!$B$6:$B$505,$M461)="","",INDEX('Line Detail'!$B$6:$B$505,$M461)))</f>
        <v/>
      </c>
      <c r="C461" s="13" t="str">
        <f aca="false">IF($M461=0,"",IF(INDEX('Line Detail'!$C$6:$C$505,$M461)="","",INDEX('Line Detail'!$C$6:$C$505,$M461)))</f>
        <v/>
      </c>
      <c r="D461" s="13" t="str">
        <f aca="false">IF($M461=0,"",IF(INDEX('Line Detail'!$D$6:$D$505,$M461)="","",INDEX('Line Detail'!$D$6:$D$505,$M461)))</f>
        <v/>
      </c>
      <c r="E461" s="13" t="str">
        <f aca="false">IF($M461=0,"",IF(INDEX('Line Detail'!$E$6:$E$505,$M461)="","",INDEX('Line Detail'!$E$6:$E$505,$M461)))</f>
        <v/>
      </c>
      <c r="F461" s="6" t="str">
        <f aca="false">IF($M461=0,"",IF(INDEX('Line Detail'!$F$6:$F$505,$M461)="","",INDEX('Line Detail'!$F$6:$F$505,$M461)))</f>
        <v/>
      </c>
      <c r="G461" s="62" t="str">
        <f aca="false">IF($M461=0,"",IF(INDEX('Line Detail'!$G$6:$G$505,$M461)="","",INDEX('Line Detail'!$G$6:$G$505,$M461)))</f>
        <v/>
      </c>
      <c r="H461" s="13" t="str">
        <f aca="false">IF($M461=0,"",IF(INDEX('Line Detail'!$H$6:$H$505,$M461)="","",INDEX('Line Detail'!$H$6:$H$505,$M461)))</f>
        <v/>
      </c>
      <c r="I461" s="34" t="str">
        <f aca="false">IF($M461=0,"",IF(INDEX('Line Detail'!$O$6:$O$505,$M461)="","",INDEX('Line Detail'!$O$6:$O$505,$M461)))</f>
        <v/>
      </c>
      <c r="J461" s="34" t="str">
        <f aca="false">IF($M461=0,"",IF(INDEX('Line Detail'!$R$6:$R$505,$M461)="","",INDEX('Line Detail'!$R$6:$R$505,$M461)))</f>
        <v/>
      </c>
      <c r="K461" s="6" t="str">
        <f aca="false">IF($M461=0,"",IF(INDEX('Line Detail'!$S$6:$S$505,$M461)="","",INDEX('Line Detail'!$S$6:$S$505,$M461)))</f>
        <v/>
      </c>
      <c r="L461" s="1"/>
      <c r="M461" s="63" t="n">
        <f aca="false">IFERROR(MATCH(456,'Line Detail'!$W$6:$W$505,0),0)</f>
        <v>0</v>
      </c>
    </row>
    <row r="462" customFormat="false" ht="15" hidden="false" customHeight="false" outlineLevel="0" collapsed="false">
      <c r="A462" s="13" t="str">
        <f aca="false">IF($M462=0,"",457)</f>
        <v/>
      </c>
      <c r="B462" s="13" t="str">
        <f aca="false">IF($M462=0,"",IF(INDEX('Line Detail'!$B$6:$B$505,$M462)="","",INDEX('Line Detail'!$B$6:$B$505,$M462)))</f>
        <v/>
      </c>
      <c r="C462" s="13" t="str">
        <f aca="false">IF($M462=0,"",IF(INDEX('Line Detail'!$C$6:$C$505,$M462)="","",INDEX('Line Detail'!$C$6:$C$505,$M462)))</f>
        <v/>
      </c>
      <c r="D462" s="13" t="str">
        <f aca="false">IF($M462=0,"",IF(INDEX('Line Detail'!$D$6:$D$505,$M462)="","",INDEX('Line Detail'!$D$6:$D$505,$M462)))</f>
        <v/>
      </c>
      <c r="E462" s="13" t="str">
        <f aca="false">IF($M462=0,"",IF(INDEX('Line Detail'!$E$6:$E$505,$M462)="","",INDEX('Line Detail'!$E$6:$E$505,$M462)))</f>
        <v/>
      </c>
      <c r="F462" s="6" t="str">
        <f aca="false">IF($M462=0,"",IF(INDEX('Line Detail'!$F$6:$F$505,$M462)="","",INDEX('Line Detail'!$F$6:$F$505,$M462)))</f>
        <v/>
      </c>
      <c r="G462" s="62" t="str">
        <f aca="false">IF($M462=0,"",IF(INDEX('Line Detail'!$G$6:$G$505,$M462)="","",INDEX('Line Detail'!$G$6:$G$505,$M462)))</f>
        <v/>
      </c>
      <c r="H462" s="13" t="str">
        <f aca="false">IF($M462=0,"",IF(INDEX('Line Detail'!$H$6:$H$505,$M462)="","",INDEX('Line Detail'!$H$6:$H$505,$M462)))</f>
        <v/>
      </c>
      <c r="I462" s="34" t="str">
        <f aca="false">IF($M462=0,"",IF(INDEX('Line Detail'!$O$6:$O$505,$M462)="","",INDEX('Line Detail'!$O$6:$O$505,$M462)))</f>
        <v/>
      </c>
      <c r="J462" s="34" t="str">
        <f aca="false">IF($M462=0,"",IF(INDEX('Line Detail'!$R$6:$R$505,$M462)="","",INDEX('Line Detail'!$R$6:$R$505,$M462)))</f>
        <v/>
      </c>
      <c r="K462" s="6" t="str">
        <f aca="false">IF($M462=0,"",IF(INDEX('Line Detail'!$S$6:$S$505,$M462)="","",INDEX('Line Detail'!$S$6:$S$505,$M462)))</f>
        <v/>
      </c>
      <c r="L462" s="1"/>
      <c r="M462" s="63" t="n">
        <f aca="false">IFERROR(MATCH(457,'Line Detail'!$W$6:$W$505,0),0)</f>
        <v>0</v>
      </c>
    </row>
    <row r="463" customFormat="false" ht="15" hidden="false" customHeight="false" outlineLevel="0" collapsed="false">
      <c r="A463" s="13" t="str">
        <f aca="false">IF($M463=0,"",458)</f>
        <v/>
      </c>
      <c r="B463" s="13" t="str">
        <f aca="false">IF($M463=0,"",IF(INDEX('Line Detail'!$B$6:$B$505,$M463)="","",INDEX('Line Detail'!$B$6:$B$505,$M463)))</f>
        <v/>
      </c>
      <c r="C463" s="13" t="str">
        <f aca="false">IF($M463=0,"",IF(INDEX('Line Detail'!$C$6:$C$505,$M463)="","",INDEX('Line Detail'!$C$6:$C$505,$M463)))</f>
        <v/>
      </c>
      <c r="D463" s="13" t="str">
        <f aca="false">IF($M463=0,"",IF(INDEX('Line Detail'!$D$6:$D$505,$M463)="","",INDEX('Line Detail'!$D$6:$D$505,$M463)))</f>
        <v/>
      </c>
      <c r="E463" s="13" t="str">
        <f aca="false">IF($M463=0,"",IF(INDEX('Line Detail'!$E$6:$E$505,$M463)="","",INDEX('Line Detail'!$E$6:$E$505,$M463)))</f>
        <v/>
      </c>
      <c r="F463" s="6" t="str">
        <f aca="false">IF($M463=0,"",IF(INDEX('Line Detail'!$F$6:$F$505,$M463)="","",INDEX('Line Detail'!$F$6:$F$505,$M463)))</f>
        <v/>
      </c>
      <c r="G463" s="62" t="str">
        <f aca="false">IF($M463=0,"",IF(INDEX('Line Detail'!$G$6:$G$505,$M463)="","",INDEX('Line Detail'!$G$6:$G$505,$M463)))</f>
        <v/>
      </c>
      <c r="H463" s="13" t="str">
        <f aca="false">IF($M463=0,"",IF(INDEX('Line Detail'!$H$6:$H$505,$M463)="","",INDEX('Line Detail'!$H$6:$H$505,$M463)))</f>
        <v/>
      </c>
      <c r="I463" s="34" t="str">
        <f aca="false">IF($M463=0,"",IF(INDEX('Line Detail'!$O$6:$O$505,$M463)="","",INDEX('Line Detail'!$O$6:$O$505,$M463)))</f>
        <v/>
      </c>
      <c r="J463" s="34" t="str">
        <f aca="false">IF($M463=0,"",IF(INDEX('Line Detail'!$R$6:$R$505,$M463)="","",INDEX('Line Detail'!$R$6:$R$505,$M463)))</f>
        <v/>
      </c>
      <c r="K463" s="6" t="str">
        <f aca="false">IF($M463=0,"",IF(INDEX('Line Detail'!$S$6:$S$505,$M463)="","",INDEX('Line Detail'!$S$6:$S$505,$M463)))</f>
        <v/>
      </c>
      <c r="L463" s="1"/>
      <c r="M463" s="63" t="n">
        <f aca="false">IFERROR(MATCH(458,'Line Detail'!$W$6:$W$505,0),0)</f>
        <v>0</v>
      </c>
    </row>
    <row r="464" customFormat="false" ht="15" hidden="false" customHeight="false" outlineLevel="0" collapsed="false">
      <c r="A464" s="13" t="str">
        <f aca="false">IF($M464=0,"",459)</f>
        <v/>
      </c>
      <c r="B464" s="13" t="str">
        <f aca="false">IF($M464=0,"",IF(INDEX('Line Detail'!$B$6:$B$505,$M464)="","",INDEX('Line Detail'!$B$6:$B$505,$M464)))</f>
        <v/>
      </c>
      <c r="C464" s="13" t="str">
        <f aca="false">IF($M464=0,"",IF(INDEX('Line Detail'!$C$6:$C$505,$M464)="","",INDEX('Line Detail'!$C$6:$C$505,$M464)))</f>
        <v/>
      </c>
      <c r="D464" s="13" t="str">
        <f aca="false">IF($M464=0,"",IF(INDEX('Line Detail'!$D$6:$D$505,$M464)="","",INDEX('Line Detail'!$D$6:$D$505,$M464)))</f>
        <v/>
      </c>
      <c r="E464" s="13" t="str">
        <f aca="false">IF($M464=0,"",IF(INDEX('Line Detail'!$E$6:$E$505,$M464)="","",INDEX('Line Detail'!$E$6:$E$505,$M464)))</f>
        <v/>
      </c>
      <c r="F464" s="6" t="str">
        <f aca="false">IF($M464=0,"",IF(INDEX('Line Detail'!$F$6:$F$505,$M464)="","",INDEX('Line Detail'!$F$6:$F$505,$M464)))</f>
        <v/>
      </c>
      <c r="G464" s="62" t="str">
        <f aca="false">IF($M464=0,"",IF(INDEX('Line Detail'!$G$6:$G$505,$M464)="","",INDEX('Line Detail'!$G$6:$G$505,$M464)))</f>
        <v/>
      </c>
      <c r="H464" s="13" t="str">
        <f aca="false">IF($M464=0,"",IF(INDEX('Line Detail'!$H$6:$H$505,$M464)="","",INDEX('Line Detail'!$H$6:$H$505,$M464)))</f>
        <v/>
      </c>
      <c r="I464" s="34" t="str">
        <f aca="false">IF($M464=0,"",IF(INDEX('Line Detail'!$O$6:$O$505,$M464)="","",INDEX('Line Detail'!$O$6:$O$505,$M464)))</f>
        <v/>
      </c>
      <c r="J464" s="34" t="str">
        <f aca="false">IF($M464=0,"",IF(INDEX('Line Detail'!$R$6:$R$505,$M464)="","",INDEX('Line Detail'!$R$6:$R$505,$M464)))</f>
        <v/>
      </c>
      <c r="K464" s="6" t="str">
        <f aca="false">IF($M464=0,"",IF(INDEX('Line Detail'!$S$6:$S$505,$M464)="","",INDEX('Line Detail'!$S$6:$S$505,$M464)))</f>
        <v/>
      </c>
      <c r="L464" s="1"/>
      <c r="M464" s="63" t="n">
        <f aca="false">IFERROR(MATCH(459,'Line Detail'!$W$6:$W$505,0),0)</f>
        <v>0</v>
      </c>
    </row>
    <row r="465" customFormat="false" ht="15" hidden="false" customHeight="false" outlineLevel="0" collapsed="false">
      <c r="A465" s="13" t="str">
        <f aca="false">IF($M465=0,"",460)</f>
        <v/>
      </c>
      <c r="B465" s="13" t="str">
        <f aca="false">IF($M465=0,"",IF(INDEX('Line Detail'!$B$6:$B$505,$M465)="","",INDEX('Line Detail'!$B$6:$B$505,$M465)))</f>
        <v/>
      </c>
      <c r="C465" s="13" t="str">
        <f aca="false">IF($M465=0,"",IF(INDEX('Line Detail'!$C$6:$C$505,$M465)="","",INDEX('Line Detail'!$C$6:$C$505,$M465)))</f>
        <v/>
      </c>
      <c r="D465" s="13" t="str">
        <f aca="false">IF($M465=0,"",IF(INDEX('Line Detail'!$D$6:$D$505,$M465)="","",INDEX('Line Detail'!$D$6:$D$505,$M465)))</f>
        <v/>
      </c>
      <c r="E465" s="13" t="str">
        <f aca="false">IF($M465=0,"",IF(INDEX('Line Detail'!$E$6:$E$505,$M465)="","",INDEX('Line Detail'!$E$6:$E$505,$M465)))</f>
        <v/>
      </c>
      <c r="F465" s="6" t="str">
        <f aca="false">IF($M465=0,"",IF(INDEX('Line Detail'!$F$6:$F$505,$M465)="","",INDEX('Line Detail'!$F$6:$F$505,$M465)))</f>
        <v/>
      </c>
      <c r="G465" s="62" t="str">
        <f aca="false">IF($M465=0,"",IF(INDEX('Line Detail'!$G$6:$G$505,$M465)="","",INDEX('Line Detail'!$G$6:$G$505,$M465)))</f>
        <v/>
      </c>
      <c r="H465" s="13" t="str">
        <f aca="false">IF($M465=0,"",IF(INDEX('Line Detail'!$H$6:$H$505,$M465)="","",INDEX('Line Detail'!$H$6:$H$505,$M465)))</f>
        <v/>
      </c>
      <c r="I465" s="34" t="str">
        <f aca="false">IF($M465=0,"",IF(INDEX('Line Detail'!$O$6:$O$505,$M465)="","",INDEX('Line Detail'!$O$6:$O$505,$M465)))</f>
        <v/>
      </c>
      <c r="J465" s="34" t="str">
        <f aca="false">IF($M465=0,"",IF(INDEX('Line Detail'!$R$6:$R$505,$M465)="","",INDEX('Line Detail'!$R$6:$R$505,$M465)))</f>
        <v/>
      </c>
      <c r="K465" s="6" t="str">
        <f aca="false">IF($M465=0,"",IF(INDEX('Line Detail'!$S$6:$S$505,$M465)="","",INDEX('Line Detail'!$S$6:$S$505,$M465)))</f>
        <v/>
      </c>
      <c r="L465" s="1"/>
      <c r="M465" s="63" t="n">
        <f aca="false">IFERROR(MATCH(460,'Line Detail'!$W$6:$W$505,0),0)</f>
        <v>0</v>
      </c>
    </row>
    <row r="466" customFormat="false" ht="15" hidden="false" customHeight="false" outlineLevel="0" collapsed="false">
      <c r="A466" s="13" t="str">
        <f aca="false">IF($M466=0,"",461)</f>
        <v/>
      </c>
      <c r="B466" s="13" t="str">
        <f aca="false">IF($M466=0,"",IF(INDEX('Line Detail'!$B$6:$B$505,$M466)="","",INDEX('Line Detail'!$B$6:$B$505,$M466)))</f>
        <v/>
      </c>
      <c r="C466" s="13" t="str">
        <f aca="false">IF($M466=0,"",IF(INDEX('Line Detail'!$C$6:$C$505,$M466)="","",INDEX('Line Detail'!$C$6:$C$505,$M466)))</f>
        <v/>
      </c>
      <c r="D466" s="13" t="str">
        <f aca="false">IF($M466=0,"",IF(INDEX('Line Detail'!$D$6:$D$505,$M466)="","",INDEX('Line Detail'!$D$6:$D$505,$M466)))</f>
        <v/>
      </c>
      <c r="E466" s="13" t="str">
        <f aca="false">IF($M466=0,"",IF(INDEX('Line Detail'!$E$6:$E$505,$M466)="","",INDEX('Line Detail'!$E$6:$E$505,$M466)))</f>
        <v/>
      </c>
      <c r="F466" s="6" t="str">
        <f aca="false">IF($M466=0,"",IF(INDEX('Line Detail'!$F$6:$F$505,$M466)="","",INDEX('Line Detail'!$F$6:$F$505,$M466)))</f>
        <v/>
      </c>
      <c r="G466" s="62" t="str">
        <f aca="false">IF($M466=0,"",IF(INDEX('Line Detail'!$G$6:$G$505,$M466)="","",INDEX('Line Detail'!$G$6:$G$505,$M466)))</f>
        <v/>
      </c>
      <c r="H466" s="13" t="str">
        <f aca="false">IF($M466=0,"",IF(INDEX('Line Detail'!$H$6:$H$505,$M466)="","",INDEX('Line Detail'!$H$6:$H$505,$M466)))</f>
        <v/>
      </c>
      <c r="I466" s="34" t="str">
        <f aca="false">IF($M466=0,"",IF(INDEX('Line Detail'!$O$6:$O$505,$M466)="","",INDEX('Line Detail'!$O$6:$O$505,$M466)))</f>
        <v/>
      </c>
      <c r="J466" s="34" t="str">
        <f aca="false">IF($M466=0,"",IF(INDEX('Line Detail'!$R$6:$R$505,$M466)="","",INDEX('Line Detail'!$R$6:$R$505,$M466)))</f>
        <v/>
      </c>
      <c r="K466" s="6" t="str">
        <f aca="false">IF($M466=0,"",IF(INDEX('Line Detail'!$S$6:$S$505,$M466)="","",INDEX('Line Detail'!$S$6:$S$505,$M466)))</f>
        <v/>
      </c>
      <c r="L466" s="1"/>
      <c r="M466" s="63" t="n">
        <f aca="false">IFERROR(MATCH(461,'Line Detail'!$W$6:$W$505,0),0)</f>
        <v>0</v>
      </c>
    </row>
    <row r="467" customFormat="false" ht="15" hidden="false" customHeight="false" outlineLevel="0" collapsed="false">
      <c r="A467" s="13" t="str">
        <f aca="false">IF($M467=0,"",462)</f>
        <v/>
      </c>
      <c r="B467" s="13" t="str">
        <f aca="false">IF($M467=0,"",IF(INDEX('Line Detail'!$B$6:$B$505,$M467)="","",INDEX('Line Detail'!$B$6:$B$505,$M467)))</f>
        <v/>
      </c>
      <c r="C467" s="13" t="str">
        <f aca="false">IF($M467=0,"",IF(INDEX('Line Detail'!$C$6:$C$505,$M467)="","",INDEX('Line Detail'!$C$6:$C$505,$M467)))</f>
        <v/>
      </c>
      <c r="D467" s="13" t="str">
        <f aca="false">IF($M467=0,"",IF(INDEX('Line Detail'!$D$6:$D$505,$M467)="","",INDEX('Line Detail'!$D$6:$D$505,$M467)))</f>
        <v/>
      </c>
      <c r="E467" s="13" t="str">
        <f aca="false">IF($M467=0,"",IF(INDEX('Line Detail'!$E$6:$E$505,$M467)="","",INDEX('Line Detail'!$E$6:$E$505,$M467)))</f>
        <v/>
      </c>
      <c r="F467" s="6" t="str">
        <f aca="false">IF($M467=0,"",IF(INDEX('Line Detail'!$F$6:$F$505,$M467)="","",INDEX('Line Detail'!$F$6:$F$505,$M467)))</f>
        <v/>
      </c>
      <c r="G467" s="62" t="str">
        <f aca="false">IF($M467=0,"",IF(INDEX('Line Detail'!$G$6:$G$505,$M467)="","",INDEX('Line Detail'!$G$6:$G$505,$M467)))</f>
        <v/>
      </c>
      <c r="H467" s="13" t="str">
        <f aca="false">IF($M467=0,"",IF(INDEX('Line Detail'!$H$6:$H$505,$M467)="","",INDEX('Line Detail'!$H$6:$H$505,$M467)))</f>
        <v/>
      </c>
      <c r="I467" s="34" t="str">
        <f aca="false">IF($M467=0,"",IF(INDEX('Line Detail'!$O$6:$O$505,$M467)="","",INDEX('Line Detail'!$O$6:$O$505,$M467)))</f>
        <v/>
      </c>
      <c r="J467" s="34" t="str">
        <f aca="false">IF($M467=0,"",IF(INDEX('Line Detail'!$R$6:$R$505,$M467)="","",INDEX('Line Detail'!$R$6:$R$505,$M467)))</f>
        <v/>
      </c>
      <c r="K467" s="6" t="str">
        <f aca="false">IF($M467=0,"",IF(INDEX('Line Detail'!$S$6:$S$505,$M467)="","",INDEX('Line Detail'!$S$6:$S$505,$M467)))</f>
        <v/>
      </c>
      <c r="L467" s="1"/>
      <c r="M467" s="63" t="n">
        <f aca="false">IFERROR(MATCH(462,'Line Detail'!$W$6:$W$505,0),0)</f>
        <v>0</v>
      </c>
    </row>
    <row r="468" customFormat="false" ht="15" hidden="false" customHeight="false" outlineLevel="0" collapsed="false">
      <c r="A468" s="13" t="str">
        <f aca="false">IF($M468=0,"",463)</f>
        <v/>
      </c>
      <c r="B468" s="13" t="str">
        <f aca="false">IF($M468=0,"",IF(INDEX('Line Detail'!$B$6:$B$505,$M468)="","",INDEX('Line Detail'!$B$6:$B$505,$M468)))</f>
        <v/>
      </c>
      <c r="C468" s="13" t="str">
        <f aca="false">IF($M468=0,"",IF(INDEX('Line Detail'!$C$6:$C$505,$M468)="","",INDEX('Line Detail'!$C$6:$C$505,$M468)))</f>
        <v/>
      </c>
      <c r="D468" s="13" t="str">
        <f aca="false">IF($M468=0,"",IF(INDEX('Line Detail'!$D$6:$D$505,$M468)="","",INDEX('Line Detail'!$D$6:$D$505,$M468)))</f>
        <v/>
      </c>
      <c r="E468" s="13" t="str">
        <f aca="false">IF($M468=0,"",IF(INDEX('Line Detail'!$E$6:$E$505,$M468)="","",INDEX('Line Detail'!$E$6:$E$505,$M468)))</f>
        <v/>
      </c>
      <c r="F468" s="6" t="str">
        <f aca="false">IF($M468=0,"",IF(INDEX('Line Detail'!$F$6:$F$505,$M468)="","",INDEX('Line Detail'!$F$6:$F$505,$M468)))</f>
        <v/>
      </c>
      <c r="G468" s="62" t="str">
        <f aca="false">IF($M468=0,"",IF(INDEX('Line Detail'!$G$6:$G$505,$M468)="","",INDEX('Line Detail'!$G$6:$G$505,$M468)))</f>
        <v/>
      </c>
      <c r="H468" s="13" t="str">
        <f aca="false">IF($M468=0,"",IF(INDEX('Line Detail'!$H$6:$H$505,$M468)="","",INDEX('Line Detail'!$H$6:$H$505,$M468)))</f>
        <v/>
      </c>
      <c r="I468" s="34" t="str">
        <f aca="false">IF($M468=0,"",IF(INDEX('Line Detail'!$O$6:$O$505,$M468)="","",INDEX('Line Detail'!$O$6:$O$505,$M468)))</f>
        <v/>
      </c>
      <c r="J468" s="34" t="str">
        <f aca="false">IF($M468=0,"",IF(INDEX('Line Detail'!$R$6:$R$505,$M468)="","",INDEX('Line Detail'!$R$6:$R$505,$M468)))</f>
        <v/>
      </c>
      <c r="K468" s="6" t="str">
        <f aca="false">IF($M468=0,"",IF(INDEX('Line Detail'!$S$6:$S$505,$M468)="","",INDEX('Line Detail'!$S$6:$S$505,$M468)))</f>
        <v/>
      </c>
      <c r="L468" s="1"/>
      <c r="M468" s="63" t="n">
        <f aca="false">IFERROR(MATCH(463,'Line Detail'!$W$6:$W$505,0),0)</f>
        <v>0</v>
      </c>
    </row>
    <row r="469" customFormat="false" ht="15" hidden="false" customHeight="false" outlineLevel="0" collapsed="false">
      <c r="A469" s="13" t="str">
        <f aca="false">IF($M469=0,"",464)</f>
        <v/>
      </c>
      <c r="B469" s="13" t="str">
        <f aca="false">IF($M469=0,"",IF(INDEX('Line Detail'!$B$6:$B$505,$M469)="","",INDEX('Line Detail'!$B$6:$B$505,$M469)))</f>
        <v/>
      </c>
      <c r="C469" s="13" t="str">
        <f aca="false">IF($M469=0,"",IF(INDEX('Line Detail'!$C$6:$C$505,$M469)="","",INDEX('Line Detail'!$C$6:$C$505,$M469)))</f>
        <v/>
      </c>
      <c r="D469" s="13" t="str">
        <f aca="false">IF($M469=0,"",IF(INDEX('Line Detail'!$D$6:$D$505,$M469)="","",INDEX('Line Detail'!$D$6:$D$505,$M469)))</f>
        <v/>
      </c>
      <c r="E469" s="13" t="str">
        <f aca="false">IF($M469=0,"",IF(INDEX('Line Detail'!$E$6:$E$505,$M469)="","",INDEX('Line Detail'!$E$6:$E$505,$M469)))</f>
        <v/>
      </c>
      <c r="F469" s="6" t="str">
        <f aca="false">IF($M469=0,"",IF(INDEX('Line Detail'!$F$6:$F$505,$M469)="","",INDEX('Line Detail'!$F$6:$F$505,$M469)))</f>
        <v/>
      </c>
      <c r="G469" s="62" t="str">
        <f aca="false">IF($M469=0,"",IF(INDEX('Line Detail'!$G$6:$G$505,$M469)="","",INDEX('Line Detail'!$G$6:$G$505,$M469)))</f>
        <v/>
      </c>
      <c r="H469" s="13" t="str">
        <f aca="false">IF($M469=0,"",IF(INDEX('Line Detail'!$H$6:$H$505,$M469)="","",INDEX('Line Detail'!$H$6:$H$505,$M469)))</f>
        <v/>
      </c>
      <c r="I469" s="34" t="str">
        <f aca="false">IF($M469=0,"",IF(INDEX('Line Detail'!$O$6:$O$505,$M469)="","",INDEX('Line Detail'!$O$6:$O$505,$M469)))</f>
        <v/>
      </c>
      <c r="J469" s="34" t="str">
        <f aca="false">IF($M469=0,"",IF(INDEX('Line Detail'!$R$6:$R$505,$M469)="","",INDEX('Line Detail'!$R$6:$R$505,$M469)))</f>
        <v/>
      </c>
      <c r="K469" s="6" t="str">
        <f aca="false">IF($M469=0,"",IF(INDEX('Line Detail'!$S$6:$S$505,$M469)="","",INDEX('Line Detail'!$S$6:$S$505,$M469)))</f>
        <v/>
      </c>
      <c r="L469" s="1"/>
      <c r="M469" s="63" t="n">
        <f aca="false">IFERROR(MATCH(464,'Line Detail'!$W$6:$W$505,0),0)</f>
        <v>0</v>
      </c>
    </row>
    <row r="470" customFormat="false" ht="15" hidden="false" customHeight="false" outlineLevel="0" collapsed="false">
      <c r="A470" s="13" t="str">
        <f aca="false">IF($M470=0,"",465)</f>
        <v/>
      </c>
      <c r="B470" s="13" t="str">
        <f aca="false">IF($M470=0,"",IF(INDEX('Line Detail'!$B$6:$B$505,$M470)="","",INDEX('Line Detail'!$B$6:$B$505,$M470)))</f>
        <v/>
      </c>
      <c r="C470" s="13" t="str">
        <f aca="false">IF($M470=0,"",IF(INDEX('Line Detail'!$C$6:$C$505,$M470)="","",INDEX('Line Detail'!$C$6:$C$505,$M470)))</f>
        <v/>
      </c>
      <c r="D470" s="13" t="str">
        <f aca="false">IF($M470=0,"",IF(INDEX('Line Detail'!$D$6:$D$505,$M470)="","",INDEX('Line Detail'!$D$6:$D$505,$M470)))</f>
        <v/>
      </c>
      <c r="E470" s="13" t="str">
        <f aca="false">IF($M470=0,"",IF(INDEX('Line Detail'!$E$6:$E$505,$M470)="","",INDEX('Line Detail'!$E$6:$E$505,$M470)))</f>
        <v/>
      </c>
      <c r="F470" s="6" t="str">
        <f aca="false">IF($M470=0,"",IF(INDEX('Line Detail'!$F$6:$F$505,$M470)="","",INDEX('Line Detail'!$F$6:$F$505,$M470)))</f>
        <v/>
      </c>
      <c r="G470" s="62" t="str">
        <f aca="false">IF($M470=0,"",IF(INDEX('Line Detail'!$G$6:$G$505,$M470)="","",INDEX('Line Detail'!$G$6:$G$505,$M470)))</f>
        <v/>
      </c>
      <c r="H470" s="13" t="str">
        <f aca="false">IF($M470=0,"",IF(INDEX('Line Detail'!$H$6:$H$505,$M470)="","",INDEX('Line Detail'!$H$6:$H$505,$M470)))</f>
        <v/>
      </c>
      <c r="I470" s="34" t="str">
        <f aca="false">IF($M470=0,"",IF(INDEX('Line Detail'!$O$6:$O$505,$M470)="","",INDEX('Line Detail'!$O$6:$O$505,$M470)))</f>
        <v/>
      </c>
      <c r="J470" s="34" t="str">
        <f aca="false">IF($M470=0,"",IF(INDEX('Line Detail'!$R$6:$R$505,$M470)="","",INDEX('Line Detail'!$R$6:$R$505,$M470)))</f>
        <v/>
      </c>
      <c r="K470" s="6" t="str">
        <f aca="false">IF($M470=0,"",IF(INDEX('Line Detail'!$S$6:$S$505,$M470)="","",INDEX('Line Detail'!$S$6:$S$505,$M470)))</f>
        <v/>
      </c>
      <c r="L470" s="1"/>
      <c r="M470" s="63" t="n">
        <f aca="false">IFERROR(MATCH(465,'Line Detail'!$W$6:$W$505,0),0)</f>
        <v>0</v>
      </c>
    </row>
    <row r="471" customFormat="false" ht="15" hidden="false" customHeight="false" outlineLevel="0" collapsed="false">
      <c r="A471" s="13" t="str">
        <f aca="false">IF($M471=0,"",466)</f>
        <v/>
      </c>
      <c r="B471" s="13" t="str">
        <f aca="false">IF($M471=0,"",IF(INDEX('Line Detail'!$B$6:$B$505,$M471)="","",INDEX('Line Detail'!$B$6:$B$505,$M471)))</f>
        <v/>
      </c>
      <c r="C471" s="13" t="str">
        <f aca="false">IF($M471=0,"",IF(INDEX('Line Detail'!$C$6:$C$505,$M471)="","",INDEX('Line Detail'!$C$6:$C$505,$M471)))</f>
        <v/>
      </c>
      <c r="D471" s="13" t="str">
        <f aca="false">IF($M471=0,"",IF(INDEX('Line Detail'!$D$6:$D$505,$M471)="","",INDEX('Line Detail'!$D$6:$D$505,$M471)))</f>
        <v/>
      </c>
      <c r="E471" s="13" t="str">
        <f aca="false">IF($M471=0,"",IF(INDEX('Line Detail'!$E$6:$E$505,$M471)="","",INDEX('Line Detail'!$E$6:$E$505,$M471)))</f>
        <v/>
      </c>
      <c r="F471" s="6" t="str">
        <f aca="false">IF($M471=0,"",IF(INDEX('Line Detail'!$F$6:$F$505,$M471)="","",INDEX('Line Detail'!$F$6:$F$505,$M471)))</f>
        <v/>
      </c>
      <c r="G471" s="62" t="str">
        <f aca="false">IF($M471=0,"",IF(INDEX('Line Detail'!$G$6:$G$505,$M471)="","",INDEX('Line Detail'!$G$6:$G$505,$M471)))</f>
        <v/>
      </c>
      <c r="H471" s="13" t="str">
        <f aca="false">IF($M471=0,"",IF(INDEX('Line Detail'!$H$6:$H$505,$M471)="","",INDEX('Line Detail'!$H$6:$H$505,$M471)))</f>
        <v/>
      </c>
      <c r="I471" s="34" t="str">
        <f aca="false">IF($M471=0,"",IF(INDEX('Line Detail'!$O$6:$O$505,$M471)="","",INDEX('Line Detail'!$O$6:$O$505,$M471)))</f>
        <v/>
      </c>
      <c r="J471" s="34" t="str">
        <f aca="false">IF($M471=0,"",IF(INDEX('Line Detail'!$R$6:$R$505,$M471)="","",INDEX('Line Detail'!$R$6:$R$505,$M471)))</f>
        <v/>
      </c>
      <c r="K471" s="6" t="str">
        <f aca="false">IF($M471=0,"",IF(INDEX('Line Detail'!$S$6:$S$505,$M471)="","",INDEX('Line Detail'!$S$6:$S$505,$M471)))</f>
        <v/>
      </c>
      <c r="L471" s="1"/>
      <c r="M471" s="63" t="n">
        <f aca="false">IFERROR(MATCH(466,'Line Detail'!$W$6:$W$505,0),0)</f>
        <v>0</v>
      </c>
    </row>
    <row r="472" customFormat="false" ht="15" hidden="false" customHeight="false" outlineLevel="0" collapsed="false">
      <c r="A472" s="13" t="str">
        <f aca="false">IF($M472=0,"",467)</f>
        <v/>
      </c>
      <c r="B472" s="13" t="str">
        <f aca="false">IF($M472=0,"",IF(INDEX('Line Detail'!$B$6:$B$505,$M472)="","",INDEX('Line Detail'!$B$6:$B$505,$M472)))</f>
        <v/>
      </c>
      <c r="C472" s="13" t="str">
        <f aca="false">IF($M472=0,"",IF(INDEX('Line Detail'!$C$6:$C$505,$M472)="","",INDEX('Line Detail'!$C$6:$C$505,$M472)))</f>
        <v/>
      </c>
      <c r="D472" s="13" t="str">
        <f aca="false">IF($M472=0,"",IF(INDEX('Line Detail'!$D$6:$D$505,$M472)="","",INDEX('Line Detail'!$D$6:$D$505,$M472)))</f>
        <v/>
      </c>
      <c r="E472" s="13" t="str">
        <f aca="false">IF($M472=0,"",IF(INDEX('Line Detail'!$E$6:$E$505,$M472)="","",INDEX('Line Detail'!$E$6:$E$505,$M472)))</f>
        <v/>
      </c>
      <c r="F472" s="6" t="str">
        <f aca="false">IF($M472=0,"",IF(INDEX('Line Detail'!$F$6:$F$505,$M472)="","",INDEX('Line Detail'!$F$6:$F$505,$M472)))</f>
        <v/>
      </c>
      <c r="G472" s="62" t="str">
        <f aca="false">IF($M472=0,"",IF(INDEX('Line Detail'!$G$6:$G$505,$M472)="","",INDEX('Line Detail'!$G$6:$G$505,$M472)))</f>
        <v/>
      </c>
      <c r="H472" s="13" t="str">
        <f aca="false">IF($M472=0,"",IF(INDEX('Line Detail'!$H$6:$H$505,$M472)="","",INDEX('Line Detail'!$H$6:$H$505,$M472)))</f>
        <v/>
      </c>
      <c r="I472" s="34" t="str">
        <f aca="false">IF($M472=0,"",IF(INDEX('Line Detail'!$O$6:$O$505,$M472)="","",INDEX('Line Detail'!$O$6:$O$505,$M472)))</f>
        <v/>
      </c>
      <c r="J472" s="34" t="str">
        <f aca="false">IF($M472=0,"",IF(INDEX('Line Detail'!$R$6:$R$505,$M472)="","",INDEX('Line Detail'!$R$6:$R$505,$M472)))</f>
        <v/>
      </c>
      <c r="K472" s="6" t="str">
        <f aca="false">IF($M472=0,"",IF(INDEX('Line Detail'!$S$6:$S$505,$M472)="","",INDEX('Line Detail'!$S$6:$S$505,$M472)))</f>
        <v/>
      </c>
      <c r="L472" s="1"/>
      <c r="M472" s="63" t="n">
        <f aca="false">IFERROR(MATCH(467,'Line Detail'!$W$6:$W$505,0),0)</f>
        <v>0</v>
      </c>
    </row>
    <row r="473" customFormat="false" ht="15" hidden="false" customHeight="false" outlineLevel="0" collapsed="false">
      <c r="A473" s="13" t="str">
        <f aca="false">IF($M473=0,"",468)</f>
        <v/>
      </c>
      <c r="B473" s="13" t="str">
        <f aca="false">IF($M473=0,"",IF(INDEX('Line Detail'!$B$6:$B$505,$M473)="","",INDEX('Line Detail'!$B$6:$B$505,$M473)))</f>
        <v/>
      </c>
      <c r="C473" s="13" t="str">
        <f aca="false">IF($M473=0,"",IF(INDEX('Line Detail'!$C$6:$C$505,$M473)="","",INDEX('Line Detail'!$C$6:$C$505,$M473)))</f>
        <v/>
      </c>
      <c r="D473" s="13" t="str">
        <f aca="false">IF($M473=0,"",IF(INDEX('Line Detail'!$D$6:$D$505,$M473)="","",INDEX('Line Detail'!$D$6:$D$505,$M473)))</f>
        <v/>
      </c>
      <c r="E473" s="13" t="str">
        <f aca="false">IF($M473=0,"",IF(INDEX('Line Detail'!$E$6:$E$505,$M473)="","",INDEX('Line Detail'!$E$6:$E$505,$M473)))</f>
        <v/>
      </c>
      <c r="F473" s="6" t="str">
        <f aca="false">IF($M473=0,"",IF(INDEX('Line Detail'!$F$6:$F$505,$M473)="","",INDEX('Line Detail'!$F$6:$F$505,$M473)))</f>
        <v/>
      </c>
      <c r="G473" s="62" t="str">
        <f aca="false">IF($M473=0,"",IF(INDEX('Line Detail'!$G$6:$G$505,$M473)="","",INDEX('Line Detail'!$G$6:$G$505,$M473)))</f>
        <v/>
      </c>
      <c r="H473" s="13" t="str">
        <f aca="false">IF($M473=0,"",IF(INDEX('Line Detail'!$H$6:$H$505,$M473)="","",INDEX('Line Detail'!$H$6:$H$505,$M473)))</f>
        <v/>
      </c>
      <c r="I473" s="34" t="str">
        <f aca="false">IF($M473=0,"",IF(INDEX('Line Detail'!$O$6:$O$505,$M473)="","",INDEX('Line Detail'!$O$6:$O$505,$M473)))</f>
        <v/>
      </c>
      <c r="J473" s="34" t="str">
        <f aca="false">IF($M473=0,"",IF(INDEX('Line Detail'!$R$6:$R$505,$M473)="","",INDEX('Line Detail'!$R$6:$R$505,$M473)))</f>
        <v/>
      </c>
      <c r="K473" s="6" t="str">
        <f aca="false">IF($M473=0,"",IF(INDEX('Line Detail'!$S$6:$S$505,$M473)="","",INDEX('Line Detail'!$S$6:$S$505,$M473)))</f>
        <v/>
      </c>
      <c r="L473" s="1"/>
      <c r="M473" s="63" t="n">
        <f aca="false">IFERROR(MATCH(468,'Line Detail'!$W$6:$W$505,0),0)</f>
        <v>0</v>
      </c>
    </row>
    <row r="474" customFormat="false" ht="15" hidden="false" customHeight="false" outlineLevel="0" collapsed="false">
      <c r="A474" s="13" t="str">
        <f aca="false">IF($M474=0,"",469)</f>
        <v/>
      </c>
      <c r="B474" s="13" t="str">
        <f aca="false">IF($M474=0,"",IF(INDEX('Line Detail'!$B$6:$B$505,$M474)="","",INDEX('Line Detail'!$B$6:$B$505,$M474)))</f>
        <v/>
      </c>
      <c r="C474" s="13" t="str">
        <f aca="false">IF($M474=0,"",IF(INDEX('Line Detail'!$C$6:$C$505,$M474)="","",INDEX('Line Detail'!$C$6:$C$505,$M474)))</f>
        <v/>
      </c>
      <c r="D474" s="13" t="str">
        <f aca="false">IF($M474=0,"",IF(INDEX('Line Detail'!$D$6:$D$505,$M474)="","",INDEX('Line Detail'!$D$6:$D$505,$M474)))</f>
        <v/>
      </c>
      <c r="E474" s="13" t="str">
        <f aca="false">IF($M474=0,"",IF(INDEX('Line Detail'!$E$6:$E$505,$M474)="","",INDEX('Line Detail'!$E$6:$E$505,$M474)))</f>
        <v/>
      </c>
      <c r="F474" s="6" t="str">
        <f aca="false">IF($M474=0,"",IF(INDEX('Line Detail'!$F$6:$F$505,$M474)="","",INDEX('Line Detail'!$F$6:$F$505,$M474)))</f>
        <v/>
      </c>
      <c r="G474" s="62" t="str">
        <f aca="false">IF($M474=0,"",IF(INDEX('Line Detail'!$G$6:$G$505,$M474)="","",INDEX('Line Detail'!$G$6:$G$505,$M474)))</f>
        <v/>
      </c>
      <c r="H474" s="13" t="str">
        <f aca="false">IF($M474=0,"",IF(INDEX('Line Detail'!$H$6:$H$505,$M474)="","",INDEX('Line Detail'!$H$6:$H$505,$M474)))</f>
        <v/>
      </c>
      <c r="I474" s="34" t="str">
        <f aca="false">IF($M474=0,"",IF(INDEX('Line Detail'!$O$6:$O$505,$M474)="","",INDEX('Line Detail'!$O$6:$O$505,$M474)))</f>
        <v/>
      </c>
      <c r="J474" s="34" t="str">
        <f aca="false">IF($M474=0,"",IF(INDEX('Line Detail'!$R$6:$R$505,$M474)="","",INDEX('Line Detail'!$R$6:$R$505,$M474)))</f>
        <v/>
      </c>
      <c r="K474" s="6" t="str">
        <f aca="false">IF($M474=0,"",IF(INDEX('Line Detail'!$S$6:$S$505,$M474)="","",INDEX('Line Detail'!$S$6:$S$505,$M474)))</f>
        <v/>
      </c>
      <c r="L474" s="1"/>
      <c r="M474" s="63" t="n">
        <f aca="false">IFERROR(MATCH(469,'Line Detail'!$W$6:$W$505,0),0)</f>
        <v>0</v>
      </c>
    </row>
    <row r="475" customFormat="false" ht="15" hidden="false" customHeight="false" outlineLevel="0" collapsed="false">
      <c r="A475" s="13" t="str">
        <f aca="false">IF($M475=0,"",470)</f>
        <v/>
      </c>
      <c r="B475" s="13" t="str">
        <f aca="false">IF($M475=0,"",IF(INDEX('Line Detail'!$B$6:$B$505,$M475)="","",INDEX('Line Detail'!$B$6:$B$505,$M475)))</f>
        <v/>
      </c>
      <c r="C475" s="13" t="str">
        <f aca="false">IF($M475=0,"",IF(INDEX('Line Detail'!$C$6:$C$505,$M475)="","",INDEX('Line Detail'!$C$6:$C$505,$M475)))</f>
        <v/>
      </c>
      <c r="D475" s="13" t="str">
        <f aca="false">IF($M475=0,"",IF(INDEX('Line Detail'!$D$6:$D$505,$M475)="","",INDEX('Line Detail'!$D$6:$D$505,$M475)))</f>
        <v/>
      </c>
      <c r="E475" s="13" t="str">
        <f aca="false">IF($M475=0,"",IF(INDEX('Line Detail'!$E$6:$E$505,$M475)="","",INDEX('Line Detail'!$E$6:$E$505,$M475)))</f>
        <v/>
      </c>
      <c r="F475" s="6" t="str">
        <f aca="false">IF($M475=0,"",IF(INDEX('Line Detail'!$F$6:$F$505,$M475)="","",INDEX('Line Detail'!$F$6:$F$505,$M475)))</f>
        <v/>
      </c>
      <c r="G475" s="62" t="str">
        <f aca="false">IF($M475=0,"",IF(INDEX('Line Detail'!$G$6:$G$505,$M475)="","",INDEX('Line Detail'!$G$6:$G$505,$M475)))</f>
        <v/>
      </c>
      <c r="H475" s="13" t="str">
        <f aca="false">IF($M475=0,"",IF(INDEX('Line Detail'!$H$6:$H$505,$M475)="","",INDEX('Line Detail'!$H$6:$H$505,$M475)))</f>
        <v/>
      </c>
      <c r="I475" s="34" t="str">
        <f aca="false">IF($M475=0,"",IF(INDEX('Line Detail'!$O$6:$O$505,$M475)="","",INDEX('Line Detail'!$O$6:$O$505,$M475)))</f>
        <v/>
      </c>
      <c r="J475" s="34" t="str">
        <f aca="false">IF($M475=0,"",IF(INDEX('Line Detail'!$R$6:$R$505,$M475)="","",INDEX('Line Detail'!$R$6:$R$505,$M475)))</f>
        <v/>
      </c>
      <c r="K475" s="6" t="str">
        <f aca="false">IF($M475=0,"",IF(INDEX('Line Detail'!$S$6:$S$505,$M475)="","",INDEX('Line Detail'!$S$6:$S$505,$M475)))</f>
        <v/>
      </c>
      <c r="L475" s="1"/>
      <c r="M475" s="63" t="n">
        <f aca="false">IFERROR(MATCH(470,'Line Detail'!$W$6:$W$505,0),0)</f>
        <v>0</v>
      </c>
    </row>
    <row r="476" customFormat="false" ht="15" hidden="false" customHeight="false" outlineLevel="0" collapsed="false">
      <c r="A476" s="13" t="str">
        <f aca="false">IF($M476=0,"",471)</f>
        <v/>
      </c>
      <c r="B476" s="13" t="str">
        <f aca="false">IF($M476=0,"",IF(INDEX('Line Detail'!$B$6:$B$505,$M476)="","",INDEX('Line Detail'!$B$6:$B$505,$M476)))</f>
        <v/>
      </c>
      <c r="C476" s="13" t="str">
        <f aca="false">IF($M476=0,"",IF(INDEX('Line Detail'!$C$6:$C$505,$M476)="","",INDEX('Line Detail'!$C$6:$C$505,$M476)))</f>
        <v/>
      </c>
      <c r="D476" s="13" t="str">
        <f aca="false">IF($M476=0,"",IF(INDEX('Line Detail'!$D$6:$D$505,$M476)="","",INDEX('Line Detail'!$D$6:$D$505,$M476)))</f>
        <v/>
      </c>
      <c r="E476" s="13" t="str">
        <f aca="false">IF($M476=0,"",IF(INDEX('Line Detail'!$E$6:$E$505,$M476)="","",INDEX('Line Detail'!$E$6:$E$505,$M476)))</f>
        <v/>
      </c>
      <c r="F476" s="6" t="str">
        <f aca="false">IF($M476=0,"",IF(INDEX('Line Detail'!$F$6:$F$505,$M476)="","",INDEX('Line Detail'!$F$6:$F$505,$M476)))</f>
        <v/>
      </c>
      <c r="G476" s="62" t="str">
        <f aca="false">IF($M476=0,"",IF(INDEX('Line Detail'!$G$6:$G$505,$M476)="","",INDEX('Line Detail'!$G$6:$G$505,$M476)))</f>
        <v/>
      </c>
      <c r="H476" s="13" t="str">
        <f aca="false">IF($M476=0,"",IF(INDEX('Line Detail'!$H$6:$H$505,$M476)="","",INDEX('Line Detail'!$H$6:$H$505,$M476)))</f>
        <v/>
      </c>
      <c r="I476" s="34" t="str">
        <f aca="false">IF($M476=0,"",IF(INDEX('Line Detail'!$O$6:$O$505,$M476)="","",INDEX('Line Detail'!$O$6:$O$505,$M476)))</f>
        <v/>
      </c>
      <c r="J476" s="34" t="str">
        <f aca="false">IF($M476=0,"",IF(INDEX('Line Detail'!$R$6:$R$505,$M476)="","",INDEX('Line Detail'!$R$6:$R$505,$M476)))</f>
        <v/>
      </c>
      <c r="K476" s="6" t="str">
        <f aca="false">IF($M476=0,"",IF(INDEX('Line Detail'!$S$6:$S$505,$M476)="","",INDEX('Line Detail'!$S$6:$S$505,$M476)))</f>
        <v/>
      </c>
      <c r="L476" s="1"/>
      <c r="M476" s="63" t="n">
        <f aca="false">IFERROR(MATCH(471,'Line Detail'!$W$6:$W$505,0),0)</f>
        <v>0</v>
      </c>
    </row>
    <row r="477" customFormat="false" ht="15" hidden="false" customHeight="false" outlineLevel="0" collapsed="false">
      <c r="A477" s="13" t="str">
        <f aca="false">IF($M477=0,"",472)</f>
        <v/>
      </c>
      <c r="B477" s="13" t="str">
        <f aca="false">IF($M477=0,"",IF(INDEX('Line Detail'!$B$6:$B$505,$M477)="","",INDEX('Line Detail'!$B$6:$B$505,$M477)))</f>
        <v/>
      </c>
      <c r="C477" s="13" t="str">
        <f aca="false">IF($M477=0,"",IF(INDEX('Line Detail'!$C$6:$C$505,$M477)="","",INDEX('Line Detail'!$C$6:$C$505,$M477)))</f>
        <v/>
      </c>
      <c r="D477" s="13" t="str">
        <f aca="false">IF($M477=0,"",IF(INDEX('Line Detail'!$D$6:$D$505,$M477)="","",INDEX('Line Detail'!$D$6:$D$505,$M477)))</f>
        <v/>
      </c>
      <c r="E477" s="13" t="str">
        <f aca="false">IF($M477=0,"",IF(INDEX('Line Detail'!$E$6:$E$505,$M477)="","",INDEX('Line Detail'!$E$6:$E$505,$M477)))</f>
        <v/>
      </c>
      <c r="F477" s="6" t="str">
        <f aca="false">IF($M477=0,"",IF(INDEX('Line Detail'!$F$6:$F$505,$M477)="","",INDEX('Line Detail'!$F$6:$F$505,$M477)))</f>
        <v/>
      </c>
      <c r="G477" s="62" t="str">
        <f aca="false">IF($M477=0,"",IF(INDEX('Line Detail'!$G$6:$G$505,$M477)="","",INDEX('Line Detail'!$G$6:$G$505,$M477)))</f>
        <v/>
      </c>
      <c r="H477" s="13" t="str">
        <f aca="false">IF($M477=0,"",IF(INDEX('Line Detail'!$H$6:$H$505,$M477)="","",INDEX('Line Detail'!$H$6:$H$505,$M477)))</f>
        <v/>
      </c>
      <c r="I477" s="34" t="str">
        <f aca="false">IF($M477=0,"",IF(INDEX('Line Detail'!$O$6:$O$505,$M477)="","",INDEX('Line Detail'!$O$6:$O$505,$M477)))</f>
        <v/>
      </c>
      <c r="J477" s="34" t="str">
        <f aca="false">IF($M477=0,"",IF(INDEX('Line Detail'!$R$6:$R$505,$M477)="","",INDEX('Line Detail'!$R$6:$R$505,$M477)))</f>
        <v/>
      </c>
      <c r="K477" s="6" t="str">
        <f aca="false">IF($M477=0,"",IF(INDEX('Line Detail'!$S$6:$S$505,$M477)="","",INDEX('Line Detail'!$S$6:$S$505,$M477)))</f>
        <v/>
      </c>
      <c r="L477" s="1"/>
      <c r="M477" s="63" t="n">
        <f aca="false">IFERROR(MATCH(472,'Line Detail'!$W$6:$W$505,0),0)</f>
        <v>0</v>
      </c>
    </row>
    <row r="478" customFormat="false" ht="15" hidden="false" customHeight="false" outlineLevel="0" collapsed="false">
      <c r="A478" s="13" t="str">
        <f aca="false">IF($M478=0,"",473)</f>
        <v/>
      </c>
      <c r="B478" s="13" t="str">
        <f aca="false">IF($M478=0,"",IF(INDEX('Line Detail'!$B$6:$B$505,$M478)="","",INDEX('Line Detail'!$B$6:$B$505,$M478)))</f>
        <v/>
      </c>
      <c r="C478" s="13" t="str">
        <f aca="false">IF($M478=0,"",IF(INDEX('Line Detail'!$C$6:$C$505,$M478)="","",INDEX('Line Detail'!$C$6:$C$505,$M478)))</f>
        <v/>
      </c>
      <c r="D478" s="13" t="str">
        <f aca="false">IF($M478=0,"",IF(INDEX('Line Detail'!$D$6:$D$505,$M478)="","",INDEX('Line Detail'!$D$6:$D$505,$M478)))</f>
        <v/>
      </c>
      <c r="E478" s="13" t="str">
        <f aca="false">IF($M478=0,"",IF(INDEX('Line Detail'!$E$6:$E$505,$M478)="","",INDEX('Line Detail'!$E$6:$E$505,$M478)))</f>
        <v/>
      </c>
      <c r="F478" s="6" t="str">
        <f aca="false">IF($M478=0,"",IF(INDEX('Line Detail'!$F$6:$F$505,$M478)="","",INDEX('Line Detail'!$F$6:$F$505,$M478)))</f>
        <v/>
      </c>
      <c r="G478" s="62" t="str">
        <f aca="false">IF($M478=0,"",IF(INDEX('Line Detail'!$G$6:$G$505,$M478)="","",INDEX('Line Detail'!$G$6:$G$505,$M478)))</f>
        <v/>
      </c>
      <c r="H478" s="13" t="str">
        <f aca="false">IF($M478=0,"",IF(INDEX('Line Detail'!$H$6:$H$505,$M478)="","",INDEX('Line Detail'!$H$6:$H$505,$M478)))</f>
        <v/>
      </c>
      <c r="I478" s="34" t="str">
        <f aca="false">IF($M478=0,"",IF(INDEX('Line Detail'!$O$6:$O$505,$M478)="","",INDEX('Line Detail'!$O$6:$O$505,$M478)))</f>
        <v/>
      </c>
      <c r="J478" s="34" t="str">
        <f aca="false">IF($M478=0,"",IF(INDEX('Line Detail'!$R$6:$R$505,$M478)="","",INDEX('Line Detail'!$R$6:$R$505,$M478)))</f>
        <v/>
      </c>
      <c r="K478" s="6" t="str">
        <f aca="false">IF($M478=0,"",IF(INDEX('Line Detail'!$S$6:$S$505,$M478)="","",INDEX('Line Detail'!$S$6:$S$505,$M478)))</f>
        <v/>
      </c>
      <c r="L478" s="1"/>
      <c r="M478" s="63" t="n">
        <f aca="false">IFERROR(MATCH(473,'Line Detail'!$W$6:$W$505,0),0)</f>
        <v>0</v>
      </c>
    </row>
    <row r="479" customFormat="false" ht="15" hidden="false" customHeight="false" outlineLevel="0" collapsed="false">
      <c r="A479" s="13" t="str">
        <f aca="false">IF($M479=0,"",474)</f>
        <v/>
      </c>
      <c r="B479" s="13" t="str">
        <f aca="false">IF($M479=0,"",IF(INDEX('Line Detail'!$B$6:$B$505,$M479)="","",INDEX('Line Detail'!$B$6:$B$505,$M479)))</f>
        <v/>
      </c>
      <c r="C479" s="13" t="str">
        <f aca="false">IF($M479=0,"",IF(INDEX('Line Detail'!$C$6:$C$505,$M479)="","",INDEX('Line Detail'!$C$6:$C$505,$M479)))</f>
        <v/>
      </c>
      <c r="D479" s="13" t="str">
        <f aca="false">IF($M479=0,"",IF(INDEX('Line Detail'!$D$6:$D$505,$M479)="","",INDEX('Line Detail'!$D$6:$D$505,$M479)))</f>
        <v/>
      </c>
      <c r="E479" s="13" t="str">
        <f aca="false">IF($M479=0,"",IF(INDEX('Line Detail'!$E$6:$E$505,$M479)="","",INDEX('Line Detail'!$E$6:$E$505,$M479)))</f>
        <v/>
      </c>
      <c r="F479" s="6" t="str">
        <f aca="false">IF($M479=0,"",IF(INDEX('Line Detail'!$F$6:$F$505,$M479)="","",INDEX('Line Detail'!$F$6:$F$505,$M479)))</f>
        <v/>
      </c>
      <c r="G479" s="62" t="str">
        <f aca="false">IF($M479=0,"",IF(INDEX('Line Detail'!$G$6:$G$505,$M479)="","",INDEX('Line Detail'!$G$6:$G$505,$M479)))</f>
        <v/>
      </c>
      <c r="H479" s="13" t="str">
        <f aca="false">IF($M479=0,"",IF(INDEX('Line Detail'!$H$6:$H$505,$M479)="","",INDEX('Line Detail'!$H$6:$H$505,$M479)))</f>
        <v/>
      </c>
      <c r="I479" s="34" t="str">
        <f aca="false">IF($M479=0,"",IF(INDEX('Line Detail'!$O$6:$O$505,$M479)="","",INDEX('Line Detail'!$O$6:$O$505,$M479)))</f>
        <v/>
      </c>
      <c r="J479" s="34" t="str">
        <f aca="false">IF($M479=0,"",IF(INDEX('Line Detail'!$R$6:$R$505,$M479)="","",INDEX('Line Detail'!$R$6:$R$505,$M479)))</f>
        <v/>
      </c>
      <c r="K479" s="6" t="str">
        <f aca="false">IF($M479=0,"",IF(INDEX('Line Detail'!$S$6:$S$505,$M479)="","",INDEX('Line Detail'!$S$6:$S$505,$M479)))</f>
        <v/>
      </c>
      <c r="L479" s="1"/>
      <c r="M479" s="63" t="n">
        <f aca="false">IFERROR(MATCH(474,'Line Detail'!$W$6:$W$505,0),0)</f>
        <v>0</v>
      </c>
    </row>
    <row r="480" customFormat="false" ht="15" hidden="false" customHeight="false" outlineLevel="0" collapsed="false">
      <c r="A480" s="13" t="str">
        <f aca="false">IF($M480=0,"",475)</f>
        <v/>
      </c>
      <c r="B480" s="13" t="str">
        <f aca="false">IF($M480=0,"",IF(INDEX('Line Detail'!$B$6:$B$505,$M480)="","",INDEX('Line Detail'!$B$6:$B$505,$M480)))</f>
        <v/>
      </c>
      <c r="C480" s="13" t="str">
        <f aca="false">IF($M480=0,"",IF(INDEX('Line Detail'!$C$6:$C$505,$M480)="","",INDEX('Line Detail'!$C$6:$C$505,$M480)))</f>
        <v/>
      </c>
      <c r="D480" s="13" t="str">
        <f aca="false">IF($M480=0,"",IF(INDEX('Line Detail'!$D$6:$D$505,$M480)="","",INDEX('Line Detail'!$D$6:$D$505,$M480)))</f>
        <v/>
      </c>
      <c r="E480" s="13" t="str">
        <f aca="false">IF($M480=0,"",IF(INDEX('Line Detail'!$E$6:$E$505,$M480)="","",INDEX('Line Detail'!$E$6:$E$505,$M480)))</f>
        <v/>
      </c>
      <c r="F480" s="6" t="str">
        <f aca="false">IF($M480=0,"",IF(INDEX('Line Detail'!$F$6:$F$505,$M480)="","",INDEX('Line Detail'!$F$6:$F$505,$M480)))</f>
        <v/>
      </c>
      <c r="G480" s="62" t="str">
        <f aca="false">IF($M480=0,"",IF(INDEX('Line Detail'!$G$6:$G$505,$M480)="","",INDEX('Line Detail'!$G$6:$G$505,$M480)))</f>
        <v/>
      </c>
      <c r="H480" s="13" t="str">
        <f aca="false">IF($M480=0,"",IF(INDEX('Line Detail'!$H$6:$H$505,$M480)="","",INDEX('Line Detail'!$H$6:$H$505,$M480)))</f>
        <v/>
      </c>
      <c r="I480" s="34" t="str">
        <f aca="false">IF($M480=0,"",IF(INDEX('Line Detail'!$O$6:$O$505,$M480)="","",INDEX('Line Detail'!$O$6:$O$505,$M480)))</f>
        <v/>
      </c>
      <c r="J480" s="34" t="str">
        <f aca="false">IF($M480=0,"",IF(INDEX('Line Detail'!$R$6:$R$505,$M480)="","",INDEX('Line Detail'!$R$6:$R$505,$M480)))</f>
        <v/>
      </c>
      <c r="K480" s="6" t="str">
        <f aca="false">IF($M480=0,"",IF(INDEX('Line Detail'!$S$6:$S$505,$M480)="","",INDEX('Line Detail'!$S$6:$S$505,$M480)))</f>
        <v/>
      </c>
      <c r="L480" s="1"/>
      <c r="M480" s="63" t="n">
        <f aca="false">IFERROR(MATCH(475,'Line Detail'!$W$6:$W$505,0),0)</f>
        <v>0</v>
      </c>
    </row>
    <row r="481" customFormat="false" ht="15" hidden="false" customHeight="false" outlineLevel="0" collapsed="false">
      <c r="A481" s="13" t="str">
        <f aca="false">IF($M481=0,"",476)</f>
        <v/>
      </c>
      <c r="B481" s="13" t="str">
        <f aca="false">IF($M481=0,"",IF(INDEX('Line Detail'!$B$6:$B$505,$M481)="","",INDEX('Line Detail'!$B$6:$B$505,$M481)))</f>
        <v/>
      </c>
      <c r="C481" s="13" t="str">
        <f aca="false">IF($M481=0,"",IF(INDEX('Line Detail'!$C$6:$C$505,$M481)="","",INDEX('Line Detail'!$C$6:$C$505,$M481)))</f>
        <v/>
      </c>
      <c r="D481" s="13" t="str">
        <f aca="false">IF($M481=0,"",IF(INDEX('Line Detail'!$D$6:$D$505,$M481)="","",INDEX('Line Detail'!$D$6:$D$505,$M481)))</f>
        <v/>
      </c>
      <c r="E481" s="13" t="str">
        <f aca="false">IF($M481=0,"",IF(INDEX('Line Detail'!$E$6:$E$505,$M481)="","",INDEX('Line Detail'!$E$6:$E$505,$M481)))</f>
        <v/>
      </c>
      <c r="F481" s="6" t="str">
        <f aca="false">IF($M481=0,"",IF(INDEX('Line Detail'!$F$6:$F$505,$M481)="","",INDEX('Line Detail'!$F$6:$F$505,$M481)))</f>
        <v/>
      </c>
      <c r="G481" s="62" t="str">
        <f aca="false">IF($M481=0,"",IF(INDEX('Line Detail'!$G$6:$G$505,$M481)="","",INDEX('Line Detail'!$G$6:$G$505,$M481)))</f>
        <v/>
      </c>
      <c r="H481" s="13" t="str">
        <f aca="false">IF($M481=0,"",IF(INDEX('Line Detail'!$H$6:$H$505,$M481)="","",INDEX('Line Detail'!$H$6:$H$505,$M481)))</f>
        <v/>
      </c>
      <c r="I481" s="34" t="str">
        <f aca="false">IF($M481=0,"",IF(INDEX('Line Detail'!$O$6:$O$505,$M481)="","",INDEX('Line Detail'!$O$6:$O$505,$M481)))</f>
        <v/>
      </c>
      <c r="J481" s="34" t="str">
        <f aca="false">IF($M481=0,"",IF(INDEX('Line Detail'!$R$6:$R$505,$M481)="","",INDEX('Line Detail'!$R$6:$R$505,$M481)))</f>
        <v/>
      </c>
      <c r="K481" s="6" t="str">
        <f aca="false">IF($M481=0,"",IF(INDEX('Line Detail'!$S$6:$S$505,$M481)="","",INDEX('Line Detail'!$S$6:$S$505,$M481)))</f>
        <v/>
      </c>
      <c r="L481" s="1"/>
      <c r="M481" s="63" t="n">
        <f aca="false">IFERROR(MATCH(476,'Line Detail'!$W$6:$W$505,0),0)</f>
        <v>0</v>
      </c>
    </row>
    <row r="482" customFormat="false" ht="15" hidden="false" customHeight="false" outlineLevel="0" collapsed="false">
      <c r="A482" s="13" t="str">
        <f aca="false">IF($M482=0,"",477)</f>
        <v/>
      </c>
      <c r="B482" s="13" t="str">
        <f aca="false">IF($M482=0,"",IF(INDEX('Line Detail'!$B$6:$B$505,$M482)="","",INDEX('Line Detail'!$B$6:$B$505,$M482)))</f>
        <v/>
      </c>
      <c r="C482" s="13" t="str">
        <f aca="false">IF($M482=0,"",IF(INDEX('Line Detail'!$C$6:$C$505,$M482)="","",INDEX('Line Detail'!$C$6:$C$505,$M482)))</f>
        <v/>
      </c>
      <c r="D482" s="13" t="str">
        <f aca="false">IF($M482=0,"",IF(INDEX('Line Detail'!$D$6:$D$505,$M482)="","",INDEX('Line Detail'!$D$6:$D$505,$M482)))</f>
        <v/>
      </c>
      <c r="E482" s="13" t="str">
        <f aca="false">IF($M482=0,"",IF(INDEX('Line Detail'!$E$6:$E$505,$M482)="","",INDEX('Line Detail'!$E$6:$E$505,$M482)))</f>
        <v/>
      </c>
      <c r="F482" s="6" t="str">
        <f aca="false">IF($M482=0,"",IF(INDEX('Line Detail'!$F$6:$F$505,$M482)="","",INDEX('Line Detail'!$F$6:$F$505,$M482)))</f>
        <v/>
      </c>
      <c r="G482" s="62" t="str">
        <f aca="false">IF($M482=0,"",IF(INDEX('Line Detail'!$G$6:$G$505,$M482)="","",INDEX('Line Detail'!$G$6:$G$505,$M482)))</f>
        <v/>
      </c>
      <c r="H482" s="13" t="str">
        <f aca="false">IF($M482=0,"",IF(INDEX('Line Detail'!$H$6:$H$505,$M482)="","",INDEX('Line Detail'!$H$6:$H$505,$M482)))</f>
        <v/>
      </c>
      <c r="I482" s="34" t="str">
        <f aca="false">IF($M482=0,"",IF(INDEX('Line Detail'!$O$6:$O$505,$M482)="","",INDEX('Line Detail'!$O$6:$O$505,$M482)))</f>
        <v/>
      </c>
      <c r="J482" s="34" t="str">
        <f aca="false">IF($M482=0,"",IF(INDEX('Line Detail'!$R$6:$R$505,$M482)="","",INDEX('Line Detail'!$R$6:$R$505,$M482)))</f>
        <v/>
      </c>
      <c r="K482" s="6" t="str">
        <f aca="false">IF($M482=0,"",IF(INDEX('Line Detail'!$S$6:$S$505,$M482)="","",INDEX('Line Detail'!$S$6:$S$505,$M482)))</f>
        <v/>
      </c>
      <c r="L482" s="1"/>
      <c r="M482" s="63" t="n">
        <f aca="false">IFERROR(MATCH(477,'Line Detail'!$W$6:$W$505,0),0)</f>
        <v>0</v>
      </c>
    </row>
    <row r="483" customFormat="false" ht="15" hidden="false" customHeight="false" outlineLevel="0" collapsed="false">
      <c r="A483" s="13" t="str">
        <f aca="false">IF($M483=0,"",478)</f>
        <v/>
      </c>
      <c r="B483" s="13" t="str">
        <f aca="false">IF($M483=0,"",IF(INDEX('Line Detail'!$B$6:$B$505,$M483)="","",INDEX('Line Detail'!$B$6:$B$505,$M483)))</f>
        <v/>
      </c>
      <c r="C483" s="13" t="str">
        <f aca="false">IF($M483=0,"",IF(INDEX('Line Detail'!$C$6:$C$505,$M483)="","",INDEX('Line Detail'!$C$6:$C$505,$M483)))</f>
        <v/>
      </c>
      <c r="D483" s="13" t="str">
        <f aca="false">IF($M483=0,"",IF(INDEX('Line Detail'!$D$6:$D$505,$M483)="","",INDEX('Line Detail'!$D$6:$D$505,$M483)))</f>
        <v/>
      </c>
      <c r="E483" s="13" t="str">
        <f aca="false">IF($M483=0,"",IF(INDEX('Line Detail'!$E$6:$E$505,$M483)="","",INDEX('Line Detail'!$E$6:$E$505,$M483)))</f>
        <v/>
      </c>
      <c r="F483" s="6" t="str">
        <f aca="false">IF($M483=0,"",IF(INDEX('Line Detail'!$F$6:$F$505,$M483)="","",INDEX('Line Detail'!$F$6:$F$505,$M483)))</f>
        <v/>
      </c>
      <c r="G483" s="62" t="str">
        <f aca="false">IF($M483=0,"",IF(INDEX('Line Detail'!$G$6:$G$505,$M483)="","",INDEX('Line Detail'!$G$6:$G$505,$M483)))</f>
        <v/>
      </c>
      <c r="H483" s="13" t="str">
        <f aca="false">IF($M483=0,"",IF(INDEX('Line Detail'!$H$6:$H$505,$M483)="","",INDEX('Line Detail'!$H$6:$H$505,$M483)))</f>
        <v/>
      </c>
      <c r="I483" s="34" t="str">
        <f aca="false">IF($M483=0,"",IF(INDEX('Line Detail'!$O$6:$O$505,$M483)="","",INDEX('Line Detail'!$O$6:$O$505,$M483)))</f>
        <v/>
      </c>
      <c r="J483" s="34" t="str">
        <f aca="false">IF($M483=0,"",IF(INDEX('Line Detail'!$R$6:$R$505,$M483)="","",INDEX('Line Detail'!$R$6:$R$505,$M483)))</f>
        <v/>
      </c>
      <c r="K483" s="6" t="str">
        <f aca="false">IF($M483=0,"",IF(INDEX('Line Detail'!$S$6:$S$505,$M483)="","",INDEX('Line Detail'!$S$6:$S$505,$M483)))</f>
        <v/>
      </c>
      <c r="L483" s="1"/>
      <c r="M483" s="63" t="n">
        <f aca="false">IFERROR(MATCH(478,'Line Detail'!$W$6:$W$505,0),0)</f>
        <v>0</v>
      </c>
    </row>
    <row r="484" customFormat="false" ht="15" hidden="false" customHeight="false" outlineLevel="0" collapsed="false">
      <c r="A484" s="13" t="str">
        <f aca="false">IF($M484=0,"",479)</f>
        <v/>
      </c>
      <c r="B484" s="13" t="str">
        <f aca="false">IF($M484=0,"",IF(INDEX('Line Detail'!$B$6:$B$505,$M484)="","",INDEX('Line Detail'!$B$6:$B$505,$M484)))</f>
        <v/>
      </c>
      <c r="C484" s="13" t="str">
        <f aca="false">IF($M484=0,"",IF(INDEX('Line Detail'!$C$6:$C$505,$M484)="","",INDEX('Line Detail'!$C$6:$C$505,$M484)))</f>
        <v/>
      </c>
      <c r="D484" s="13" t="str">
        <f aca="false">IF($M484=0,"",IF(INDEX('Line Detail'!$D$6:$D$505,$M484)="","",INDEX('Line Detail'!$D$6:$D$505,$M484)))</f>
        <v/>
      </c>
      <c r="E484" s="13" t="str">
        <f aca="false">IF($M484=0,"",IF(INDEX('Line Detail'!$E$6:$E$505,$M484)="","",INDEX('Line Detail'!$E$6:$E$505,$M484)))</f>
        <v/>
      </c>
      <c r="F484" s="6" t="str">
        <f aca="false">IF($M484=0,"",IF(INDEX('Line Detail'!$F$6:$F$505,$M484)="","",INDEX('Line Detail'!$F$6:$F$505,$M484)))</f>
        <v/>
      </c>
      <c r="G484" s="62" t="str">
        <f aca="false">IF($M484=0,"",IF(INDEX('Line Detail'!$G$6:$G$505,$M484)="","",INDEX('Line Detail'!$G$6:$G$505,$M484)))</f>
        <v/>
      </c>
      <c r="H484" s="13" t="str">
        <f aca="false">IF($M484=0,"",IF(INDEX('Line Detail'!$H$6:$H$505,$M484)="","",INDEX('Line Detail'!$H$6:$H$505,$M484)))</f>
        <v/>
      </c>
      <c r="I484" s="34" t="str">
        <f aca="false">IF($M484=0,"",IF(INDEX('Line Detail'!$O$6:$O$505,$M484)="","",INDEX('Line Detail'!$O$6:$O$505,$M484)))</f>
        <v/>
      </c>
      <c r="J484" s="34" t="str">
        <f aca="false">IF($M484=0,"",IF(INDEX('Line Detail'!$R$6:$R$505,$M484)="","",INDEX('Line Detail'!$R$6:$R$505,$M484)))</f>
        <v/>
      </c>
      <c r="K484" s="6" t="str">
        <f aca="false">IF($M484=0,"",IF(INDEX('Line Detail'!$S$6:$S$505,$M484)="","",INDEX('Line Detail'!$S$6:$S$505,$M484)))</f>
        <v/>
      </c>
      <c r="L484" s="1"/>
      <c r="M484" s="63" t="n">
        <f aca="false">IFERROR(MATCH(479,'Line Detail'!$W$6:$W$505,0),0)</f>
        <v>0</v>
      </c>
    </row>
    <row r="485" customFormat="false" ht="15" hidden="false" customHeight="false" outlineLevel="0" collapsed="false">
      <c r="A485" s="13" t="str">
        <f aca="false">IF($M485=0,"",480)</f>
        <v/>
      </c>
      <c r="B485" s="13" t="str">
        <f aca="false">IF($M485=0,"",IF(INDEX('Line Detail'!$B$6:$B$505,$M485)="","",INDEX('Line Detail'!$B$6:$B$505,$M485)))</f>
        <v/>
      </c>
      <c r="C485" s="13" t="str">
        <f aca="false">IF($M485=0,"",IF(INDEX('Line Detail'!$C$6:$C$505,$M485)="","",INDEX('Line Detail'!$C$6:$C$505,$M485)))</f>
        <v/>
      </c>
      <c r="D485" s="13" t="str">
        <f aca="false">IF($M485=0,"",IF(INDEX('Line Detail'!$D$6:$D$505,$M485)="","",INDEX('Line Detail'!$D$6:$D$505,$M485)))</f>
        <v/>
      </c>
      <c r="E485" s="13" t="str">
        <f aca="false">IF($M485=0,"",IF(INDEX('Line Detail'!$E$6:$E$505,$M485)="","",INDEX('Line Detail'!$E$6:$E$505,$M485)))</f>
        <v/>
      </c>
      <c r="F485" s="6" t="str">
        <f aca="false">IF($M485=0,"",IF(INDEX('Line Detail'!$F$6:$F$505,$M485)="","",INDEX('Line Detail'!$F$6:$F$505,$M485)))</f>
        <v/>
      </c>
      <c r="G485" s="62" t="str">
        <f aca="false">IF($M485=0,"",IF(INDEX('Line Detail'!$G$6:$G$505,$M485)="","",INDEX('Line Detail'!$G$6:$G$505,$M485)))</f>
        <v/>
      </c>
      <c r="H485" s="13" t="str">
        <f aca="false">IF($M485=0,"",IF(INDEX('Line Detail'!$H$6:$H$505,$M485)="","",INDEX('Line Detail'!$H$6:$H$505,$M485)))</f>
        <v/>
      </c>
      <c r="I485" s="34" t="str">
        <f aca="false">IF($M485=0,"",IF(INDEX('Line Detail'!$O$6:$O$505,$M485)="","",INDEX('Line Detail'!$O$6:$O$505,$M485)))</f>
        <v/>
      </c>
      <c r="J485" s="34" t="str">
        <f aca="false">IF($M485=0,"",IF(INDEX('Line Detail'!$R$6:$R$505,$M485)="","",INDEX('Line Detail'!$R$6:$R$505,$M485)))</f>
        <v/>
      </c>
      <c r="K485" s="6" t="str">
        <f aca="false">IF($M485=0,"",IF(INDEX('Line Detail'!$S$6:$S$505,$M485)="","",INDEX('Line Detail'!$S$6:$S$505,$M485)))</f>
        <v/>
      </c>
      <c r="L485" s="1"/>
      <c r="M485" s="63" t="n">
        <f aca="false">IFERROR(MATCH(480,'Line Detail'!$W$6:$W$505,0),0)</f>
        <v>0</v>
      </c>
    </row>
    <row r="486" customFormat="false" ht="15" hidden="false" customHeight="false" outlineLevel="0" collapsed="false">
      <c r="A486" s="13" t="str">
        <f aca="false">IF($M486=0,"",481)</f>
        <v/>
      </c>
      <c r="B486" s="13" t="str">
        <f aca="false">IF($M486=0,"",IF(INDEX('Line Detail'!$B$6:$B$505,$M486)="","",INDEX('Line Detail'!$B$6:$B$505,$M486)))</f>
        <v/>
      </c>
      <c r="C486" s="13" t="str">
        <f aca="false">IF($M486=0,"",IF(INDEX('Line Detail'!$C$6:$C$505,$M486)="","",INDEX('Line Detail'!$C$6:$C$505,$M486)))</f>
        <v/>
      </c>
      <c r="D486" s="13" t="str">
        <f aca="false">IF($M486=0,"",IF(INDEX('Line Detail'!$D$6:$D$505,$M486)="","",INDEX('Line Detail'!$D$6:$D$505,$M486)))</f>
        <v/>
      </c>
      <c r="E486" s="13" t="str">
        <f aca="false">IF($M486=0,"",IF(INDEX('Line Detail'!$E$6:$E$505,$M486)="","",INDEX('Line Detail'!$E$6:$E$505,$M486)))</f>
        <v/>
      </c>
      <c r="F486" s="6" t="str">
        <f aca="false">IF($M486=0,"",IF(INDEX('Line Detail'!$F$6:$F$505,$M486)="","",INDEX('Line Detail'!$F$6:$F$505,$M486)))</f>
        <v/>
      </c>
      <c r="G486" s="62" t="str">
        <f aca="false">IF($M486=0,"",IF(INDEX('Line Detail'!$G$6:$G$505,$M486)="","",INDEX('Line Detail'!$G$6:$G$505,$M486)))</f>
        <v/>
      </c>
      <c r="H486" s="13" t="str">
        <f aca="false">IF($M486=0,"",IF(INDEX('Line Detail'!$H$6:$H$505,$M486)="","",INDEX('Line Detail'!$H$6:$H$505,$M486)))</f>
        <v/>
      </c>
      <c r="I486" s="34" t="str">
        <f aca="false">IF($M486=0,"",IF(INDEX('Line Detail'!$O$6:$O$505,$M486)="","",INDEX('Line Detail'!$O$6:$O$505,$M486)))</f>
        <v/>
      </c>
      <c r="J486" s="34" t="str">
        <f aca="false">IF($M486=0,"",IF(INDEX('Line Detail'!$R$6:$R$505,$M486)="","",INDEX('Line Detail'!$R$6:$R$505,$M486)))</f>
        <v/>
      </c>
      <c r="K486" s="6" t="str">
        <f aca="false">IF($M486=0,"",IF(INDEX('Line Detail'!$S$6:$S$505,$M486)="","",INDEX('Line Detail'!$S$6:$S$505,$M486)))</f>
        <v/>
      </c>
      <c r="L486" s="1"/>
      <c r="M486" s="63" t="n">
        <f aca="false">IFERROR(MATCH(481,'Line Detail'!$W$6:$W$505,0),0)</f>
        <v>0</v>
      </c>
    </row>
    <row r="487" customFormat="false" ht="15" hidden="false" customHeight="false" outlineLevel="0" collapsed="false">
      <c r="A487" s="13" t="str">
        <f aca="false">IF($M487=0,"",482)</f>
        <v/>
      </c>
      <c r="B487" s="13" t="str">
        <f aca="false">IF($M487=0,"",IF(INDEX('Line Detail'!$B$6:$B$505,$M487)="","",INDEX('Line Detail'!$B$6:$B$505,$M487)))</f>
        <v/>
      </c>
      <c r="C487" s="13" t="str">
        <f aca="false">IF($M487=0,"",IF(INDEX('Line Detail'!$C$6:$C$505,$M487)="","",INDEX('Line Detail'!$C$6:$C$505,$M487)))</f>
        <v/>
      </c>
      <c r="D487" s="13" t="str">
        <f aca="false">IF($M487=0,"",IF(INDEX('Line Detail'!$D$6:$D$505,$M487)="","",INDEX('Line Detail'!$D$6:$D$505,$M487)))</f>
        <v/>
      </c>
      <c r="E487" s="13" t="str">
        <f aca="false">IF($M487=0,"",IF(INDEX('Line Detail'!$E$6:$E$505,$M487)="","",INDEX('Line Detail'!$E$6:$E$505,$M487)))</f>
        <v/>
      </c>
      <c r="F487" s="6" t="str">
        <f aca="false">IF($M487=0,"",IF(INDEX('Line Detail'!$F$6:$F$505,$M487)="","",INDEX('Line Detail'!$F$6:$F$505,$M487)))</f>
        <v/>
      </c>
      <c r="G487" s="62" t="str">
        <f aca="false">IF($M487=0,"",IF(INDEX('Line Detail'!$G$6:$G$505,$M487)="","",INDEX('Line Detail'!$G$6:$G$505,$M487)))</f>
        <v/>
      </c>
      <c r="H487" s="13" t="str">
        <f aca="false">IF($M487=0,"",IF(INDEX('Line Detail'!$H$6:$H$505,$M487)="","",INDEX('Line Detail'!$H$6:$H$505,$M487)))</f>
        <v/>
      </c>
      <c r="I487" s="34" t="str">
        <f aca="false">IF($M487=0,"",IF(INDEX('Line Detail'!$O$6:$O$505,$M487)="","",INDEX('Line Detail'!$O$6:$O$505,$M487)))</f>
        <v/>
      </c>
      <c r="J487" s="34" t="str">
        <f aca="false">IF($M487=0,"",IF(INDEX('Line Detail'!$R$6:$R$505,$M487)="","",INDEX('Line Detail'!$R$6:$R$505,$M487)))</f>
        <v/>
      </c>
      <c r="K487" s="6" t="str">
        <f aca="false">IF($M487=0,"",IF(INDEX('Line Detail'!$S$6:$S$505,$M487)="","",INDEX('Line Detail'!$S$6:$S$505,$M487)))</f>
        <v/>
      </c>
      <c r="L487" s="1"/>
      <c r="M487" s="63" t="n">
        <f aca="false">IFERROR(MATCH(482,'Line Detail'!$W$6:$W$505,0),0)</f>
        <v>0</v>
      </c>
    </row>
    <row r="488" customFormat="false" ht="15" hidden="false" customHeight="false" outlineLevel="0" collapsed="false">
      <c r="A488" s="13" t="str">
        <f aca="false">IF($M488=0,"",483)</f>
        <v/>
      </c>
      <c r="B488" s="13" t="str">
        <f aca="false">IF($M488=0,"",IF(INDEX('Line Detail'!$B$6:$B$505,$M488)="","",INDEX('Line Detail'!$B$6:$B$505,$M488)))</f>
        <v/>
      </c>
      <c r="C488" s="13" t="str">
        <f aca="false">IF($M488=0,"",IF(INDEX('Line Detail'!$C$6:$C$505,$M488)="","",INDEX('Line Detail'!$C$6:$C$505,$M488)))</f>
        <v/>
      </c>
      <c r="D488" s="13" t="str">
        <f aca="false">IF($M488=0,"",IF(INDEX('Line Detail'!$D$6:$D$505,$M488)="","",INDEX('Line Detail'!$D$6:$D$505,$M488)))</f>
        <v/>
      </c>
      <c r="E488" s="13" t="str">
        <f aca="false">IF($M488=0,"",IF(INDEX('Line Detail'!$E$6:$E$505,$M488)="","",INDEX('Line Detail'!$E$6:$E$505,$M488)))</f>
        <v/>
      </c>
      <c r="F488" s="6" t="str">
        <f aca="false">IF($M488=0,"",IF(INDEX('Line Detail'!$F$6:$F$505,$M488)="","",INDEX('Line Detail'!$F$6:$F$505,$M488)))</f>
        <v/>
      </c>
      <c r="G488" s="62" t="str">
        <f aca="false">IF($M488=0,"",IF(INDEX('Line Detail'!$G$6:$G$505,$M488)="","",INDEX('Line Detail'!$G$6:$G$505,$M488)))</f>
        <v/>
      </c>
      <c r="H488" s="13" t="str">
        <f aca="false">IF($M488=0,"",IF(INDEX('Line Detail'!$H$6:$H$505,$M488)="","",INDEX('Line Detail'!$H$6:$H$505,$M488)))</f>
        <v/>
      </c>
      <c r="I488" s="34" t="str">
        <f aca="false">IF($M488=0,"",IF(INDEX('Line Detail'!$O$6:$O$505,$M488)="","",INDEX('Line Detail'!$O$6:$O$505,$M488)))</f>
        <v/>
      </c>
      <c r="J488" s="34" t="str">
        <f aca="false">IF($M488=0,"",IF(INDEX('Line Detail'!$R$6:$R$505,$M488)="","",INDEX('Line Detail'!$R$6:$R$505,$M488)))</f>
        <v/>
      </c>
      <c r="K488" s="6" t="str">
        <f aca="false">IF($M488=0,"",IF(INDEX('Line Detail'!$S$6:$S$505,$M488)="","",INDEX('Line Detail'!$S$6:$S$505,$M488)))</f>
        <v/>
      </c>
      <c r="L488" s="1"/>
      <c r="M488" s="63" t="n">
        <f aca="false">IFERROR(MATCH(483,'Line Detail'!$W$6:$W$505,0),0)</f>
        <v>0</v>
      </c>
    </row>
    <row r="489" customFormat="false" ht="15" hidden="false" customHeight="false" outlineLevel="0" collapsed="false">
      <c r="A489" s="13" t="str">
        <f aca="false">IF($M489=0,"",484)</f>
        <v/>
      </c>
      <c r="B489" s="13" t="str">
        <f aca="false">IF($M489=0,"",IF(INDEX('Line Detail'!$B$6:$B$505,$M489)="","",INDEX('Line Detail'!$B$6:$B$505,$M489)))</f>
        <v/>
      </c>
      <c r="C489" s="13" t="str">
        <f aca="false">IF($M489=0,"",IF(INDEX('Line Detail'!$C$6:$C$505,$M489)="","",INDEX('Line Detail'!$C$6:$C$505,$M489)))</f>
        <v/>
      </c>
      <c r="D489" s="13" t="str">
        <f aca="false">IF($M489=0,"",IF(INDEX('Line Detail'!$D$6:$D$505,$M489)="","",INDEX('Line Detail'!$D$6:$D$505,$M489)))</f>
        <v/>
      </c>
      <c r="E489" s="13" t="str">
        <f aca="false">IF($M489=0,"",IF(INDEX('Line Detail'!$E$6:$E$505,$M489)="","",INDEX('Line Detail'!$E$6:$E$505,$M489)))</f>
        <v/>
      </c>
      <c r="F489" s="6" t="str">
        <f aca="false">IF($M489=0,"",IF(INDEX('Line Detail'!$F$6:$F$505,$M489)="","",INDEX('Line Detail'!$F$6:$F$505,$M489)))</f>
        <v/>
      </c>
      <c r="G489" s="62" t="str">
        <f aca="false">IF($M489=0,"",IF(INDEX('Line Detail'!$G$6:$G$505,$M489)="","",INDEX('Line Detail'!$G$6:$G$505,$M489)))</f>
        <v/>
      </c>
      <c r="H489" s="13" t="str">
        <f aca="false">IF($M489=0,"",IF(INDEX('Line Detail'!$H$6:$H$505,$M489)="","",INDEX('Line Detail'!$H$6:$H$505,$M489)))</f>
        <v/>
      </c>
      <c r="I489" s="34" t="str">
        <f aca="false">IF($M489=0,"",IF(INDEX('Line Detail'!$O$6:$O$505,$M489)="","",INDEX('Line Detail'!$O$6:$O$505,$M489)))</f>
        <v/>
      </c>
      <c r="J489" s="34" t="str">
        <f aca="false">IF($M489=0,"",IF(INDEX('Line Detail'!$R$6:$R$505,$M489)="","",INDEX('Line Detail'!$R$6:$R$505,$M489)))</f>
        <v/>
      </c>
      <c r="K489" s="6" t="str">
        <f aca="false">IF($M489=0,"",IF(INDEX('Line Detail'!$S$6:$S$505,$M489)="","",INDEX('Line Detail'!$S$6:$S$505,$M489)))</f>
        <v/>
      </c>
      <c r="L489" s="1"/>
      <c r="M489" s="63" t="n">
        <f aca="false">IFERROR(MATCH(484,'Line Detail'!$W$6:$W$505,0),0)</f>
        <v>0</v>
      </c>
    </row>
    <row r="490" customFormat="false" ht="15" hidden="false" customHeight="false" outlineLevel="0" collapsed="false">
      <c r="A490" s="13" t="str">
        <f aca="false">IF($M490=0,"",485)</f>
        <v/>
      </c>
      <c r="B490" s="13" t="str">
        <f aca="false">IF($M490=0,"",IF(INDEX('Line Detail'!$B$6:$B$505,$M490)="","",INDEX('Line Detail'!$B$6:$B$505,$M490)))</f>
        <v/>
      </c>
      <c r="C490" s="13" t="str">
        <f aca="false">IF($M490=0,"",IF(INDEX('Line Detail'!$C$6:$C$505,$M490)="","",INDEX('Line Detail'!$C$6:$C$505,$M490)))</f>
        <v/>
      </c>
      <c r="D490" s="13" t="str">
        <f aca="false">IF($M490=0,"",IF(INDEX('Line Detail'!$D$6:$D$505,$M490)="","",INDEX('Line Detail'!$D$6:$D$505,$M490)))</f>
        <v/>
      </c>
      <c r="E490" s="13" t="str">
        <f aca="false">IF($M490=0,"",IF(INDEX('Line Detail'!$E$6:$E$505,$M490)="","",INDEX('Line Detail'!$E$6:$E$505,$M490)))</f>
        <v/>
      </c>
      <c r="F490" s="6" t="str">
        <f aca="false">IF($M490=0,"",IF(INDEX('Line Detail'!$F$6:$F$505,$M490)="","",INDEX('Line Detail'!$F$6:$F$505,$M490)))</f>
        <v/>
      </c>
      <c r="G490" s="62" t="str">
        <f aca="false">IF($M490=0,"",IF(INDEX('Line Detail'!$G$6:$G$505,$M490)="","",INDEX('Line Detail'!$G$6:$G$505,$M490)))</f>
        <v/>
      </c>
      <c r="H490" s="13" t="str">
        <f aca="false">IF($M490=0,"",IF(INDEX('Line Detail'!$H$6:$H$505,$M490)="","",INDEX('Line Detail'!$H$6:$H$505,$M490)))</f>
        <v/>
      </c>
      <c r="I490" s="34" t="str">
        <f aca="false">IF($M490=0,"",IF(INDEX('Line Detail'!$O$6:$O$505,$M490)="","",INDEX('Line Detail'!$O$6:$O$505,$M490)))</f>
        <v/>
      </c>
      <c r="J490" s="34" t="str">
        <f aca="false">IF($M490=0,"",IF(INDEX('Line Detail'!$R$6:$R$505,$M490)="","",INDEX('Line Detail'!$R$6:$R$505,$M490)))</f>
        <v/>
      </c>
      <c r="K490" s="6" t="str">
        <f aca="false">IF($M490=0,"",IF(INDEX('Line Detail'!$S$6:$S$505,$M490)="","",INDEX('Line Detail'!$S$6:$S$505,$M490)))</f>
        <v/>
      </c>
      <c r="L490" s="1"/>
      <c r="M490" s="63" t="n">
        <f aca="false">IFERROR(MATCH(485,'Line Detail'!$W$6:$W$505,0),0)</f>
        <v>0</v>
      </c>
    </row>
    <row r="491" customFormat="false" ht="15" hidden="false" customHeight="false" outlineLevel="0" collapsed="false">
      <c r="A491" s="13" t="str">
        <f aca="false">IF($M491=0,"",486)</f>
        <v/>
      </c>
      <c r="B491" s="13" t="str">
        <f aca="false">IF($M491=0,"",IF(INDEX('Line Detail'!$B$6:$B$505,$M491)="","",INDEX('Line Detail'!$B$6:$B$505,$M491)))</f>
        <v/>
      </c>
      <c r="C491" s="13" t="str">
        <f aca="false">IF($M491=0,"",IF(INDEX('Line Detail'!$C$6:$C$505,$M491)="","",INDEX('Line Detail'!$C$6:$C$505,$M491)))</f>
        <v/>
      </c>
      <c r="D491" s="13" t="str">
        <f aca="false">IF($M491=0,"",IF(INDEX('Line Detail'!$D$6:$D$505,$M491)="","",INDEX('Line Detail'!$D$6:$D$505,$M491)))</f>
        <v/>
      </c>
      <c r="E491" s="13" t="str">
        <f aca="false">IF($M491=0,"",IF(INDEX('Line Detail'!$E$6:$E$505,$M491)="","",INDEX('Line Detail'!$E$6:$E$505,$M491)))</f>
        <v/>
      </c>
      <c r="F491" s="6" t="str">
        <f aca="false">IF($M491=0,"",IF(INDEX('Line Detail'!$F$6:$F$505,$M491)="","",INDEX('Line Detail'!$F$6:$F$505,$M491)))</f>
        <v/>
      </c>
      <c r="G491" s="62" t="str">
        <f aca="false">IF($M491=0,"",IF(INDEX('Line Detail'!$G$6:$G$505,$M491)="","",INDEX('Line Detail'!$G$6:$G$505,$M491)))</f>
        <v/>
      </c>
      <c r="H491" s="13" t="str">
        <f aca="false">IF($M491=0,"",IF(INDEX('Line Detail'!$H$6:$H$505,$M491)="","",INDEX('Line Detail'!$H$6:$H$505,$M491)))</f>
        <v/>
      </c>
      <c r="I491" s="34" t="str">
        <f aca="false">IF($M491=0,"",IF(INDEX('Line Detail'!$O$6:$O$505,$M491)="","",INDEX('Line Detail'!$O$6:$O$505,$M491)))</f>
        <v/>
      </c>
      <c r="J491" s="34" t="str">
        <f aca="false">IF($M491=0,"",IF(INDEX('Line Detail'!$R$6:$R$505,$M491)="","",INDEX('Line Detail'!$R$6:$R$505,$M491)))</f>
        <v/>
      </c>
      <c r="K491" s="6" t="str">
        <f aca="false">IF($M491=0,"",IF(INDEX('Line Detail'!$S$6:$S$505,$M491)="","",INDEX('Line Detail'!$S$6:$S$505,$M491)))</f>
        <v/>
      </c>
      <c r="L491" s="1"/>
      <c r="M491" s="63" t="n">
        <f aca="false">IFERROR(MATCH(486,'Line Detail'!$W$6:$W$505,0),0)</f>
        <v>0</v>
      </c>
    </row>
    <row r="492" customFormat="false" ht="15" hidden="false" customHeight="false" outlineLevel="0" collapsed="false">
      <c r="A492" s="13" t="str">
        <f aca="false">IF($M492=0,"",487)</f>
        <v/>
      </c>
      <c r="B492" s="13" t="str">
        <f aca="false">IF($M492=0,"",IF(INDEX('Line Detail'!$B$6:$B$505,$M492)="","",INDEX('Line Detail'!$B$6:$B$505,$M492)))</f>
        <v/>
      </c>
      <c r="C492" s="13" t="str">
        <f aca="false">IF($M492=0,"",IF(INDEX('Line Detail'!$C$6:$C$505,$M492)="","",INDEX('Line Detail'!$C$6:$C$505,$M492)))</f>
        <v/>
      </c>
      <c r="D492" s="13" t="str">
        <f aca="false">IF($M492=0,"",IF(INDEX('Line Detail'!$D$6:$D$505,$M492)="","",INDEX('Line Detail'!$D$6:$D$505,$M492)))</f>
        <v/>
      </c>
      <c r="E492" s="13" t="str">
        <f aca="false">IF($M492=0,"",IF(INDEX('Line Detail'!$E$6:$E$505,$M492)="","",INDEX('Line Detail'!$E$6:$E$505,$M492)))</f>
        <v/>
      </c>
      <c r="F492" s="6" t="str">
        <f aca="false">IF($M492=0,"",IF(INDEX('Line Detail'!$F$6:$F$505,$M492)="","",INDEX('Line Detail'!$F$6:$F$505,$M492)))</f>
        <v/>
      </c>
      <c r="G492" s="62" t="str">
        <f aca="false">IF($M492=0,"",IF(INDEX('Line Detail'!$G$6:$G$505,$M492)="","",INDEX('Line Detail'!$G$6:$G$505,$M492)))</f>
        <v/>
      </c>
      <c r="H492" s="13" t="str">
        <f aca="false">IF($M492=0,"",IF(INDEX('Line Detail'!$H$6:$H$505,$M492)="","",INDEX('Line Detail'!$H$6:$H$505,$M492)))</f>
        <v/>
      </c>
      <c r="I492" s="34" t="str">
        <f aca="false">IF($M492=0,"",IF(INDEX('Line Detail'!$O$6:$O$505,$M492)="","",INDEX('Line Detail'!$O$6:$O$505,$M492)))</f>
        <v/>
      </c>
      <c r="J492" s="34" t="str">
        <f aca="false">IF($M492=0,"",IF(INDEX('Line Detail'!$R$6:$R$505,$M492)="","",INDEX('Line Detail'!$R$6:$R$505,$M492)))</f>
        <v/>
      </c>
      <c r="K492" s="6" t="str">
        <f aca="false">IF($M492=0,"",IF(INDEX('Line Detail'!$S$6:$S$505,$M492)="","",INDEX('Line Detail'!$S$6:$S$505,$M492)))</f>
        <v/>
      </c>
      <c r="L492" s="1"/>
      <c r="M492" s="63" t="n">
        <f aca="false">IFERROR(MATCH(487,'Line Detail'!$W$6:$W$505,0),0)</f>
        <v>0</v>
      </c>
    </row>
    <row r="493" customFormat="false" ht="15" hidden="false" customHeight="false" outlineLevel="0" collapsed="false">
      <c r="A493" s="13" t="str">
        <f aca="false">IF($M493=0,"",488)</f>
        <v/>
      </c>
      <c r="B493" s="13" t="str">
        <f aca="false">IF($M493=0,"",IF(INDEX('Line Detail'!$B$6:$B$505,$M493)="","",INDEX('Line Detail'!$B$6:$B$505,$M493)))</f>
        <v/>
      </c>
      <c r="C493" s="13" t="str">
        <f aca="false">IF($M493=0,"",IF(INDEX('Line Detail'!$C$6:$C$505,$M493)="","",INDEX('Line Detail'!$C$6:$C$505,$M493)))</f>
        <v/>
      </c>
      <c r="D493" s="13" t="str">
        <f aca="false">IF($M493=0,"",IF(INDEX('Line Detail'!$D$6:$D$505,$M493)="","",INDEX('Line Detail'!$D$6:$D$505,$M493)))</f>
        <v/>
      </c>
      <c r="E493" s="13" t="str">
        <f aca="false">IF($M493=0,"",IF(INDEX('Line Detail'!$E$6:$E$505,$M493)="","",INDEX('Line Detail'!$E$6:$E$505,$M493)))</f>
        <v/>
      </c>
      <c r="F493" s="6" t="str">
        <f aca="false">IF($M493=0,"",IF(INDEX('Line Detail'!$F$6:$F$505,$M493)="","",INDEX('Line Detail'!$F$6:$F$505,$M493)))</f>
        <v/>
      </c>
      <c r="G493" s="62" t="str">
        <f aca="false">IF($M493=0,"",IF(INDEX('Line Detail'!$G$6:$G$505,$M493)="","",INDEX('Line Detail'!$G$6:$G$505,$M493)))</f>
        <v/>
      </c>
      <c r="H493" s="13" t="str">
        <f aca="false">IF($M493=0,"",IF(INDEX('Line Detail'!$H$6:$H$505,$M493)="","",INDEX('Line Detail'!$H$6:$H$505,$M493)))</f>
        <v/>
      </c>
      <c r="I493" s="34" t="str">
        <f aca="false">IF($M493=0,"",IF(INDEX('Line Detail'!$O$6:$O$505,$M493)="","",INDEX('Line Detail'!$O$6:$O$505,$M493)))</f>
        <v/>
      </c>
      <c r="J493" s="34" t="str">
        <f aca="false">IF($M493=0,"",IF(INDEX('Line Detail'!$R$6:$R$505,$M493)="","",INDEX('Line Detail'!$R$6:$R$505,$M493)))</f>
        <v/>
      </c>
      <c r="K493" s="6" t="str">
        <f aca="false">IF($M493=0,"",IF(INDEX('Line Detail'!$S$6:$S$505,$M493)="","",INDEX('Line Detail'!$S$6:$S$505,$M493)))</f>
        <v/>
      </c>
      <c r="L493" s="1"/>
      <c r="M493" s="63" t="n">
        <f aca="false">IFERROR(MATCH(488,'Line Detail'!$W$6:$W$505,0),0)</f>
        <v>0</v>
      </c>
    </row>
    <row r="494" customFormat="false" ht="15" hidden="false" customHeight="false" outlineLevel="0" collapsed="false">
      <c r="A494" s="13" t="str">
        <f aca="false">IF($M494=0,"",489)</f>
        <v/>
      </c>
      <c r="B494" s="13" t="str">
        <f aca="false">IF($M494=0,"",IF(INDEX('Line Detail'!$B$6:$B$505,$M494)="","",INDEX('Line Detail'!$B$6:$B$505,$M494)))</f>
        <v/>
      </c>
      <c r="C494" s="13" t="str">
        <f aca="false">IF($M494=0,"",IF(INDEX('Line Detail'!$C$6:$C$505,$M494)="","",INDEX('Line Detail'!$C$6:$C$505,$M494)))</f>
        <v/>
      </c>
      <c r="D494" s="13" t="str">
        <f aca="false">IF($M494=0,"",IF(INDEX('Line Detail'!$D$6:$D$505,$M494)="","",INDEX('Line Detail'!$D$6:$D$505,$M494)))</f>
        <v/>
      </c>
      <c r="E494" s="13" t="str">
        <f aca="false">IF($M494=0,"",IF(INDEX('Line Detail'!$E$6:$E$505,$M494)="","",INDEX('Line Detail'!$E$6:$E$505,$M494)))</f>
        <v/>
      </c>
      <c r="F494" s="6" t="str">
        <f aca="false">IF($M494=0,"",IF(INDEX('Line Detail'!$F$6:$F$505,$M494)="","",INDEX('Line Detail'!$F$6:$F$505,$M494)))</f>
        <v/>
      </c>
      <c r="G494" s="62" t="str">
        <f aca="false">IF($M494=0,"",IF(INDEX('Line Detail'!$G$6:$G$505,$M494)="","",INDEX('Line Detail'!$G$6:$G$505,$M494)))</f>
        <v/>
      </c>
      <c r="H494" s="13" t="str">
        <f aca="false">IF($M494=0,"",IF(INDEX('Line Detail'!$H$6:$H$505,$M494)="","",INDEX('Line Detail'!$H$6:$H$505,$M494)))</f>
        <v/>
      </c>
      <c r="I494" s="34" t="str">
        <f aca="false">IF($M494=0,"",IF(INDEX('Line Detail'!$O$6:$O$505,$M494)="","",INDEX('Line Detail'!$O$6:$O$505,$M494)))</f>
        <v/>
      </c>
      <c r="J494" s="34" t="str">
        <f aca="false">IF($M494=0,"",IF(INDEX('Line Detail'!$R$6:$R$505,$M494)="","",INDEX('Line Detail'!$R$6:$R$505,$M494)))</f>
        <v/>
      </c>
      <c r="K494" s="6" t="str">
        <f aca="false">IF($M494=0,"",IF(INDEX('Line Detail'!$S$6:$S$505,$M494)="","",INDEX('Line Detail'!$S$6:$S$505,$M494)))</f>
        <v/>
      </c>
      <c r="L494" s="1"/>
      <c r="M494" s="63" t="n">
        <f aca="false">IFERROR(MATCH(489,'Line Detail'!$W$6:$W$505,0),0)</f>
        <v>0</v>
      </c>
    </row>
    <row r="495" customFormat="false" ht="15" hidden="false" customHeight="false" outlineLevel="0" collapsed="false">
      <c r="A495" s="13" t="str">
        <f aca="false">IF($M495=0,"",490)</f>
        <v/>
      </c>
      <c r="B495" s="13" t="str">
        <f aca="false">IF($M495=0,"",IF(INDEX('Line Detail'!$B$6:$B$505,$M495)="","",INDEX('Line Detail'!$B$6:$B$505,$M495)))</f>
        <v/>
      </c>
      <c r="C495" s="13" t="str">
        <f aca="false">IF($M495=0,"",IF(INDEX('Line Detail'!$C$6:$C$505,$M495)="","",INDEX('Line Detail'!$C$6:$C$505,$M495)))</f>
        <v/>
      </c>
      <c r="D495" s="13" t="str">
        <f aca="false">IF($M495=0,"",IF(INDEX('Line Detail'!$D$6:$D$505,$M495)="","",INDEX('Line Detail'!$D$6:$D$505,$M495)))</f>
        <v/>
      </c>
      <c r="E495" s="13" t="str">
        <f aca="false">IF($M495=0,"",IF(INDEX('Line Detail'!$E$6:$E$505,$M495)="","",INDEX('Line Detail'!$E$6:$E$505,$M495)))</f>
        <v/>
      </c>
      <c r="F495" s="6" t="str">
        <f aca="false">IF($M495=0,"",IF(INDEX('Line Detail'!$F$6:$F$505,$M495)="","",INDEX('Line Detail'!$F$6:$F$505,$M495)))</f>
        <v/>
      </c>
      <c r="G495" s="62" t="str">
        <f aca="false">IF($M495=0,"",IF(INDEX('Line Detail'!$G$6:$G$505,$M495)="","",INDEX('Line Detail'!$G$6:$G$505,$M495)))</f>
        <v/>
      </c>
      <c r="H495" s="13" t="str">
        <f aca="false">IF($M495=0,"",IF(INDEX('Line Detail'!$H$6:$H$505,$M495)="","",INDEX('Line Detail'!$H$6:$H$505,$M495)))</f>
        <v/>
      </c>
      <c r="I495" s="34" t="str">
        <f aca="false">IF($M495=0,"",IF(INDEX('Line Detail'!$O$6:$O$505,$M495)="","",INDEX('Line Detail'!$O$6:$O$505,$M495)))</f>
        <v/>
      </c>
      <c r="J495" s="34" t="str">
        <f aca="false">IF($M495=0,"",IF(INDEX('Line Detail'!$R$6:$R$505,$M495)="","",INDEX('Line Detail'!$R$6:$R$505,$M495)))</f>
        <v/>
      </c>
      <c r="K495" s="6" t="str">
        <f aca="false">IF($M495=0,"",IF(INDEX('Line Detail'!$S$6:$S$505,$M495)="","",INDEX('Line Detail'!$S$6:$S$505,$M495)))</f>
        <v/>
      </c>
      <c r="L495" s="1"/>
      <c r="M495" s="63" t="n">
        <f aca="false">IFERROR(MATCH(490,'Line Detail'!$W$6:$W$505,0),0)</f>
        <v>0</v>
      </c>
    </row>
    <row r="496" customFormat="false" ht="15" hidden="false" customHeight="false" outlineLevel="0" collapsed="false">
      <c r="A496" s="13" t="str">
        <f aca="false">IF($M496=0,"",491)</f>
        <v/>
      </c>
      <c r="B496" s="13" t="str">
        <f aca="false">IF($M496=0,"",IF(INDEX('Line Detail'!$B$6:$B$505,$M496)="","",INDEX('Line Detail'!$B$6:$B$505,$M496)))</f>
        <v/>
      </c>
      <c r="C496" s="13" t="str">
        <f aca="false">IF($M496=0,"",IF(INDEX('Line Detail'!$C$6:$C$505,$M496)="","",INDEX('Line Detail'!$C$6:$C$505,$M496)))</f>
        <v/>
      </c>
      <c r="D496" s="13" t="str">
        <f aca="false">IF($M496=0,"",IF(INDEX('Line Detail'!$D$6:$D$505,$M496)="","",INDEX('Line Detail'!$D$6:$D$505,$M496)))</f>
        <v/>
      </c>
      <c r="E496" s="13" t="str">
        <f aca="false">IF($M496=0,"",IF(INDEX('Line Detail'!$E$6:$E$505,$M496)="","",INDEX('Line Detail'!$E$6:$E$505,$M496)))</f>
        <v/>
      </c>
      <c r="F496" s="6" t="str">
        <f aca="false">IF($M496=0,"",IF(INDEX('Line Detail'!$F$6:$F$505,$M496)="","",INDEX('Line Detail'!$F$6:$F$505,$M496)))</f>
        <v/>
      </c>
      <c r="G496" s="62" t="str">
        <f aca="false">IF($M496=0,"",IF(INDEX('Line Detail'!$G$6:$G$505,$M496)="","",INDEX('Line Detail'!$G$6:$G$505,$M496)))</f>
        <v/>
      </c>
      <c r="H496" s="13" t="str">
        <f aca="false">IF($M496=0,"",IF(INDEX('Line Detail'!$H$6:$H$505,$M496)="","",INDEX('Line Detail'!$H$6:$H$505,$M496)))</f>
        <v/>
      </c>
      <c r="I496" s="34" t="str">
        <f aca="false">IF($M496=0,"",IF(INDEX('Line Detail'!$O$6:$O$505,$M496)="","",INDEX('Line Detail'!$O$6:$O$505,$M496)))</f>
        <v/>
      </c>
      <c r="J496" s="34" t="str">
        <f aca="false">IF($M496=0,"",IF(INDEX('Line Detail'!$R$6:$R$505,$M496)="","",INDEX('Line Detail'!$R$6:$R$505,$M496)))</f>
        <v/>
      </c>
      <c r="K496" s="6" t="str">
        <f aca="false">IF($M496=0,"",IF(INDEX('Line Detail'!$S$6:$S$505,$M496)="","",INDEX('Line Detail'!$S$6:$S$505,$M496)))</f>
        <v/>
      </c>
      <c r="L496" s="1"/>
      <c r="M496" s="63" t="n">
        <f aca="false">IFERROR(MATCH(491,'Line Detail'!$W$6:$W$505,0),0)</f>
        <v>0</v>
      </c>
    </row>
    <row r="497" customFormat="false" ht="15" hidden="false" customHeight="false" outlineLevel="0" collapsed="false">
      <c r="A497" s="13" t="str">
        <f aca="false">IF($M497=0,"",492)</f>
        <v/>
      </c>
      <c r="B497" s="13" t="str">
        <f aca="false">IF($M497=0,"",IF(INDEX('Line Detail'!$B$6:$B$505,$M497)="","",INDEX('Line Detail'!$B$6:$B$505,$M497)))</f>
        <v/>
      </c>
      <c r="C497" s="13" t="str">
        <f aca="false">IF($M497=0,"",IF(INDEX('Line Detail'!$C$6:$C$505,$M497)="","",INDEX('Line Detail'!$C$6:$C$505,$M497)))</f>
        <v/>
      </c>
      <c r="D497" s="13" t="str">
        <f aca="false">IF($M497=0,"",IF(INDEX('Line Detail'!$D$6:$D$505,$M497)="","",INDEX('Line Detail'!$D$6:$D$505,$M497)))</f>
        <v/>
      </c>
      <c r="E497" s="13" t="str">
        <f aca="false">IF($M497=0,"",IF(INDEX('Line Detail'!$E$6:$E$505,$M497)="","",INDEX('Line Detail'!$E$6:$E$505,$M497)))</f>
        <v/>
      </c>
      <c r="F497" s="6" t="str">
        <f aca="false">IF($M497=0,"",IF(INDEX('Line Detail'!$F$6:$F$505,$M497)="","",INDEX('Line Detail'!$F$6:$F$505,$M497)))</f>
        <v/>
      </c>
      <c r="G497" s="62" t="str">
        <f aca="false">IF($M497=0,"",IF(INDEX('Line Detail'!$G$6:$G$505,$M497)="","",INDEX('Line Detail'!$G$6:$G$505,$M497)))</f>
        <v/>
      </c>
      <c r="H497" s="13" t="str">
        <f aca="false">IF($M497=0,"",IF(INDEX('Line Detail'!$H$6:$H$505,$M497)="","",INDEX('Line Detail'!$H$6:$H$505,$M497)))</f>
        <v/>
      </c>
      <c r="I497" s="34" t="str">
        <f aca="false">IF($M497=0,"",IF(INDEX('Line Detail'!$O$6:$O$505,$M497)="","",INDEX('Line Detail'!$O$6:$O$505,$M497)))</f>
        <v/>
      </c>
      <c r="J497" s="34" t="str">
        <f aca="false">IF($M497=0,"",IF(INDEX('Line Detail'!$R$6:$R$505,$M497)="","",INDEX('Line Detail'!$R$6:$R$505,$M497)))</f>
        <v/>
      </c>
      <c r="K497" s="6" t="str">
        <f aca="false">IF($M497=0,"",IF(INDEX('Line Detail'!$S$6:$S$505,$M497)="","",INDEX('Line Detail'!$S$6:$S$505,$M497)))</f>
        <v/>
      </c>
      <c r="L497" s="1"/>
      <c r="M497" s="63" t="n">
        <f aca="false">IFERROR(MATCH(492,'Line Detail'!$W$6:$W$505,0),0)</f>
        <v>0</v>
      </c>
    </row>
    <row r="498" customFormat="false" ht="15" hidden="false" customHeight="false" outlineLevel="0" collapsed="false">
      <c r="A498" s="13" t="str">
        <f aca="false">IF($M498=0,"",493)</f>
        <v/>
      </c>
      <c r="B498" s="13" t="str">
        <f aca="false">IF($M498=0,"",IF(INDEX('Line Detail'!$B$6:$B$505,$M498)="","",INDEX('Line Detail'!$B$6:$B$505,$M498)))</f>
        <v/>
      </c>
      <c r="C498" s="13" t="str">
        <f aca="false">IF($M498=0,"",IF(INDEX('Line Detail'!$C$6:$C$505,$M498)="","",INDEX('Line Detail'!$C$6:$C$505,$M498)))</f>
        <v/>
      </c>
      <c r="D498" s="13" t="str">
        <f aca="false">IF($M498=0,"",IF(INDEX('Line Detail'!$D$6:$D$505,$M498)="","",INDEX('Line Detail'!$D$6:$D$505,$M498)))</f>
        <v/>
      </c>
      <c r="E498" s="13" t="str">
        <f aca="false">IF($M498=0,"",IF(INDEX('Line Detail'!$E$6:$E$505,$M498)="","",INDEX('Line Detail'!$E$6:$E$505,$M498)))</f>
        <v/>
      </c>
      <c r="F498" s="6" t="str">
        <f aca="false">IF($M498=0,"",IF(INDEX('Line Detail'!$F$6:$F$505,$M498)="","",INDEX('Line Detail'!$F$6:$F$505,$M498)))</f>
        <v/>
      </c>
      <c r="G498" s="62" t="str">
        <f aca="false">IF($M498=0,"",IF(INDEX('Line Detail'!$G$6:$G$505,$M498)="","",INDEX('Line Detail'!$G$6:$G$505,$M498)))</f>
        <v/>
      </c>
      <c r="H498" s="13" t="str">
        <f aca="false">IF($M498=0,"",IF(INDEX('Line Detail'!$H$6:$H$505,$M498)="","",INDEX('Line Detail'!$H$6:$H$505,$M498)))</f>
        <v/>
      </c>
      <c r="I498" s="34" t="str">
        <f aca="false">IF($M498=0,"",IF(INDEX('Line Detail'!$O$6:$O$505,$M498)="","",INDEX('Line Detail'!$O$6:$O$505,$M498)))</f>
        <v/>
      </c>
      <c r="J498" s="34" t="str">
        <f aca="false">IF($M498=0,"",IF(INDEX('Line Detail'!$R$6:$R$505,$M498)="","",INDEX('Line Detail'!$R$6:$R$505,$M498)))</f>
        <v/>
      </c>
      <c r="K498" s="6" t="str">
        <f aca="false">IF($M498=0,"",IF(INDEX('Line Detail'!$S$6:$S$505,$M498)="","",INDEX('Line Detail'!$S$6:$S$505,$M498)))</f>
        <v/>
      </c>
      <c r="L498" s="1"/>
      <c r="M498" s="63" t="n">
        <f aca="false">IFERROR(MATCH(493,'Line Detail'!$W$6:$W$505,0),0)</f>
        <v>0</v>
      </c>
    </row>
    <row r="499" customFormat="false" ht="15" hidden="false" customHeight="false" outlineLevel="0" collapsed="false">
      <c r="A499" s="13" t="str">
        <f aca="false">IF($M499=0,"",494)</f>
        <v/>
      </c>
      <c r="B499" s="13" t="str">
        <f aca="false">IF($M499=0,"",IF(INDEX('Line Detail'!$B$6:$B$505,$M499)="","",INDEX('Line Detail'!$B$6:$B$505,$M499)))</f>
        <v/>
      </c>
      <c r="C499" s="13" t="str">
        <f aca="false">IF($M499=0,"",IF(INDEX('Line Detail'!$C$6:$C$505,$M499)="","",INDEX('Line Detail'!$C$6:$C$505,$M499)))</f>
        <v/>
      </c>
      <c r="D499" s="13" t="str">
        <f aca="false">IF($M499=0,"",IF(INDEX('Line Detail'!$D$6:$D$505,$M499)="","",INDEX('Line Detail'!$D$6:$D$505,$M499)))</f>
        <v/>
      </c>
      <c r="E499" s="13" t="str">
        <f aca="false">IF($M499=0,"",IF(INDEX('Line Detail'!$E$6:$E$505,$M499)="","",INDEX('Line Detail'!$E$6:$E$505,$M499)))</f>
        <v/>
      </c>
      <c r="F499" s="6" t="str">
        <f aca="false">IF($M499=0,"",IF(INDEX('Line Detail'!$F$6:$F$505,$M499)="","",INDEX('Line Detail'!$F$6:$F$505,$M499)))</f>
        <v/>
      </c>
      <c r="G499" s="62" t="str">
        <f aca="false">IF($M499=0,"",IF(INDEX('Line Detail'!$G$6:$G$505,$M499)="","",INDEX('Line Detail'!$G$6:$G$505,$M499)))</f>
        <v/>
      </c>
      <c r="H499" s="13" t="str">
        <f aca="false">IF($M499=0,"",IF(INDEX('Line Detail'!$H$6:$H$505,$M499)="","",INDEX('Line Detail'!$H$6:$H$505,$M499)))</f>
        <v/>
      </c>
      <c r="I499" s="34" t="str">
        <f aca="false">IF($M499=0,"",IF(INDEX('Line Detail'!$O$6:$O$505,$M499)="","",INDEX('Line Detail'!$O$6:$O$505,$M499)))</f>
        <v/>
      </c>
      <c r="J499" s="34" t="str">
        <f aca="false">IF($M499=0,"",IF(INDEX('Line Detail'!$R$6:$R$505,$M499)="","",INDEX('Line Detail'!$R$6:$R$505,$M499)))</f>
        <v/>
      </c>
      <c r="K499" s="6" t="str">
        <f aca="false">IF($M499=0,"",IF(INDEX('Line Detail'!$S$6:$S$505,$M499)="","",INDEX('Line Detail'!$S$6:$S$505,$M499)))</f>
        <v/>
      </c>
      <c r="L499" s="1"/>
      <c r="M499" s="63" t="n">
        <f aca="false">IFERROR(MATCH(494,'Line Detail'!$W$6:$W$505,0),0)</f>
        <v>0</v>
      </c>
    </row>
    <row r="500" customFormat="false" ht="15" hidden="false" customHeight="false" outlineLevel="0" collapsed="false">
      <c r="A500" s="13" t="str">
        <f aca="false">IF($M500=0,"",495)</f>
        <v/>
      </c>
      <c r="B500" s="13" t="str">
        <f aca="false">IF($M500=0,"",IF(INDEX('Line Detail'!$B$6:$B$505,$M500)="","",INDEX('Line Detail'!$B$6:$B$505,$M500)))</f>
        <v/>
      </c>
      <c r="C500" s="13" t="str">
        <f aca="false">IF($M500=0,"",IF(INDEX('Line Detail'!$C$6:$C$505,$M500)="","",INDEX('Line Detail'!$C$6:$C$505,$M500)))</f>
        <v/>
      </c>
      <c r="D500" s="13" t="str">
        <f aca="false">IF($M500=0,"",IF(INDEX('Line Detail'!$D$6:$D$505,$M500)="","",INDEX('Line Detail'!$D$6:$D$505,$M500)))</f>
        <v/>
      </c>
      <c r="E500" s="13" t="str">
        <f aca="false">IF($M500=0,"",IF(INDEX('Line Detail'!$E$6:$E$505,$M500)="","",INDEX('Line Detail'!$E$6:$E$505,$M500)))</f>
        <v/>
      </c>
      <c r="F500" s="6" t="str">
        <f aca="false">IF($M500=0,"",IF(INDEX('Line Detail'!$F$6:$F$505,$M500)="","",INDEX('Line Detail'!$F$6:$F$505,$M500)))</f>
        <v/>
      </c>
      <c r="G500" s="62" t="str">
        <f aca="false">IF($M500=0,"",IF(INDEX('Line Detail'!$G$6:$G$505,$M500)="","",INDEX('Line Detail'!$G$6:$G$505,$M500)))</f>
        <v/>
      </c>
      <c r="H500" s="13" t="str">
        <f aca="false">IF($M500=0,"",IF(INDEX('Line Detail'!$H$6:$H$505,$M500)="","",INDEX('Line Detail'!$H$6:$H$505,$M500)))</f>
        <v/>
      </c>
      <c r="I500" s="34" t="str">
        <f aca="false">IF($M500=0,"",IF(INDEX('Line Detail'!$O$6:$O$505,$M500)="","",INDEX('Line Detail'!$O$6:$O$505,$M500)))</f>
        <v/>
      </c>
      <c r="J500" s="34" t="str">
        <f aca="false">IF($M500=0,"",IF(INDEX('Line Detail'!$R$6:$R$505,$M500)="","",INDEX('Line Detail'!$R$6:$R$505,$M500)))</f>
        <v/>
      </c>
      <c r="K500" s="6" t="str">
        <f aca="false">IF($M500=0,"",IF(INDEX('Line Detail'!$S$6:$S$505,$M500)="","",INDEX('Line Detail'!$S$6:$S$505,$M500)))</f>
        <v/>
      </c>
      <c r="L500" s="1"/>
      <c r="M500" s="63" t="n">
        <f aca="false">IFERROR(MATCH(495,'Line Detail'!$W$6:$W$505,0),0)</f>
        <v>0</v>
      </c>
    </row>
    <row r="501" customFormat="false" ht="15" hidden="false" customHeight="false" outlineLevel="0" collapsed="false">
      <c r="A501" s="13" t="str">
        <f aca="false">IF($M501=0,"",496)</f>
        <v/>
      </c>
      <c r="B501" s="13" t="str">
        <f aca="false">IF($M501=0,"",IF(INDEX('Line Detail'!$B$6:$B$505,$M501)="","",INDEX('Line Detail'!$B$6:$B$505,$M501)))</f>
        <v/>
      </c>
      <c r="C501" s="13" t="str">
        <f aca="false">IF($M501=0,"",IF(INDEX('Line Detail'!$C$6:$C$505,$M501)="","",INDEX('Line Detail'!$C$6:$C$505,$M501)))</f>
        <v/>
      </c>
      <c r="D501" s="13" t="str">
        <f aca="false">IF($M501=0,"",IF(INDEX('Line Detail'!$D$6:$D$505,$M501)="","",INDEX('Line Detail'!$D$6:$D$505,$M501)))</f>
        <v/>
      </c>
      <c r="E501" s="13" t="str">
        <f aca="false">IF($M501=0,"",IF(INDEX('Line Detail'!$E$6:$E$505,$M501)="","",INDEX('Line Detail'!$E$6:$E$505,$M501)))</f>
        <v/>
      </c>
      <c r="F501" s="6" t="str">
        <f aca="false">IF($M501=0,"",IF(INDEX('Line Detail'!$F$6:$F$505,$M501)="","",INDEX('Line Detail'!$F$6:$F$505,$M501)))</f>
        <v/>
      </c>
      <c r="G501" s="62" t="str">
        <f aca="false">IF($M501=0,"",IF(INDEX('Line Detail'!$G$6:$G$505,$M501)="","",INDEX('Line Detail'!$G$6:$G$505,$M501)))</f>
        <v/>
      </c>
      <c r="H501" s="13" t="str">
        <f aca="false">IF($M501=0,"",IF(INDEX('Line Detail'!$H$6:$H$505,$M501)="","",INDEX('Line Detail'!$H$6:$H$505,$M501)))</f>
        <v/>
      </c>
      <c r="I501" s="34" t="str">
        <f aca="false">IF($M501=0,"",IF(INDEX('Line Detail'!$O$6:$O$505,$M501)="","",INDEX('Line Detail'!$O$6:$O$505,$M501)))</f>
        <v/>
      </c>
      <c r="J501" s="34" t="str">
        <f aca="false">IF($M501=0,"",IF(INDEX('Line Detail'!$R$6:$R$505,$M501)="","",INDEX('Line Detail'!$R$6:$R$505,$M501)))</f>
        <v/>
      </c>
      <c r="K501" s="6" t="str">
        <f aca="false">IF($M501=0,"",IF(INDEX('Line Detail'!$S$6:$S$505,$M501)="","",INDEX('Line Detail'!$S$6:$S$505,$M501)))</f>
        <v/>
      </c>
      <c r="L501" s="1"/>
      <c r="M501" s="63" t="n">
        <f aca="false">IFERROR(MATCH(496,'Line Detail'!$W$6:$W$505,0),0)</f>
        <v>0</v>
      </c>
    </row>
    <row r="502" customFormat="false" ht="15" hidden="false" customHeight="false" outlineLevel="0" collapsed="false">
      <c r="A502" s="13" t="str">
        <f aca="false">IF($M502=0,"",497)</f>
        <v/>
      </c>
      <c r="B502" s="13" t="str">
        <f aca="false">IF($M502=0,"",IF(INDEX('Line Detail'!$B$6:$B$505,$M502)="","",INDEX('Line Detail'!$B$6:$B$505,$M502)))</f>
        <v/>
      </c>
      <c r="C502" s="13" t="str">
        <f aca="false">IF($M502=0,"",IF(INDEX('Line Detail'!$C$6:$C$505,$M502)="","",INDEX('Line Detail'!$C$6:$C$505,$M502)))</f>
        <v/>
      </c>
      <c r="D502" s="13" t="str">
        <f aca="false">IF($M502=0,"",IF(INDEX('Line Detail'!$D$6:$D$505,$M502)="","",INDEX('Line Detail'!$D$6:$D$505,$M502)))</f>
        <v/>
      </c>
      <c r="E502" s="13" t="str">
        <f aca="false">IF($M502=0,"",IF(INDEX('Line Detail'!$E$6:$E$505,$M502)="","",INDEX('Line Detail'!$E$6:$E$505,$M502)))</f>
        <v/>
      </c>
      <c r="F502" s="6" t="str">
        <f aca="false">IF($M502=0,"",IF(INDEX('Line Detail'!$F$6:$F$505,$M502)="","",INDEX('Line Detail'!$F$6:$F$505,$M502)))</f>
        <v/>
      </c>
      <c r="G502" s="62" t="str">
        <f aca="false">IF($M502=0,"",IF(INDEX('Line Detail'!$G$6:$G$505,$M502)="","",INDEX('Line Detail'!$G$6:$G$505,$M502)))</f>
        <v/>
      </c>
      <c r="H502" s="13" t="str">
        <f aca="false">IF($M502=0,"",IF(INDEX('Line Detail'!$H$6:$H$505,$M502)="","",INDEX('Line Detail'!$H$6:$H$505,$M502)))</f>
        <v/>
      </c>
      <c r="I502" s="34" t="str">
        <f aca="false">IF($M502=0,"",IF(INDEX('Line Detail'!$O$6:$O$505,$M502)="","",INDEX('Line Detail'!$O$6:$O$505,$M502)))</f>
        <v/>
      </c>
      <c r="J502" s="34" t="str">
        <f aca="false">IF($M502=0,"",IF(INDEX('Line Detail'!$R$6:$R$505,$M502)="","",INDEX('Line Detail'!$R$6:$R$505,$M502)))</f>
        <v/>
      </c>
      <c r="K502" s="6" t="str">
        <f aca="false">IF($M502=0,"",IF(INDEX('Line Detail'!$S$6:$S$505,$M502)="","",INDEX('Line Detail'!$S$6:$S$505,$M502)))</f>
        <v/>
      </c>
      <c r="L502" s="1"/>
      <c r="M502" s="63" t="n">
        <f aca="false">IFERROR(MATCH(497,'Line Detail'!$W$6:$W$505,0),0)</f>
        <v>0</v>
      </c>
    </row>
    <row r="503" customFormat="false" ht="15" hidden="false" customHeight="false" outlineLevel="0" collapsed="false">
      <c r="A503" s="13" t="str">
        <f aca="false">IF($M503=0,"",498)</f>
        <v/>
      </c>
      <c r="B503" s="13" t="str">
        <f aca="false">IF($M503=0,"",IF(INDEX('Line Detail'!$B$6:$B$505,$M503)="","",INDEX('Line Detail'!$B$6:$B$505,$M503)))</f>
        <v/>
      </c>
      <c r="C503" s="13" t="str">
        <f aca="false">IF($M503=0,"",IF(INDEX('Line Detail'!$C$6:$C$505,$M503)="","",INDEX('Line Detail'!$C$6:$C$505,$M503)))</f>
        <v/>
      </c>
      <c r="D503" s="13" t="str">
        <f aca="false">IF($M503=0,"",IF(INDEX('Line Detail'!$D$6:$D$505,$M503)="","",INDEX('Line Detail'!$D$6:$D$505,$M503)))</f>
        <v/>
      </c>
      <c r="E503" s="13" t="str">
        <f aca="false">IF($M503=0,"",IF(INDEX('Line Detail'!$E$6:$E$505,$M503)="","",INDEX('Line Detail'!$E$6:$E$505,$M503)))</f>
        <v/>
      </c>
      <c r="F503" s="6" t="str">
        <f aca="false">IF($M503=0,"",IF(INDEX('Line Detail'!$F$6:$F$505,$M503)="","",INDEX('Line Detail'!$F$6:$F$505,$M503)))</f>
        <v/>
      </c>
      <c r="G503" s="62" t="str">
        <f aca="false">IF($M503=0,"",IF(INDEX('Line Detail'!$G$6:$G$505,$M503)="","",INDEX('Line Detail'!$G$6:$G$505,$M503)))</f>
        <v/>
      </c>
      <c r="H503" s="13" t="str">
        <f aca="false">IF($M503=0,"",IF(INDEX('Line Detail'!$H$6:$H$505,$M503)="","",INDEX('Line Detail'!$H$6:$H$505,$M503)))</f>
        <v/>
      </c>
      <c r="I503" s="34" t="str">
        <f aca="false">IF($M503=0,"",IF(INDEX('Line Detail'!$O$6:$O$505,$M503)="","",INDEX('Line Detail'!$O$6:$O$505,$M503)))</f>
        <v/>
      </c>
      <c r="J503" s="34" t="str">
        <f aca="false">IF($M503=0,"",IF(INDEX('Line Detail'!$R$6:$R$505,$M503)="","",INDEX('Line Detail'!$R$6:$R$505,$M503)))</f>
        <v/>
      </c>
      <c r="K503" s="6" t="str">
        <f aca="false">IF($M503=0,"",IF(INDEX('Line Detail'!$S$6:$S$505,$M503)="","",INDEX('Line Detail'!$S$6:$S$505,$M503)))</f>
        <v/>
      </c>
      <c r="L503" s="1"/>
      <c r="M503" s="63" t="n">
        <f aca="false">IFERROR(MATCH(498,'Line Detail'!$W$6:$W$505,0),0)</f>
        <v>0</v>
      </c>
    </row>
    <row r="504" customFormat="false" ht="15" hidden="false" customHeight="false" outlineLevel="0" collapsed="false">
      <c r="A504" s="13" t="str">
        <f aca="false">IF($M504=0,"",499)</f>
        <v/>
      </c>
      <c r="B504" s="13" t="str">
        <f aca="false">IF($M504=0,"",IF(INDEX('Line Detail'!$B$6:$B$505,$M504)="","",INDEX('Line Detail'!$B$6:$B$505,$M504)))</f>
        <v/>
      </c>
      <c r="C504" s="13" t="str">
        <f aca="false">IF($M504=0,"",IF(INDEX('Line Detail'!$C$6:$C$505,$M504)="","",INDEX('Line Detail'!$C$6:$C$505,$M504)))</f>
        <v/>
      </c>
      <c r="D504" s="13" t="str">
        <f aca="false">IF($M504=0,"",IF(INDEX('Line Detail'!$D$6:$D$505,$M504)="","",INDEX('Line Detail'!$D$6:$D$505,$M504)))</f>
        <v/>
      </c>
      <c r="E504" s="13" t="str">
        <f aca="false">IF($M504=0,"",IF(INDEX('Line Detail'!$E$6:$E$505,$M504)="","",INDEX('Line Detail'!$E$6:$E$505,$M504)))</f>
        <v/>
      </c>
      <c r="F504" s="6" t="str">
        <f aca="false">IF($M504=0,"",IF(INDEX('Line Detail'!$F$6:$F$505,$M504)="","",INDEX('Line Detail'!$F$6:$F$505,$M504)))</f>
        <v/>
      </c>
      <c r="G504" s="62" t="str">
        <f aca="false">IF($M504=0,"",IF(INDEX('Line Detail'!$G$6:$G$505,$M504)="","",INDEX('Line Detail'!$G$6:$G$505,$M504)))</f>
        <v/>
      </c>
      <c r="H504" s="13" t="str">
        <f aca="false">IF($M504=0,"",IF(INDEX('Line Detail'!$H$6:$H$505,$M504)="","",INDEX('Line Detail'!$H$6:$H$505,$M504)))</f>
        <v/>
      </c>
      <c r="I504" s="34" t="str">
        <f aca="false">IF($M504=0,"",IF(INDEX('Line Detail'!$O$6:$O$505,$M504)="","",INDEX('Line Detail'!$O$6:$O$505,$M504)))</f>
        <v/>
      </c>
      <c r="J504" s="34" t="str">
        <f aca="false">IF($M504=0,"",IF(INDEX('Line Detail'!$R$6:$R$505,$M504)="","",INDEX('Line Detail'!$R$6:$R$505,$M504)))</f>
        <v/>
      </c>
      <c r="K504" s="6" t="str">
        <f aca="false">IF($M504=0,"",IF(INDEX('Line Detail'!$S$6:$S$505,$M504)="","",INDEX('Line Detail'!$S$6:$S$505,$M504)))</f>
        <v/>
      </c>
      <c r="L504" s="1"/>
      <c r="M504" s="63" t="n">
        <f aca="false">IFERROR(MATCH(499,'Line Detail'!$W$6:$W$505,0),0)</f>
        <v>0</v>
      </c>
    </row>
    <row r="505" customFormat="false" ht="15" hidden="false" customHeight="false" outlineLevel="0" collapsed="false">
      <c r="A505" s="13" t="str">
        <f aca="false">IF($M505=0,"",500)</f>
        <v/>
      </c>
      <c r="B505" s="13" t="str">
        <f aca="false">IF($M505=0,"",IF(INDEX('Line Detail'!$B$6:$B$505,$M505)="","",INDEX('Line Detail'!$B$6:$B$505,$M505)))</f>
        <v/>
      </c>
      <c r="C505" s="13" t="str">
        <f aca="false">IF($M505=0,"",IF(INDEX('Line Detail'!$C$6:$C$505,$M505)="","",INDEX('Line Detail'!$C$6:$C$505,$M505)))</f>
        <v/>
      </c>
      <c r="D505" s="13" t="str">
        <f aca="false">IF($M505=0,"",IF(INDEX('Line Detail'!$D$6:$D$505,$M505)="","",INDEX('Line Detail'!$D$6:$D$505,$M505)))</f>
        <v/>
      </c>
      <c r="E505" s="13" t="str">
        <f aca="false">IF($M505=0,"",IF(INDEX('Line Detail'!$E$6:$E$505,$M505)="","",INDEX('Line Detail'!$E$6:$E$505,$M505)))</f>
        <v/>
      </c>
      <c r="F505" s="6" t="str">
        <f aca="false">IF($M505=0,"",IF(INDEX('Line Detail'!$F$6:$F$505,$M505)="","",INDEX('Line Detail'!$F$6:$F$505,$M505)))</f>
        <v/>
      </c>
      <c r="G505" s="62" t="str">
        <f aca="false">IF($M505=0,"",IF(INDEX('Line Detail'!$G$6:$G$505,$M505)="","",INDEX('Line Detail'!$G$6:$G$505,$M505)))</f>
        <v/>
      </c>
      <c r="H505" s="13" t="str">
        <f aca="false">IF($M505=0,"",IF(INDEX('Line Detail'!$H$6:$H$505,$M505)="","",INDEX('Line Detail'!$H$6:$H$505,$M505)))</f>
        <v/>
      </c>
      <c r="I505" s="34" t="str">
        <f aca="false">IF($M505=0,"",IF(INDEX('Line Detail'!$O$6:$O$505,$M505)="","",INDEX('Line Detail'!$O$6:$O$505,$M505)))</f>
        <v/>
      </c>
      <c r="J505" s="34" t="str">
        <f aca="false">IF($M505=0,"",IF(INDEX('Line Detail'!$R$6:$R$505,$M505)="","",INDEX('Line Detail'!$R$6:$R$505,$M505)))</f>
        <v/>
      </c>
      <c r="K505" s="6" t="str">
        <f aca="false">IF($M505=0,"",IF(INDEX('Line Detail'!$S$6:$S$505,$M505)="","",INDEX('Line Detail'!$S$6:$S$505,$M505)))</f>
        <v/>
      </c>
      <c r="L505" s="1"/>
      <c r="M505" s="63" t="n">
        <f aca="false">IFERROR(MATCH(500,'Line Detail'!$W$6:$W$505,0),0)</f>
        <v>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K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40"/>
    <col collapsed="false" customWidth="true" hidden="false" outlineLevel="0" max="11" min="2" style="0" width="14"/>
  </cols>
  <sheetData>
    <row r="1" customFormat="false" ht="19.7" hidden="false" customHeight="false" outlineLevel="0" collapsed="false">
      <c r="A1" s="2" t="s">
        <v>323</v>
      </c>
      <c r="B1" s="1"/>
      <c r="C1" s="1"/>
      <c r="D1" s="1"/>
      <c r="E1" s="1"/>
      <c r="F1" s="1"/>
      <c r="G1" s="1"/>
      <c r="H1" s="1"/>
      <c r="I1" s="1"/>
      <c r="J1" s="1"/>
      <c r="K1" s="1"/>
    </row>
    <row r="2" customFormat="false" ht="15" hidden="false" customHeight="false" outlineLevel="0" collapsed="false">
      <c r="A2" s="10" t="s">
        <v>324</v>
      </c>
      <c r="B2" s="1"/>
      <c r="C2" s="1"/>
      <c r="D2" s="1"/>
      <c r="E2" s="1"/>
      <c r="F2" s="1"/>
      <c r="G2" s="1"/>
      <c r="H2" s="1"/>
      <c r="I2" s="1"/>
      <c r="J2" s="1"/>
      <c r="K2" s="1"/>
    </row>
    <row r="3" customFormat="false" ht="15" hidden="false" customHeight="false" outlineLevel="0" collapsed="false">
      <c r="A3" s="5" t="s">
        <v>325</v>
      </c>
      <c r="B3" s="14" t="s">
        <v>326</v>
      </c>
      <c r="C3" s="1"/>
      <c r="D3" s="1"/>
      <c r="E3" s="1"/>
      <c r="F3" s="1"/>
      <c r="G3" s="1"/>
      <c r="H3" s="1"/>
      <c r="I3" s="1"/>
      <c r="J3" s="1"/>
      <c r="K3" s="1"/>
    </row>
    <row r="4" customFormat="false" ht="15" hidden="false" customHeight="false" outlineLevel="0" collapsed="false">
      <c r="A4" s="1"/>
      <c r="B4" s="1"/>
      <c r="C4" s="1"/>
      <c r="D4" s="1"/>
      <c r="E4" s="1"/>
      <c r="F4" s="1"/>
      <c r="G4" s="1"/>
      <c r="H4" s="1"/>
      <c r="I4" s="1"/>
      <c r="J4" s="1"/>
      <c r="K4" s="1"/>
    </row>
    <row r="5" customFormat="false" ht="30" hidden="false" customHeight="true" outlineLevel="0" collapsed="false">
      <c r="A5" s="28" t="s">
        <v>307</v>
      </c>
      <c r="B5" s="28" t="s">
        <v>327</v>
      </c>
      <c r="C5" s="28" t="s">
        <v>328</v>
      </c>
      <c r="D5" s="28" t="s">
        <v>329</v>
      </c>
      <c r="E5" s="28" t="s">
        <v>330</v>
      </c>
      <c r="F5" s="28" t="s">
        <v>331</v>
      </c>
      <c r="G5" s="28" t="s">
        <v>332</v>
      </c>
      <c r="H5" s="28" t="s">
        <v>333</v>
      </c>
      <c r="I5" s="28" t="s">
        <v>334</v>
      </c>
      <c r="J5" s="28" t="s">
        <v>335</v>
      </c>
      <c r="K5" s="28" t="s">
        <v>336</v>
      </c>
    </row>
    <row r="6" customFormat="false" ht="15" hidden="false" customHeight="false" outlineLevel="0" collapsed="false">
      <c r="A6" s="1" t="str">
        <f aca="false">IF(Lists!$B$2&lt;&gt;"",Lists!$B$2,"")</f>
        <v>01 52 00 Temporary Storage</v>
      </c>
      <c r="B6" s="59" t="n">
        <f aca="false">IF(Lists!$B$2&lt;&gt;"",SUMIFS('Line Detail'!$P$6:$P$505,'Line Detail'!$C$6:$C$505,Lists!$B$2,'Line Detail'!$B$6:$B$505,"Base"),0)</f>
        <v>0</v>
      </c>
      <c r="C6" s="59" t="n">
        <f aca="false">IF(Lists!$B$2&lt;&gt;"",SUMIFS('Line Detail'!$Q$6:$Q$505,'Line Detail'!$C$6:$C$505,Lists!$B$2,'Line Detail'!$B$6:$B$505,"Base"),0)</f>
        <v>0</v>
      </c>
      <c r="D6" s="59" t="n">
        <f aca="false">B6+C6</f>
        <v>0</v>
      </c>
      <c r="E6" s="20"/>
      <c r="F6" s="20"/>
      <c r="G6" s="59" t="n">
        <f aca="false">N(E6)+N(F6)</f>
        <v>0</v>
      </c>
      <c r="H6" s="59" t="n">
        <f aca="false">B6-N(E6)</f>
        <v>0</v>
      </c>
      <c r="I6" s="59" t="n">
        <f aca="false">C6-N(F6)</f>
        <v>0</v>
      </c>
      <c r="J6" s="59" t="n">
        <f aca="false">D6-G6</f>
        <v>0</v>
      </c>
      <c r="K6" s="64" t="str">
        <f aca="false">IF(G6=0,"",J6/G6)</f>
        <v/>
      </c>
    </row>
    <row r="7" customFormat="false" ht="15" hidden="false" customHeight="false" outlineLevel="0" collapsed="false">
      <c r="A7" s="1" t="str">
        <f aca="false">IF(Lists!$B$3&lt;&gt;"",Lists!$B$3,"")</f>
        <v>01 54 16 Temporary Hoisting</v>
      </c>
      <c r="B7" s="59" t="n">
        <f aca="false">IF(Lists!$B$3&lt;&gt;"",SUMIFS('Line Detail'!$P$6:$P$505,'Line Detail'!$C$6:$C$505,Lists!$B$3,'Line Detail'!$B$6:$B$505,"Base"),0)</f>
        <v>0</v>
      </c>
      <c r="C7" s="59" t="n">
        <f aca="false">IF(Lists!$B$3&lt;&gt;"",SUMIFS('Line Detail'!$Q$6:$Q$505,'Line Detail'!$C$6:$C$505,Lists!$B$3,'Line Detail'!$B$6:$B$505,"Base"),0)</f>
        <v>0</v>
      </c>
      <c r="D7" s="59" t="n">
        <f aca="false">B7+C7</f>
        <v>0</v>
      </c>
      <c r="E7" s="20"/>
      <c r="F7" s="20"/>
      <c r="G7" s="59" t="n">
        <f aca="false">N(E7)+N(F7)</f>
        <v>0</v>
      </c>
      <c r="H7" s="59" t="n">
        <f aca="false">B7-N(E7)</f>
        <v>0</v>
      </c>
      <c r="I7" s="59" t="n">
        <f aca="false">C7-N(F7)</f>
        <v>0</v>
      </c>
      <c r="J7" s="59" t="n">
        <f aca="false">D7-G7</f>
        <v>0</v>
      </c>
      <c r="K7" s="64" t="str">
        <f aca="false">IF(G7=0,"",J7/G7)</f>
        <v/>
      </c>
    </row>
    <row r="8" customFormat="false" ht="15" hidden="false" customHeight="false" outlineLevel="0" collapsed="false">
      <c r="A8" s="1" t="str">
        <f aca="false">IF(Lists!$B$4&lt;&gt;"",Lists!$B$4,"")</f>
        <v>06 10 00 Rough Carpentry</v>
      </c>
      <c r="B8" s="59" t="n">
        <f aca="false">IF(Lists!$B$4&lt;&gt;"",SUMIFS('Line Detail'!$P$6:$P$505,'Line Detail'!$C$6:$C$505,Lists!$B$4,'Line Detail'!$B$6:$B$505,"Base"),0)</f>
        <v>0</v>
      </c>
      <c r="C8" s="59" t="n">
        <f aca="false">IF(Lists!$B$4&lt;&gt;"",SUMIFS('Line Detail'!$Q$6:$Q$505,'Line Detail'!$C$6:$C$505,Lists!$B$4,'Line Detail'!$B$6:$B$505,"Base"),0)</f>
        <v>0</v>
      </c>
      <c r="D8" s="59" t="n">
        <f aca="false">B8+C8</f>
        <v>0</v>
      </c>
      <c r="E8" s="20"/>
      <c r="F8" s="20"/>
      <c r="G8" s="59" t="n">
        <f aca="false">N(E8)+N(F8)</f>
        <v>0</v>
      </c>
      <c r="H8" s="59" t="n">
        <f aca="false">B8-N(E8)</f>
        <v>0</v>
      </c>
      <c r="I8" s="59" t="n">
        <f aca="false">C8-N(F8)</f>
        <v>0</v>
      </c>
      <c r="J8" s="59" t="n">
        <f aca="false">D8-G8</f>
        <v>0</v>
      </c>
      <c r="K8" s="64" t="str">
        <f aca="false">IF(G8=0,"",J8/G8)</f>
        <v/>
      </c>
    </row>
    <row r="9" customFormat="false" ht="15" hidden="false" customHeight="false" outlineLevel="0" collapsed="false">
      <c r="A9" s="1" t="str">
        <f aca="false">IF(Lists!$B$5&lt;&gt;"",Lists!$B$5,"")</f>
        <v>06 20 00 Interior Trim / Finish Carpentry</v>
      </c>
      <c r="B9" s="59" t="n">
        <f aca="false">IF(Lists!$B$5&lt;&gt;"",SUMIFS('Line Detail'!$P$6:$P$505,'Line Detail'!$C$6:$C$505,Lists!$B$5,'Line Detail'!$B$6:$B$505,"Base"),0)</f>
        <v>1975.625</v>
      </c>
      <c r="C9" s="59" t="n">
        <f aca="false">IF(Lists!$B$5&lt;&gt;"",SUMIFS('Line Detail'!$Q$6:$Q$505,'Line Detail'!$C$6:$C$505,Lists!$B$5,'Line Detail'!$B$6:$B$505,"Base"),0)</f>
        <v>1294.11764705882</v>
      </c>
      <c r="D9" s="59" t="n">
        <f aca="false">B9+C9</f>
        <v>3269.74264705882</v>
      </c>
      <c r="E9" s="20"/>
      <c r="F9" s="20"/>
      <c r="G9" s="59" t="n">
        <f aca="false">N(E9)+N(F9)</f>
        <v>0</v>
      </c>
      <c r="H9" s="59" t="n">
        <f aca="false">B9-N(E9)</f>
        <v>1975.625</v>
      </c>
      <c r="I9" s="59" t="n">
        <f aca="false">C9-N(F9)</f>
        <v>1294.11764705882</v>
      </c>
      <c r="J9" s="59" t="n">
        <f aca="false">D9-G9</f>
        <v>3269.74264705882</v>
      </c>
      <c r="K9" s="64" t="str">
        <f aca="false">IF(G9=0,"",J9/G9)</f>
        <v/>
      </c>
    </row>
    <row r="10" customFormat="false" ht="15" hidden="false" customHeight="false" outlineLevel="0" collapsed="false">
      <c r="A10" s="1" t="str">
        <f aca="false">IF(Lists!$B$6&lt;&gt;"",Lists!$B$6,"")</f>
        <v>06 40 00 Architectural Woodwork</v>
      </c>
      <c r="B10" s="59" t="n">
        <f aca="false">IF(Lists!$B$6&lt;&gt;"",SUMIFS('Line Detail'!$P$6:$P$505,'Line Detail'!$C$6:$C$505,Lists!$B$6,'Line Detail'!$B$6:$B$505,"Base"),0)</f>
        <v>0</v>
      </c>
      <c r="C10" s="59" t="n">
        <f aca="false">IF(Lists!$B$6&lt;&gt;"",SUMIFS('Line Detail'!$Q$6:$Q$505,'Line Detail'!$C$6:$C$505,Lists!$B$6,'Line Detail'!$B$6:$B$505,"Base"),0)</f>
        <v>0</v>
      </c>
      <c r="D10" s="59" t="n">
        <f aca="false">B10+C10</f>
        <v>0</v>
      </c>
      <c r="E10" s="20"/>
      <c r="F10" s="20"/>
      <c r="G10" s="59" t="n">
        <f aca="false">N(E10)+N(F10)</f>
        <v>0</v>
      </c>
      <c r="H10" s="59" t="n">
        <f aca="false">B10-N(E10)</f>
        <v>0</v>
      </c>
      <c r="I10" s="59" t="n">
        <f aca="false">C10-N(F10)</f>
        <v>0</v>
      </c>
      <c r="J10" s="59" t="n">
        <f aca="false">D10-G10</f>
        <v>0</v>
      </c>
      <c r="K10" s="64" t="str">
        <f aca="false">IF(G10=0,"",J10/G10)</f>
        <v/>
      </c>
    </row>
    <row r="11" customFormat="false" ht="15" hidden="false" customHeight="false" outlineLevel="0" collapsed="false">
      <c r="A11" s="1" t="str">
        <f aca="false">IF(Lists!$B$7&lt;&gt;"",Lists!$B$7,"")</f>
        <v>08 11 00 Hollow Metal Frames &amp; Doors</v>
      </c>
      <c r="B11" s="59" t="n">
        <f aca="false">IF(Lists!$B$7&lt;&gt;"",SUMIFS('Line Detail'!$P$6:$P$505,'Line Detail'!$C$6:$C$505,Lists!$B$7,'Line Detail'!$B$6:$B$505,"Base"),0)</f>
        <v>0</v>
      </c>
      <c r="C11" s="59" t="n">
        <f aca="false">IF(Lists!$B$7&lt;&gt;"",SUMIFS('Line Detail'!$Q$6:$Q$505,'Line Detail'!$C$6:$C$505,Lists!$B$7,'Line Detail'!$B$6:$B$505,"Base"),0)</f>
        <v>0</v>
      </c>
      <c r="D11" s="59" t="n">
        <f aca="false">B11+C11</f>
        <v>0</v>
      </c>
      <c r="E11" s="20"/>
      <c r="F11" s="20"/>
      <c r="G11" s="59" t="n">
        <f aca="false">N(E11)+N(F11)</f>
        <v>0</v>
      </c>
      <c r="H11" s="59" t="n">
        <f aca="false">B11-N(E11)</f>
        <v>0</v>
      </c>
      <c r="I11" s="59" t="n">
        <f aca="false">C11-N(F11)</f>
        <v>0</v>
      </c>
      <c r="J11" s="59" t="n">
        <f aca="false">D11-G11</f>
        <v>0</v>
      </c>
      <c r="K11" s="64" t="str">
        <f aca="false">IF(G11=0,"",J11/G11)</f>
        <v/>
      </c>
    </row>
    <row r="12" customFormat="false" ht="15" hidden="false" customHeight="false" outlineLevel="0" collapsed="false">
      <c r="A12" s="1" t="str">
        <f aca="false">IF(Lists!$B$8&lt;&gt;"",Lists!$B$8,"")</f>
        <v>08 14 00 Wood Doors</v>
      </c>
      <c r="B12" s="59" t="n">
        <f aca="false">IF(Lists!$B$8&lt;&gt;"",SUMIFS('Line Detail'!$P$6:$P$505,'Line Detail'!$C$6:$C$505,Lists!$B$8,'Line Detail'!$B$6:$B$505,"Base"),0)</f>
        <v>0</v>
      </c>
      <c r="C12" s="59" t="n">
        <f aca="false">IF(Lists!$B$8&lt;&gt;"",SUMIFS('Line Detail'!$Q$6:$Q$505,'Line Detail'!$C$6:$C$505,Lists!$B$8,'Line Detail'!$B$6:$B$505,"Base"),0)</f>
        <v>0</v>
      </c>
      <c r="D12" s="59" t="n">
        <f aca="false">B12+C12</f>
        <v>0</v>
      </c>
      <c r="E12" s="20"/>
      <c r="F12" s="20"/>
      <c r="G12" s="59" t="n">
        <f aca="false">N(E12)+N(F12)</f>
        <v>0</v>
      </c>
      <c r="H12" s="59" t="n">
        <f aca="false">B12-N(E12)</f>
        <v>0</v>
      </c>
      <c r="I12" s="59" t="n">
        <f aca="false">C12-N(F12)</f>
        <v>0</v>
      </c>
      <c r="J12" s="59" t="n">
        <f aca="false">D12-G12</f>
        <v>0</v>
      </c>
      <c r="K12" s="64" t="str">
        <f aca="false">IF(G12=0,"",J12/G12)</f>
        <v/>
      </c>
    </row>
    <row r="13" customFormat="false" ht="15" hidden="false" customHeight="false" outlineLevel="0" collapsed="false">
      <c r="A13" s="1" t="str">
        <f aca="false">IF(Lists!$B$9&lt;&gt;"",Lists!$B$9,"")</f>
        <v>08 17 13 Exterior Pre-Hung Doors</v>
      </c>
      <c r="B13" s="59" t="n">
        <f aca="false">IF(Lists!$B$9&lt;&gt;"",SUMIFS('Line Detail'!$P$6:$P$505,'Line Detail'!$C$6:$C$505,Lists!$B$9,'Line Detail'!$B$6:$B$505,"Base"),0)</f>
        <v>0</v>
      </c>
      <c r="C13" s="59" t="n">
        <f aca="false">IF(Lists!$B$9&lt;&gt;"",SUMIFS('Line Detail'!$Q$6:$Q$505,'Line Detail'!$C$6:$C$505,Lists!$B$9,'Line Detail'!$B$6:$B$505,"Base"),0)</f>
        <v>0</v>
      </c>
      <c r="D13" s="59" t="n">
        <f aca="false">B13+C13</f>
        <v>0</v>
      </c>
      <c r="E13" s="20"/>
      <c r="F13" s="20"/>
      <c r="G13" s="59" t="n">
        <f aca="false">N(E13)+N(F13)</f>
        <v>0</v>
      </c>
      <c r="H13" s="59" t="n">
        <f aca="false">B13-N(E13)</f>
        <v>0</v>
      </c>
      <c r="I13" s="59" t="n">
        <f aca="false">C13-N(F13)</f>
        <v>0</v>
      </c>
      <c r="J13" s="59" t="n">
        <f aca="false">D13-G13</f>
        <v>0</v>
      </c>
      <c r="K13" s="64" t="str">
        <f aca="false">IF(G13=0,"",J13/G13)</f>
        <v/>
      </c>
    </row>
    <row r="14" customFormat="false" ht="15" hidden="false" customHeight="false" outlineLevel="0" collapsed="false">
      <c r="A14" s="1" t="str">
        <f aca="false">IF(Lists!$B$10&lt;&gt;"",Lists!$B$10,"")</f>
        <v>08 17 43 Interior Pre-Hung Doors</v>
      </c>
      <c r="B14" s="59" t="n">
        <f aca="false">IF(Lists!$B$10&lt;&gt;"",SUMIFS('Line Detail'!$P$6:$P$505,'Line Detail'!$C$6:$C$505,Lists!$B$10,'Line Detail'!$B$6:$B$505,"Base"),0)</f>
        <v>2248.125</v>
      </c>
      <c r="C14" s="59" t="n">
        <f aca="false">IF(Lists!$B$10&lt;&gt;"",SUMIFS('Line Detail'!$Q$6:$Q$505,'Line Detail'!$C$6:$C$505,Lists!$B$10,'Line Detail'!$B$6:$B$505,"Base"),0)</f>
        <v>447.058823529412</v>
      </c>
      <c r="D14" s="59" t="n">
        <f aca="false">B14+C14</f>
        <v>2695.18382352941</v>
      </c>
      <c r="E14" s="20"/>
      <c r="F14" s="20"/>
      <c r="G14" s="59" t="n">
        <f aca="false">N(E14)+N(F14)</f>
        <v>0</v>
      </c>
      <c r="H14" s="59" t="n">
        <f aca="false">B14-N(E14)</f>
        <v>2248.125</v>
      </c>
      <c r="I14" s="59" t="n">
        <f aca="false">C14-N(F14)</f>
        <v>447.058823529412</v>
      </c>
      <c r="J14" s="59" t="n">
        <f aca="false">D14-G14</f>
        <v>2695.18382352941</v>
      </c>
      <c r="K14" s="64" t="str">
        <f aca="false">IF(G14=0,"",J14/G14)</f>
        <v/>
      </c>
    </row>
    <row r="15" customFormat="false" ht="15" hidden="false" customHeight="false" outlineLevel="0" collapsed="false">
      <c r="A15" s="1" t="str">
        <f aca="false">IF(Lists!$B$11&lt;&gt;"",Lists!$B$11,"")</f>
        <v>08 50 00 Windows</v>
      </c>
      <c r="B15" s="59" t="n">
        <f aca="false">IF(Lists!$B$11&lt;&gt;"",SUMIFS('Line Detail'!$P$6:$P$505,'Line Detail'!$C$6:$C$505,Lists!$B$11,'Line Detail'!$B$6:$B$505,"Base"),0)</f>
        <v>0</v>
      </c>
      <c r="C15" s="59" t="n">
        <f aca="false">IF(Lists!$B$11&lt;&gt;"",SUMIFS('Line Detail'!$Q$6:$Q$505,'Line Detail'!$C$6:$C$505,Lists!$B$11,'Line Detail'!$B$6:$B$505,"Base"),0)</f>
        <v>0</v>
      </c>
      <c r="D15" s="59" t="n">
        <f aca="false">B15+C15</f>
        <v>0</v>
      </c>
      <c r="E15" s="20"/>
      <c r="F15" s="20"/>
      <c r="G15" s="59" t="n">
        <f aca="false">N(E15)+N(F15)</f>
        <v>0</v>
      </c>
      <c r="H15" s="59" t="n">
        <f aca="false">B15-N(E15)</f>
        <v>0</v>
      </c>
      <c r="I15" s="59" t="n">
        <f aca="false">C15-N(F15)</f>
        <v>0</v>
      </c>
      <c r="J15" s="59" t="n">
        <f aca="false">D15-G15</f>
        <v>0</v>
      </c>
      <c r="K15" s="64" t="str">
        <f aca="false">IF(G15=0,"",J15/G15)</f>
        <v/>
      </c>
    </row>
    <row r="16" customFormat="false" ht="15" hidden="false" customHeight="false" outlineLevel="0" collapsed="false">
      <c r="A16" s="1" t="str">
        <f aca="false">IF(Lists!$B$12&lt;&gt;"",Lists!$B$12,"")</f>
        <v>08 71 00 Door Hardware</v>
      </c>
      <c r="B16" s="59" t="n">
        <f aca="false">IF(Lists!$B$12&lt;&gt;"",SUMIFS('Line Detail'!$P$6:$P$505,'Line Detail'!$C$6:$C$505,Lists!$B$12,'Line Detail'!$B$6:$B$505,"Base"),0)</f>
        <v>252.0625</v>
      </c>
      <c r="C16" s="59" t="n">
        <f aca="false">IF(Lists!$B$12&lt;&gt;"",SUMIFS('Line Detail'!$Q$6:$Q$505,'Line Detail'!$C$6:$C$505,Lists!$B$12,'Line Detail'!$B$6:$B$505,"Base"),0)</f>
        <v>111.764705882353</v>
      </c>
      <c r="D16" s="59" t="n">
        <f aca="false">B16+C16</f>
        <v>363.827205882353</v>
      </c>
      <c r="E16" s="20"/>
      <c r="F16" s="20"/>
      <c r="G16" s="59" t="n">
        <f aca="false">N(E16)+N(F16)</f>
        <v>0</v>
      </c>
      <c r="H16" s="59" t="n">
        <f aca="false">B16-N(E16)</f>
        <v>252.0625</v>
      </c>
      <c r="I16" s="59" t="n">
        <f aca="false">C16-N(F16)</f>
        <v>111.764705882353</v>
      </c>
      <c r="J16" s="59" t="n">
        <f aca="false">D16-G16</f>
        <v>363.827205882353</v>
      </c>
      <c r="K16" s="64" t="str">
        <f aca="false">IF(G16=0,"",J16/G16)</f>
        <v/>
      </c>
    </row>
    <row r="17" customFormat="false" ht="15" hidden="false" customHeight="false" outlineLevel="0" collapsed="false">
      <c r="A17" s="1" t="str">
        <f aca="false">IF(Lists!$B$13&lt;&gt;"",Lists!$B$13,"")</f>
        <v>08 83 00 Mirrors</v>
      </c>
      <c r="B17" s="59" t="n">
        <f aca="false">IF(Lists!$B$13&lt;&gt;"",SUMIFS('Line Detail'!$P$6:$P$505,'Line Detail'!$C$6:$C$505,Lists!$B$13,'Line Detail'!$B$6:$B$505,"Base"),0)</f>
        <v>0</v>
      </c>
      <c r="C17" s="59" t="n">
        <f aca="false">IF(Lists!$B$13&lt;&gt;"",SUMIFS('Line Detail'!$Q$6:$Q$505,'Line Detail'!$C$6:$C$505,Lists!$B$13,'Line Detail'!$B$6:$B$505,"Base"),0)</f>
        <v>0</v>
      </c>
      <c r="D17" s="59" t="n">
        <f aca="false">B17+C17</f>
        <v>0</v>
      </c>
      <c r="E17" s="20"/>
      <c r="F17" s="20"/>
      <c r="G17" s="59" t="n">
        <f aca="false">N(E17)+N(F17)</f>
        <v>0</v>
      </c>
      <c r="H17" s="59" t="n">
        <f aca="false">B17-N(E17)</f>
        <v>0</v>
      </c>
      <c r="I17" s="59" t="n">
        <f aca="false">C17-N(F17)</f>
        <v>0</v>
      </c>
      <c r="J17" s="59" t="n">
        <f aca="false">D17-G17</f>
        <v>0</v>
      </c>
      <c r="K17" s="64" t="str">
        <f aca="false">IF(G17=0,"",J17/G17)</f>
        <v/>
      </c>
    </row>
    <row r="18" customFormat="false" ht="15" hidden="false" customHeight="false" outlineLevel="0" collapsed="false">
      <c r="A18" s="1" t="str">
        <f aca="false">IF(Lists!$B$14&lt;&gt;"",Lists!$B$14,"")</f>
        <v>10 21 13 Toilet Compartments</v>
      </c>
      <c r="B18" s="59" t="n">
        <f aca="false">IF(Lists!$B$14&lt;&gt;"",SUMIFS('Line Detail'!$P$6:$P$505,'Line Detail'!$C$6:$C$505,Lists!$B$14,'Line Detail'!$B$6:$B$505,"Base"),0)</f>
        <v>0</v>
      </c>
      <c r="C18" s="59" t="n">
        <f aca="false">IF(Lists!$B$14&lt;&gt;"",SUMIFS('Line Detail'!$Q$6:$Q$505,'Line Detail'!$C$6:$C$505,Lists!$B$14,'Line Detail'!$B$6:$B$505,"Base"),0)</f>
        <v>0</v>
      </c>
      <c r="D18" s="59" t="n">
        <f aca="false">B18+C18</f>
        <v>0</v>
      </c>
      <c r="E18" s="20"/>
      <c r="F18" s="20"/>
      <c r="G18" s="59" t="n">
        <f aca="false">N(E18)+N(F18)</f>
        <v>0</v>
      </c>
      <c r="H18" s="59" t="n">
        <f aca="false">B18-N(E18)</f>
        <v>0</v>
      </c>
      <c r="I18" s="59" t="n">
        <f aca="false">C18-N(F18)</f>
        <v>0</v>
      </c>
      <c r="J18" s="59" t="n">
        <f aca="false">D18-G18</f>
        <v>0</v>
      </c>
      <c r="K18" s="64" t="str">
        <f aca="false">IF(G18=0,"",J18/G18)</f>
        <v/>
      </c>
    </row>
    <row r="19" customFormat="false" ht="15" hidden="false" customHeight="false" outlineLevel="0" collapsed="false">
      <c r="A19" s="1" t="str">
        <f aca="false">IF(Lists!$B$15&lt;&gt;"",Lists!$B$15,"")</f>
        <v>10 28 00 Bath Accessories</v>
      </c>
      <c r="B19" s="59" t="n">
        <f aca="false">IF(Lists!$B$15&lt;&gt;"",SUMIFS('Line Detail'!$P$6:$P$505,'Line Detail'!$C$6:$C$505,Lists!$B$15,'Line Detail'!$B$6:$B$505,"Base"),0)</f>
        <v>0</v>
      </c>
      <c r="C19" s="59" t="n">
        <f aca="false">IF(Lists!$B$15&lt;&gt;"",SUMIFS('Line Detail'!$Q$6:$Q$505,'Line Detail'!$C$6:$C$505,Lists!$B$15,'Line Detail'!$B$6:$B$505,"Base"),0)</f>
        <v>0</v>
      </c>
      <c r="D19" s="59" t="n">
        <f aca="false">B19+C19</f>
        <v>0</v>
      </c>
      <c r="E19" s="20"/>
      <c r="F19" s="20"/>
      <c r="G19" s="59" t="n">
        <f aca="false">N(E19)+N(F19)</f>
        <v>0</v>
      </c>
      <c r="H19" s="59" t="n">
        <f aca="false">B19-N(E19)</f>
        <v>0</v>
      </c>
      <c r="I19" s="59" t="n">
        <f aca="false">C19-N(F19)</f>
        <v>0</v>
      </c>
      <c r="J19" s="59" t="n">
        <f aca="false">D19-G19</f>
        <v>0</v>
      </c>
      <c r="K19" s="64" t="str">
        <f aca="false">IF(G19=0,"",J19/G19)</f>
        <v/>
      </c>
    </row>
    <row r="20" customFormat="false" ht="15" hidden="false" customHeight="false" outlineLevel="0" collapsed="false">
      <c r="A20" s="1" t="str">
        <f aca="false">IF(Lists!$B$16&lt;&gt;"",Lists!$B$16,"")</f>
        <v>10 44 00 Fire Specialties</v>
      </c>
      <c r="B20" s="59" t="n">
        <f aca="false">IF(Lists!$B$16&lt;&gt;"",SUMIFS('Line Detail'!$P$6:$P$505,'Line Detail'!$C$6:$C$505,Lists!$B$16,'Line Detail'!$B$6:$B$505,"Base"),0)</f>
        <v>0</v>
      </c>
      <c r="C20" s="59" t="n">
        <f aca="false">IF(Lists!$B$16&lt;&gt;"",SUMIFS('Line Detail'!$Q$6:$Q$505,'Line Detail'!$C$6:$C$505,Lists!$B$16,'Line Detail'!$B$6:$B$505,"Base"),0)</f>
        <v>0</v>
      </c>
      <c r="D20" s="59" t="n">
        <f aca="false">B20+C20</f>
        <v>0</v>
      </c>
      <c r="E20" s="20"/>
      <c r="F20" s="20"/>
      <c r="G20" s="59" t="n">
        <f aca="false">N(E20)+N(F20)</f>
        <v>0</v>
      </c>
      <c r="H20" s="59" t="n">
        <f aca="false">B20-N(E20)</f>
        <v>0</v>
      </c>
      <c r="I20" s="59" t="n">
        <f aca="false">C20-N(F20)</f>
        <v>0</v>
      </c>
      <c r="J20" s="59" t="n">
        <f aca="false">D20-G20</f>
        <v>0</v>
      </c>
      <c r="K20" s="64" t="str">
        <f aca="false">IF(G20=0,"",J20/G20)</f>
        <v/>
      </c>
    </row>
    <row r="21" customFormat="false" ht="15" hidden="false" customHeight="false" outlineLevel="0" collapsed="false">
      <c r="A21" s="1" t="str">
        <f aca="false">IF(Lists!$B$17&lt;&gt;"",Lists!$B$17,"")</f>
        <v>10 55 00 Postal Specialties</v>
      </c>
      <c r="B21" s="59" t="n">
        <f aca="false">IF(Lists!$B$17&lt;&gt;"",SUMIFS('Line Detail'!$P$6:$P$505,'Line Detail'!$C$6:$C$505,Lists!$B$17,'Line Detail'!$B$6:$B$505,"Base"),0)</f>
        <v>0</v>
      </c>
      <c r="C21" s="59" t="n">
        <f aca="false">IF(Lists!$B$17&lt;&gt;"",SUMIFS('Line Detail'!$Q$6:$Q$505,'Line Detail'!$C$6:$C$505,Lists!$B$17,'Line Detail'!$B$6:$B$505,"Base"),0)</f>
        <v>0</v>
      </c>
      <c r="D21" s="59" t="n">
        <f aca="false">B21+C21</f>
        <v>0</v>
      </c>
      <c r="E21" s="20"/>
      <c r="F21" s="20"/>
      <c r="G21" s="59" t="n">
        <f aca="false">N(E21)+N(F21)</f>
        <v>0</v>
      </c>
      <c r="H21" s="59" t="n">
        <f aca="false">B21-N(E21)</f>
        <v>0</v>
      </c>
      <c r="I21" s="59" t="n">
        <f aca="false">C21-N(F21)</f>
        <v>0</v>
      </c>
      <c r="J21" s="59" t="n">
        <f aca="false">D21-G21</f>
        <v>0</v>
      </c>
      <c r="K21" s="64" t="str">
        <f aca="false">IF(G21=0,"",J21/G21)</f>
        <v/>
      </c>
    </row>
    <row r="22" customFormat="false" ht="15" hidden="false" customHeight="false" outlineLevel="0" collapsed="false">
      <c r="A22" s="1" t="str">
        <f aca="false">IF(Lists!$B$18&lt;&gt;"",Lists!$B$18,"")</f>
        <v>10 56 23 Wire Shelving</v>
      </c>
      <c r="B22" s="59" t="n">
        <f aca="false">IF(Lists!$B$18&lt;&gt;"",SUMIFS('Line Detail'!$P$6:$P$505,'Line Detail'!$C$6:$C$505,Lists!$B$18,'Line Detail'!$B$6:$B$505,"Base"),0)</f>
        <v>0</v>
      </c>
      <c r="C22" s="59" t="n">
        <f aca="false">IF(Lists!$B$18&lt;&gt;"",SUMIFS('Line Detail'!$Q$6:$Q$505,'Line Detail'!$C$6:$C$505,Lists!$B$18,'Line Detail'!$B$6:$B$505,"Base"),0)</f>
        <v>0</v>
      </c>
      <c r="D22" s="59" t="n">
        <f aca="false">B22+C22</f>
        <v>0</v>
      </c>
      <c r="E22" s="20"/>
      <c r="F22" s="20"/>
      <c r="G22" s="59" t="n">
        <f aca="false">N(E22)+N(F22)</f>
        <v>0</v>
      </c>
      <c r="H22" s="59" t="n">
        <f aca="false">B22-N(E22)</f>
        <v>0</v>
      </c>
      <c r="I22" s="59" t="n">
        <f aca="false">C22-N(F22)</f>
        <v>0</v>
      </c>
      <c r="J22" s="59" t="n">
        <f aca="false">D22-G22</f>
        <v>0</v>
      </c>
      <c r="K22" s="64" t="str">
        <f aca="false">IF(G22=0,"",J22/G22)</f>
        <v/>
      </c>
    </row>
    <row r="23" customFormat="false" ht="15" hidden="false" customHeight="false" outlineLevel="0" collapsed="false">
      <c r="A23" s="1" t="str">
        <f aca="false">IF(Lists!$B$19&lt;&gt;"",Lists!$B$19,"")</f>
        <v>12 21 00 Window Blinds</v>
      </c>
      <c r="B23" s="59" t="n">
        <f aca="false">IF(Lists!$B$19&lt;&gt;"",SUMIFS('Line Detail'!$P$6:$P$505,'Line Detail'!$C$6:$C$505,Lists!$B$19,'Line Detail'!$B$6:$B$505,"Base"),0)</f>
        <v>0</v>
      </c>
      <c r="C23" s="59" t="n">
        <f aca="false">IF(Lists!$B$19&lt;&gt;"",SUMIFS('Line Detail'!$Q$6:$Q$505,'Line Detail'!$C$6:$C$505,Lists!$B$19,'Line Detail'!$B$6:$B$505,"Base"),0)</f>
        <v>0</v>
      </c>
      <c r="D23" s="59" t="n">
        <f aca="false">B23+C23</f>
        <v>0</v>
      </c>
      <c r="E23" s="20"/>
      <c r="F23" s="20"/>
      <c r="G23" s="59" t="n">
        <f aca="false">N(E23)+N(F23)</f>
        <v>0</v>
      </c>
      <c r="H23" s="59" t="n">
        <f aca="false">B23-N(E23)</f>
        <v>0</v>
      </c>
      <c r="I23" s="59" t="n">
        <f aca="false">C23-N(F23)</f>
        <v>0</v>
      </c>
      <c r="J23" s="59" t="n">
        <f aca="false">D23-G23</f>
        <v>0</v>
      </c>
      <c r="K23" s="64" t="str">
        <f aca="false">IF(G23=0,"",J23/G23)</f>
        <v/>
      </c>
    </row>
    <row r="24" customFormat="false" ht="15" hidden="false" customHeight="false" outlineLevel="0" collapsed="false">
      <c r="A24" s="1" t="str">
        <f aca="false">IF(Lists!$B$20&lt;&gt;"",Lists!$B$20,"")</f>
        <v/>
      </c>
      <c r="B24" s="59" t="n">
        <f aca="false">IF(Lists!$B$20&lt;&gt;"",SUMIFS('Line Detail'!$P$6:$P$505,'Line Detail'!$C$6:$C$505,Lists!$B$20,'Line Detail'!$B$6:$B$505,"Base"),0)</f>
        <v>0</v>
      </c>
      <c r="C24" s="59" t="n">
        <f aca="false">IF(Lists!$B$20&lt;&gt;"",SUMIFS('Line Detail'!$Q$6:$Q$505,'Line Detail'!$C$6:$C$505,Lists!$B$20,'Line Detail'!$B$6:$B$505,"Base"),0)</f>
        <v>0</v>
      </c>
      <c r="D24" s="59" t="n">
        <f aca="false">B24+C24</f>
        <v>0</v>
      </c>
      <c r="E24" s="20"/>
      <c r="F24" s="20"/>
      <c r="G24" s="59" t="n">
        <f aca="false">N(E24)+N(F24)</f>
        <v>0</v>
      </c>
      <c r="H24" s="59" t="n">
        <f aca="false">B24-N(E24)</f>
        <v>0</v>
      </c>
      <c r="I24" s="59" t="n">
        <f aca="false">C24-N(F24)</f>
        <v>0</v>
      </c>
      <c r="J24" s="59" t="n">
        <f aca="false">D24-G24</f>
        <v>0</v>
      </c>
      <c r="K24" s="64" t="str">
        <f aca="false">IF(G24=0,"",J24/G24)</f>
        <v/>
      </c>
    </row>
    <row r="25" customFormat="false" ht="15" hidden="false" customHeight="false" outlineLevel="0" collapsed="false">
      <c r="A25" s="1" t="str">
        <f aca="false">IF(Lists!$B$21&lt;&gt;"",Lists!$B$21,"")</f>
        <v/>
      </c>
      <c r="B25" s="59" t="n">
        <f aca="false">IF(Lists!$B$21&lt;&gt;"",SUMIFS('Line Detail'!$P$6:$P$505,'Line Detail'!$C$6:$C$505,Lists!$B$21,'Line Detail'!$B$6:$B$505,"Base"),0)</f>
        <v>0</v>
      </c>
      <c r="C25" s="59" t="n">
        <f aca="false">IF(Lists!$B$21&lt;&gt;"",SUMIFS('Line Detail'!$Q$6:$Q$505,'Line Detail'!$C$6:$C$505,Lists!$B$21,'Line Detail'!$B$6:$B$505,"Base"),0)</f>
        <v>0</v>
      </c>
      <c r="D25" s="59" t="n">
        <f aca="false">B25+C25</f>
        <v>0</v>
      </c>
      <c r="E25" s="20"/>
      <c r="F25" s="20"/>
      <c r="G25" s="59" t="n">
        <f aca="false">N(E25)+N(F25)</f>
        <v>0</v>
      </c>
      <c r="H25" s="59" t="n">
        <f aca="false">B25-N(E25)</f>
        <v>0</v>
      </c>
      <c r="I25" s="59" t="n">
        <f aca="false">C25-N(F25)</f>
        <v>0</v>
      </c>
      <c r="J25" s="59" t="n">
        <f aca="false">D25-G25</f>
        <v>0</v>
      </c>
      <c r="K25" s="64" t="str">
        <f aca="false">IF(G25=0,"",J25/G25)</f>
        <v/>
      </c>
    </row>
    <row r="26" customFormat="false" ht="15" hidden="false" customHeight="false" outlineLevel="0" collapsed="false">
      <c r="A26" s="1" t="str">
        <f aca="false">IF(Lists!$B$22&lt;&gt;"",Lists!$B$22,"")</f>
        <v/>
      </c>
      <c r="B26" s="59" t="n">
        <f aca="false">IF(Lists!$B$22&lt;&gt;"",SUMIFS('Line Detail'!$P$6:$P$505,'Line Detail'!$C$6:$C$505,Lists!$B$22,'Line Detail'!$B$6:$B$505,"Base"),0)</f>
        <v>0</v>
      </c>
      <c r="C26" s="59" t="n">
        <f aca="false">IF(Lists!$B$22&lt;&gt;"",SUMIFS('Line Detail'!$Q$6:$Q$505,'Line Detail'!$C$6:$C$505,Lists!$B$22,'Line Detail'!$B$6:$B$505,"Base"),0)</f>
        <v>0</v>
      </c>
      <c r="D26" s="59" t="n">
        <f aca="false">B26+C26</f>
        <v>0</v>
      </c>
      <c r="E26" s="20"/>
      <c r="F26" s="20"/>
      <c r="G26" s="59" t="n">
        <f aca="false">N(E26)+N(F26)</f>
        <v>0</v>
      </c>
      <c r="H26" s="59" t="n">
        <f aca="false">B26-N(E26)</f>
        <v>0</v>
      </c>
      <c r="I26" s="59" t="n">
        <f aca="false">C26-N(F26)</f>
        <v>0</v>
      </c>
      <c r="J26" s="59" t="n">
        <f aca="false">D26-G26</f>
        <v>0</v>
      </c>
      <c r="K26" s="64" t="str">
        <f aca="false">IF(G26=0,"",J26/G26)</f>
        <v/>
      </c>
    </row>
    <row r="27" customFormat="false" ht="15" hidden="false" customHeight="false" outlineLevel="0" collapsed="false">
      <c r="A27" s="1" t="str">
        <f aca="false">IF(Lists!$B$23&lt;&gt;"",Lists!$B$23,"")</f>
        <v/>
      </c>
      <c r="B27" s="59" t="n">
        <f aca="false">IF(Lists!$B$23&lt;&gt;"",SUMIFS('Line Detail'!$P$6:$P$505,'Line Detail'!$C$6:$C$505,Lists!$B$23,'Line Detail'!$B$6:$B$505,"Base"),0)</f>
        <v>0</v>
      </c>
      <c r="C27" s="59" t="n">
        <f aca="false">IF(Lists!$B$23&lt;&gt;"",SUMIFS('Line Detail'!$Q$6:$Q$505,'Line Detail'!$C$6:$C$505,Lists!$B$23,'Line Detail'!$B$6:$B$505,"Base"),0)</f>
        <v>0</v>
      </c>
      <c r="D27" s="59" t="n">
        <f aca="false">B27+C27</f>
        <v>0</v>
      </c>
      <c r="E27" s="20"/>
      <c r="F27" s="20"/>
      <c r="G27" s="59" t="n">
        <f aca="false">N(E27)+N(F27)</f>
        <v>0</v>
      </c>
      <c r="H27" s="59" t="n">
        <f aca="false">B27-N(E27)</f>
        <v>0</v>
      </c>
      <c r="I27" s="59" t="n">
        <f aca="false">C27-N(F27)</f>
        <v>0</v>
      </c>
      <c r="J27" s="59" t="n">
        <f aca="false">D27-G27</f>
        <v>0</v>
      </c>
      <c r="K27" s="64" t="str">
        <f aca="false">IF(G27=0,"",J27/G27)</f>
        <v/>
      </c>
    </row>
    <row r="28" customFormat="false" ht="15" hidden="false" customHeight="false" outlineLevel="0" collapsed="false">
      <c r="A28" s="1" t="str">
        <f aca="false">IF(Lists!$B$24&lt;&gt;"",Lists!$B$24,"")</f>
        <v/>
      </c>
      <c r="B28" s="59" t="n">
        <f aca="false">IF(Lists!$B$24&lt;&gt;"",SUMIFS('Line Detail'!$P$6:$P$505,'Line Detail'!$C$6:$C$505,Lists!$B$24,'Line Detail'!$B$6:$B$505,"Base"),0)</f>
        <v>0</v>
      </c>
      <c r="C28" s="59" t="n">
        <f aca="false">IF(Lists!$B$24&lt;&gt;"",SUMIFS('Line Detail'!$Q$6:$Q$505,'Line Detail'!$C$6:$C$505,Lists!$B$24,'Line Detail'!$B$6:$B$505,"Base"),0)</f>
        <v>0</v>
      </c>
      <c r="D28" s="59" t="n">
        <f aca="false">B28+C28</f>
        <v>0</v>
      </c>
      <c r="E28" s="20"/>
      <c r="F28" s="20"/>
      <c r="G28" s="59" t="n">
        <f aca="false">N(E28)+N(F28)</f>
        <v>0</v>
      </c>
      <c r="H28" s="59" t="n">
        <f aca="false">B28-N(E28)</f>
        <v>0</v>
      </c>
      <c r="I28" s="59" t="n">
        <f aca="false">C28-N(F28)</f>
        <v>0</v>
      </c>
      <c r="J28" s="59" t="n">
        <f aca="false">D28-G28</f>
        <v>0</v>
      </c>
      <c r="K28" s="64" t="str">
        <f aca="false">IF(G28=0,"",J28/G28)</f>
        <v/>
      </c>
    </row>
    <row r="29" customFormat="false" ht="15" hidden="false" customHeight="false" outlineLevel="0" collapsed="false">
      <c r="A29" s="1" t="str">
        <f aca="false">IF(Lists!$B$25&lt;&gt;"",Lists!$B$25,"")</f>
        <v/>
      </c>
      <c r="B29" s="59" t="n">
        <f aca="false">IF(Lists!$B$25&lt;&gt;"",SUMIFS('Line Detail'!$P$6:$P$505,'Line Detail'!$C$6:$C$505,Lists!$B$25,'Line Detail'!$B$6:$B$505,"Base"),0)</f>
        <v>0</v>
      </c>
      <c r="C29" s="59" t="n">
        <f aca="false">IF(Lists!$B$25&lt;&gt;"",SUMIFS('Line Detail'!$Q$6:$Q$505,'Line Detail'!$C$6:$C$505,Lists!$B$25,'Line Detail'!$B$6:$B$505,"Base"),0)</f>
        <v>0</v>
      </c>
      <c r="D29" s="59" t="n">
        <f aca="false">B29+C29</f>
        <v>0</v>
      </c>
      <c r="E29" s="20"/>
      <c r="F29" s="20"/>
      <c r="G29" s="59" t="n">
        <f aca="false">N(E29)+N(F29)</f>
        <v>0</v>
      </c>
      <c r="H29" s="59" t="n">
        <f aca="false">B29-N(E29)</f>
        <v>0</v>
      </c>
      <c r="I29" s="59" t="n">
        <f aca="false">C29-N(F29)</f>
        <v>0</v>
      </c>
      <c r="J29" s="59" t="n">
        <f aca="false">D29-G29</f>
        <v>0</v>
      </c>
      <c r="K29" s="64" t="str">
        <f aca="false">IF(G29=0,"",J29/G29)</f>
        <v/>
      </c>
    </row>
    <row r="30" customFormat="false" ht="15" hidden="false" customHeight="false" outlineLevel="0" collapsed="false">
      <c r="A30" s="1" t="str">
        <f aca="false">IF(Lists!$B$26&lt;&gt;"",Lists!$B$26,"")</f>
        <v/>
      </c>
      <c r="B30" s="59" t="n">
        <f aca="false">IF(Lists!$B$26&lt;&gt;"",SUMIFS('Line Detail'!$P$6:$P$505,'Line Detail'!$C$6:$C$505,Lists!$B$26,'Line Detail'!$B$6:$B$505,"Base"),0)</f>
        <v>0</v>
      </c>
      <c r="C30" s="59" t="n">
        <f aca="false">IF(Lists!$B$26&lt;&gt;"",SUMIFS('Line Detail'!$Q$6:$Q$505,'Line Detail'!$C$6:$C$505,Lists!$B$26,'Line Detail'!$B$6:$B$505,"Base"),0)</f>
        <v>0</v>
      </c>
      <c r="D30" s="59" t="n">
        <f aca="false">B30+C30</f>
        <v>0</v>
      </c>
      <c r="E30" s="20"/>
      <c r="F30" s="20"/>
      <c r="G30" s="59" t="n">
        <f aca="false">N(E30)+N(F30)</f>
        <v>0</v>
      </c>
      <c r="H30" s="59" t="n">
        <f aca="false">B30-N(E30)</f>
        <v>0</v>
      </c>
      <c r="I30" s="59" t="n">
        <f aca="false">C30-N(F30)</f>
        <v>0</v>
      </c>
      <c r="J30" s="59" t="n">
        <f aca="false">D30-G30</f>
        <v>0</v>
      </c>
      <c r="K30" s="64" t="str">
        <f aca="false">IF(G30=0,"",J30/G30)</f>
        <v/>
      </c>
    </row>
    <row r="31" customFormat="false" ht="15" hidden="false" customHeight="false" outlineLevel="0" collapsed="false">
      <c r="A31" s="13" t="s">
        <v>337</v>
      </c>
      <c r="B31" s="1"/>
      <c r="C31" s="1"/>
      <c r="D31" s="59" t="n">
        <f aca="false">Lists!$J$4</f>
        <v>0</v>
      </c>
      <c r="E31" s="1"/>
      <c r="F31" s="1"/>
      <c r="G31" s="20"/>
      <c r="H31" s="1"/>
      <c r="I31" s="1"/>
      <c r="J31" s="59" t="n">
        <f aca="false">D31-N(G31)</f>
        <v>0</v>
      </c>
      <c r="K31" s="1"/>
    </row>
    <row r="32" customFormat="false" ht="15" hidden="false" customHeight="false" outlineLevel="0" collapsed="false">
      <c r="A32" s="5" t="s">
        <v>338</v>
      </c>
      <c r="B32" s="61" t="n">
        <f aca="false">SUM(B6:B31)</f>
        <v>4475.8125</v>
      </c>
      <c r="C32" s="61" t="n">
        <f aca="false">SUM(C6:C31)</f>
        <v>1852.94117647059</v>
      </c>
      <c r="D32" s="61" t="n">
        <f aca="false">SUM(D6:D31)</f>
        <v>6328.75367647059</v>
      </c>
      <c r="E32" s="61" t="n">
        <f aca="false">SUM(E6:E31)</f>
        <v>0</v>
      </c>
      <c r="F32" s="61" t="n">
        <f aca="false">SUM(F6:F31)</f>
        <v>0</v>
      </c>
      <c r="G32" s="61" t="n">
        <f aca="false">SUM(G6:G31)</f>
        <v>0</v>
      </c>
      <c r="H32" s="61" t="n">
        <f aca="false">SUM(H6:H31)</f>
        <v>4475.8125</v>
      </c>
      <c r="I32" s="61" t="n">
        <f aca="false">SUM(I6:I31)</f>
        <v>1852.94117647059</v>
      </c>
      <c r="J32" s="61" t="n">
        <f aca="false">SUM(J6:J31)</f>
        <v>6328.75367647059</v>
      </c>
      <c r="K32" s="65" t="str">
        <f aca="false">IF(G32=0,"",J32/G32)</f>
        <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9000"/>
    <pageSetUpPr fitToPage="false"/>
  </sheetPr>
  <dimension ref="A1:J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44"/>
    <col collapsed="false" customWidth="true" hidden="false" outlineLevel="0" max="3" min="3" style="0" width="14"/>
    <col collapsed="false" customWidth="true" hidden="false" outlineLevel="0" max="4" min="4" style="0" width="6"/>
    <col collapsed="false" customWidth="true" hidden="false" outlineLevel="0" max="6" min="5" style="0" width="8"/>
    <col collapsed="false" customWidth="true" hidden="false" outlineLevel="0" max="7" min="7" style="0" width="18"/>
    <col collapsed="false" customWidth="true" hidden="false" outlineLevel="0" max="8" min="8" style="0" width="24"/>
    <col collapsed="false" customWidth="true" hidden="false" outlineLevel="0" max="9" min="9" style="0" width="16"/>
    <col collapsed="false" customWidth="true" hidden="false" outlineLevel="0" max="10" min="10" style="0" width="40"/>
  </cols>
  <sheetData>
    <row r="1" customFormat="false" ht="15" hidden="false" customHeight="false" outlineLevel="0" collapsed="false">
      <c r="A1" s="28" t="s">
        <v>153</v>
      </c>
      <c r="B1" s="28" t="s">
        <v>154</v>
      </c>
      <c r="C1" s="28" t="s">
        <v>339</v>
      </c>
      <c r="D1" s="28" t="s">
        <v>214</v>
      </c>
      <c r="E1" s="28" t="s">
        <v>159</v>
      </c>
      <c r="F1" s="28" t="s">
        <v>340</v>
      </c>
      <c r="G1" s="28" t="s">
        <v>72</v>
      </c>
      <c r="H1" s="28" t="s">
        <v>341</v>
      </c>
      <c r="I1" s="1"/>
      <c r="J1" s="5" t="s">
        <v>342</v>
      </c>
    </row>
    <row r="2" customFormat="false" ht="15" hidden="false" customHeight="false" outlineLevel="0" collapsed="false">
      <c r="A2" s="1" t="s">
        <v>176</v>
      </c>
      <c r="B2" s="1" t="s">
        <v>343</v>
      </c>
      <c r="C2" s="59" t="n">
        <f aca="false">IF(B2="",0,SUMIFS('Line Detail'!$R$6:$R$505,'Line Detail'!$C$6:$C$505,B2,'Line Detail'!$B$6:$B$505,"Base"))</f>
        <v>0</v>
      </c>
      <c r="D2" s="1" t="str">
        <f aca="false">IF(C2=0,"",SUMPRODUCT(--($C$2:C2&lt;&gt;0)))</f>
        <v/>
      </c>
      <c r="E2" s="1" t="s">
        <v>179</v>
      </c>
      <c r="F2" s="1" t="s">
        <v>91</v>
      </c>
      <c r="G2" s="1" t="s">
        <v>73</v>
      </c>
      <c r="H2" s="1" t="str">
        <f aca="false">IF('Job Info'!$B$53="","",'Job Info'!$B$53)</f>
        <v>Units / Apartments</v>
      </c>
      <c r="I2" s="1" t="s">
        <v>344</v>
      </c>
      <c r="J2" s="1" t="n">
        <f aca="false">MAX($D$2:$D$26)</f>
        <v>3</v>
      </c>
    </row>
    <row r="3" customFormat="false" ht="15" hidden="false" customHeight="false" outlineLevel="0" collapsed="false">
      <c r="A3" s="1" t="s">
        <v>189</v>
      </c>
      <c r="B3" s="1" t="s">
        <v>345</v>
      </c>
      <c r="C3" s="59" t="n">
        <f aca="false">IF(B3="",0,SUMIFS('Line Detail'!$R$6:$R$505,'Line Detail'!$C$6:$C$505,B3,'Line Detail'!$B$6:$B$505,"Base"))</f>
        <v>0</v>
      </c>
      <c r="D3" s="1" t="str">
        <f aca="false">IF(C3=0,"",SUMPRODUCT(--($C$2:C3&lt;&gt;0)))</f>
        <v/>
      </c>
      <c r="E3" s="1" t="s">
        <v>184</v>
      </c>
      <c r="F3" s="1" t="s">
        <v>97</v>
      </c>
      <c r="G3" s="1" t="s">
        <v>346</v>
      </c>
      <c r="H3" s="1" t="str">
        <f aca="false">IF('Job Info'!$B$54="","",'Job Info'!$B$54)</f>
        <v>Clubhouse</v>
      </c>
      <c r="I3" s="1" t="s">
        <v>347</v>
      </c>
      <c r="J3" s="54" t="n">
        <f aca="false">SUMIFS('Line Detail'!$R$6:$R$505,'Line Detail'!$B$6:$B$505,"Base")</f>
        <v>6328.75367647059</v>
      </c>
    </row>
    <row r="4" customFormat="false" ht="15" hidden="false" customHeight="false" outlineLevel="0" collapsed="false">
      <c r="A4" s="1" t="s">
        <v>202</v>
      </c>
      <c r="B4" s="1" t="s">
        <v>348</v>
      </c>
      <c r="C4" s="59" t="n">
        <f aca="false">IF(B4="",0,SUMIFS('Line Detail'!$R$6:$R$505,'Line Detail'!$C$6:$C$505,B4,'Line Detail'!$B$6:$B$505,"Base"))</f>
        <v>0</v>
      </c>
      <c r="D4" s="1" t="str">
        <f aca="false">IF(C4=0,"",SUMPRODUCT(--($C$2:C4&lt;&gt;0)))</f>
        <v/>
      </c>
      <c r="E4" s="1" t="s">
        <v>349</v>
      </c>
      <c r="F4" s="1"/>
      <c r="G4" s="1" t="s">
        <v>350</v>
      </c>
      <c r="H4" s="1" t="str">
        <f aca="false">IF('Job Info'!$B$55="","",'Job Info'!$B$55)</f>
        <v>Leasing / Amenity</v>
      </c>
      <c r="I4" s="1" t="s">
        <v>337</v>
      </c>
      <c r="J4" s="54" t="n">
        <f aca="false">IF('Job Info'!$B$41="Yes",ROUND(J3*'Job Info'!$B$42,2),0)</f>
        <v>0</v>
      </c>
    </row>
    <row r="5" customFormat="false" ht="15" hidden="false" customHeight="false" outlineLevel="0" collapsed="false">
      <c r="A5" s="1" t="s">
        <v>203</v>
      </c>
      <c r="B5" s="1" t="s">
        <v>177</v>
      </c>
      <c r="C5" s="59" t="n">
        <f aca="false">IF(B5="",0,SUMIFS('Line Detail'!$R$6:$R$505,'Line Detail'!$C$6:$C$505,B5,'Line Detail'!$B$6:$B$505,"Base"))</f>
        <v>3269.74264705882</v>
      </c>
      <c r="D5" s="1" t="n">
        <f aca="false">IF(C5=0,"",SUMPRODUCT(--($C$2:C5&lt;&gt;0)))</f>
        <v>1</v>
      </c>
      <c r="E5" s="1" t="s">
        <v>188</v>
      </c>
      <c r="F5" s="1"/>
      <c r="G5" s="1" t="s">
        <v>351</v>
      </c>
      <c r="H5" s="1" t="str">
        <f aca="false">IF('Job Info'!$B$56="","",'Job Info'!$B$56)</f>
        <v>Corridors / Common</v>
      </c>
      <c r="I5" s="1" t="s">
        <v>352</v>
      </c>
      <c r="J5" s="54" t="n">
        <f aca="false">J3+J4</f>
        <v>6328.75367647059</v>
      </c>
    </row>
    <row r="6" customFormat="false" ht="15" hidden="false" customHeight="false" outlineLevel="0" collapsed="false">
      <c r="A6" s="1" t="s">
        <v>204</v>
      </c>
      <c r="B6" s="1" t="s">
        <v>353</v>
      </c>
      <c r="C6" s="59" t="n">
        <f aca="false">IF(B6="",0,SUMIFS('Line Detail'!$R$6:$R$505,'Line Detail'!$C$6:$C$505,B6,'Line Detail'!$B$6:$B$505,"Base"))</f>
        <v>0</v>
      </c>
      <c r="D6" s="1" t="str">
        <f aca="false">IF(C6=0,"",SUMPRODUCT(--($C$2:C6&lt;&gt;0)))</f>
        <v/>
      </c>
      <c r="E6" s="1" t="s">
        <v>354</v>
      </c>
      <c r="F6" s="1"/>
      <c r="G6" s="1" t="s">
        <v>355</v>
      </c>
      <c r="H6" s="1" t="str">
        <f aca="false">IF('Job Info'!$B$57="","",'Job Info'!$B$57)</f>
        <v>Maintenance</v>
      </c>
      <c r="I6" s="1" t="s">
        <v>356</v>
      </c>
      <c r="J6" s="1" t="str">
        <f aca="false">IF('Job Info'!$B$41="Yes","Payment &amp; Performance Bond ("&amp;TEXT('Job Info'!$B$42,"0.0%")&amp;")","Payment &amp; Performance Bond - Not Included")</f>
        <v>Payment &amp; Performance Bond - Not Included</v>
      </c>
    </row>
    <row r="7" customFormat="false" ht="15" hidden="false" customHeight="false" outlineLevel="0" collapsed="false">
      <c r="A7" s="1" t="s">
        <v>205</v>
      </c>
      <c r="B7" s="1" t="s">
        <v>357</v>
      </c>
      <c r="C7" s="59" t="n">
        <f aca="false">IF(B7="",0,SUMIFS('Line Detail'!$R$6:$R$505,'Line Detail'!$C$6:$C$505,B7,'Line Detail'!$B$6:$B$505,"Base"))</f>
        <v>0</v>
      </c>
      <c r="D7" s="1" t="str">
        <f aca="false">IF(C7=0,"",SUMPRODUCT(--($C$2:C7&lt;&gt;0)))</f>
        <v/>
      </c>
      <c r="E7" s="1" t="s">
        <v>358</v>
      </c>
      <c r="F7" s="1"/>
      <c r="G7" s="1" t="s">
        <v>359</v>
      </c>
      <c r="H7" s="1" t="str">
        <f aca="false">IF('Job Info'!$B$58="","",'Job Info'!$B$58)</f>
        <v>Garages</v>
      </c>
      <c r="I7" s="1"/>
      <c r="J7" s="1"/>
    </row>
    <row r="8" customFormat="false" ht="15" hidden="false" customHeight="false" outlineLevel="0" collapsed="false">
      <c r="A8" s="1" t="s">
        <v>206</v>
      </c>
      <c r="B8" s="1" t="s">
        <v>360</v>
      </c>
      <c r="C8" s="59" t="n">
        <f aca="false">IF(B8="",0,SUMIFS('Line Detail'!$R$6:$R$505,'Line Detail'!$C$6:$C$505,B8,'Line Detail'!$B$6:$B$505,"Base"))</f>
        <v>0</v>
      </c>
      <c r="D8" s="1" t="str">
        <f aca="false">IF(C8=0,"",SUMPRODUCT(--($C$2:C8&lt;&gt;0)))</f>
        <v/>
      </c>
      <c r="E8" s="1" t="s">
        <v>361</v>
      </c>
      <c r="F8" s="1"/>
      <c r="G8" s="1" t="s">
        <v>362</v>
      </c>
      <c r="H8" s="1" t="str">
        <f aca="false">IF('Job Info'!$B$59="","",'Job Info'!$B$59)</f>
        <v>Pool Cabana</v>
      </c>
      <c r="I8" s="1"/>
      <c r="J8" s="1"/>
    </row>
    <row r="9" customFormat="false" ht="15" hidden="false" customHeight="false" outlineLevel="0" collapsed="false">
      <c r="A9" s="1" t="s">
        <v>363</v>
      </c>
      <c r="B9" s="1" t="s">
        <v>364</v>
      </c>
      <c r="C9" s="59" t="n">
        <f aca="false">IF(B9="",0,SUMIFS('Line Detail'!$R$6:$R$505,'Line Detail'!$C$6:$C$505,B9,'Line Detail'!$B$6:$B$505,"Base"))</f>
        <v>0</v>
      </c>
      <c r="D9" s="1" t="str">
        <f aca="false">IF(C9=0,"",SUMPRODUCT(--($C$2:C9&lt;&gt;0)))</f>
        <v/>
      </c>
      <c r="E9" s="1" t="s">
        <v>365</v>
      </c>
      <c r="F9" s="1"/>
      <c r="G9" s="1"/>
      <c r="H9" s="1" t="str">
        <f aca="false">IF('Job Info'!$B$60="","",'Job Info'!$B$60)</f>
        <v/>
      </c>
      <c r="I9" s="1"/>
      <c r="J9" s="1"/>
    </row>
    <row r="10" customFormat="false" ht="15" hidden="false" customHeight="false" outlineLevel="0" collapsed="false">
      <c r="A10" s="1"/>
      <c r="B10" s="1" t="s">
        <v>181</v>
      </c>
      <c r="C10" s="59" t="n">
        <f aca="false">IF(B10="",0,SUMIFS('Line Detail'!$R$6:$R$505,'Line Detail'!$C$6:$C$505,B10,'Line Detail'!$B$6:$B$505,"Base"))</f>
        <v>2695.18382352941</v>
      </c>
      <c r="D10" s="1" t="n">
        <f aca="false">IF(C10=0,"",SUMPRODUCT(--($C$2:C10&lt;&gt;0)))</f>
        <v>2</v>
      </c>
      <c r="E10" s="1" t="s">
        <v>366</v>
      </c>
      <c r="F10" s="1"/>
      <c r="G10" s="1"/>
      <c r="H10" s="1"/>
      <c r="I10" s="1"/>
      <c r="J10" s="1"/>
    </row>
    <row r="11" customFormat="false" ht="15" hidden="false" customHeight="false" outlineLevel="0" collapsed="false">
      <c r="A11" s="1"/>
      <c r="B11" s="1" t="s">
        <v>367</v>
      </c>
      <c r="C11" s="59" t="n">
        <f aca="false">IF(B11="",0,SUMIFS('Line Detail'!$R$6:$R$505,'Line Detail'!$C$6:$C$505,B11,'Line Detail'!$B$6:$B$505,"Base"))</f>
        <v>0</v>
      </c>
      <c r="D11" s="1" t="str">
        <f aca="false">IF(C11=0,"",SUMPRODUCT(--($C$2:C11&lt;&gt;0)))</f>
        <v/>
      </c>
      <c r="E11" s="1" t="s">
        <v>368</v>
      </c>
      <c r="F11" s="1"/>
      <c r="G11" s="1"/>
      <c r="H11" s="1"/>
      <c r="I11" s="1"/>
      <c r="J11" s="1"/>
    </row>
    <row r="12" customFormat="false" ht="15" hidden="false" customHeight="false" outlineLevel="0" collapsed="false">
      <c r="A12" s="1"/>
      <c r="B12" s="1" t="s">
        <v>185</v>
      </c>
      <c r="C12" s="59" t="n">
        <f aca="false">IF(B12="",0,SUMIFS('Line Detail'!$R$6:$R$505,'Line Detail'!$C$6:$C$505,B12,'Line Detail'!$B$6:$B$505,"Base"))</f>
        <v>363.827205882353</v>
      </c>
      <c r="D12" s="1" t="n">
        <f aca="false">IF(C12=0,"",SUMPRODUCT(--($C$2:C12&lt;&gt;0)))</f>
        <v>3</v>
      </c>
      <c r="E12" s="1" t="s">
        <v>369</v>
      </c>
      <c r="F12" s="1"/>
      <c r="G12" s="1"/>
      <c r="H12" s="1"/>
      <c r="I12" s="1"/>
      <c r="J12" s="1"/>
    </row>
    <row r="13" customFormat="false" ht="15" hidden="false" customHeight="false" outlineLevel="0" collapsed="false">
      <c r="A13" s="1"/>
      <c r="B13" s="1" t="s">
        <v>370</v>
      </c>
      <c r="C13" s="59" t="n">
        <f aca="false">IF(B13="",0,SUMIFS('Line Detail'!$R$6:$R$505,'Line Detail'!$C$6:$C$505,B13,'Line Detail'!$B$6:$B$505,"Base"))</f>
        <v>0</v>
      </c>
      <c r="D13" s="1" t="str">
        <f aca="false">IF(C13=0,"",SUMPRODUCT(--($C$2:C13&lt;&gt;0)))</f>
        <v/>
      </c>
      <c r="E13" s="1"/>
      <c r="F13" s="1"/>
      <c r="G13" s="1"/>
      <c r="H13" s="1"/>
      <c r="I13" s="1"/>
      <c r="J13" s="1"/>
    </row>
    <row r="14" customFormat="false" ht="15" hidden="false" customHeight="false" outlineLevel="0" collapsed="false">
      <c r="A14" s="1"/>
      <c r="B14" s="1" t="s">
        <v>371</v>
      </c>
      <c r="C14" s="59" t="n">
        <f aca="false">IF(B14="",0,SUMIFS('Line Detail'!$R$6:$R$505,'Line Detail'!$C$6:$C$505,B14,'Line Detail'!$B$6:$B$505,"Base"))</f>
        <v>0</v>
      </c>
      <c r="D14" s="1" t="str">
        <f aca="false">IF(C14=0,"",SUMPRODUCT(--($C$2:C14&lt;&gt;0)))</f>
        <v/>
      </c>
      <c r="E14" s="1"/>
      <c r="F14" s="1"/>
      <c r="G14" s="1"/>
      <c r="H14" s="1"/>
      <c r="I14" s="1"/>
      <c r="J14" s="1"/>
    </row>
    <row r="15" customFormat="false" ht="15" hidden="false" customHeight="false" outlineLevel="0" collapsed="false">
      <c r="A15" s="1"/>
      <c r="B15" s="1" t="s">
        <v>372</v>
      </c>
      <c r="C15" s="59" t="n">
        <f aca="false">IF(B15="",0,SUMIFS('Line Detail'!$R$6:$R$505,'Line Detail'!$C$6:$C$505,B15,'Line Detail'!$B$6:$B$505,"Base"))</f>
        <v>0</v>
      </c>
      <c r="D15" s="1" t="str">
        <f aca="false">IF(C15=0,"",SUMPRODUCT(--($C$2:C15&lt;&gt;0)))</f>
        <v/>
      </c>
      <c r="E15" s="1"/>
      <c r="F15" s="1"/>
      <c r="G15" s="1"/>
      <c r="H15" s="1"/>
      <c r="I15" s="1"/>
      <c r="J15" s="1"/>
    </row>
    <row r="16" customFormat="false" ht="15" hidden="false" customHeight="false" outlineLevel="0" collapsed="false">
      <c r="A16" s="1"/>
      <c r="B16" s="1" t="s">
        <v>373</v>
      </c>
      <c r="C16" s="59" t="n">
        <f aca="false">IF(B16="",0,SUMIFS('Line Detail'!$R$6:$R$505,'Line Detail'!$C$6:$C$505,B16,'Line Detail'!$B$6:$B$505,"Base"))</f>
        <v>0</v>
      </c>
      <c r="D16" s="1" t="str">
        <f aca="false">IF(C16=0,"",SUMPRODUCT(--($C$2:C16&lt;&gt;0)))</f>
        <v/>
      </c>
      <c r="E16" s="1"/>
      <c r="F16" s="1"/>
      <c r="G16" s="1"/>
      <c r="H16" s="1"/>
      <c r="I16" s="1"/>
      <c r="J16" s="1"/>
    </row>
    <row r="17" customFormat="false" ht="15" hidden="false" customHeight="false" outlineLevel="0" collapsed="false">
      <c r="A17" s="1"/>
      <c r="B17" s="1" t="s">
        <v>374</v>
      </c>
      <c r="C17" s="59" t="n">
        <f aca="false">IF(B17="",0,SUMIFS('Line Detail'!$R$6:$R$505,'Line Detail'!$C$6:$C$505,B17,'Line Detail'!$B$6:$B$505,"Base"))</f>
        <v>0</v>
      </c>
      <c r="D17" s="1" t="str">
        <f aca="false">IF(C17=0,"",SUMPRODUCT(--($C$2:C17&lt;&gt;0)))</f>
        <v/>
      </c>
      <c r="E17" s="1"/>
      <c r="F17" s="1"/>
      <c r="G17" s="1"/>
      <c r="H17" s="1"/>
      <c r="I17" s="1"/>
      <c r="J17" s="1"/>
    </row>
    <row r="18" customFormat="false" ht="15" hidden="false" customHeight="false" outlineLevel="0" collapsed="false">
      <c r="A18" s="1"/>
      <c r="B18" s="1" t="s">
        <v>375</v>
      </c>
      <c r="C18" s="59" t="n">
        <f aca="false">IF(B18="",0,SUMIFS('Line Detail'!$R$6:$R$505,'Line Detail'!$C$6:$C$505,B18,'Line Detail'!$B$6:$B$505,"Base"))</f>
        <v>0</v>
      </c>
      <c r="D18" s="1" t="str">
        <f aca="false">IF(C18=0,"",SUMPRODUCT(--($C$2:C18&lt;&gt;0)))</f>
        <v/>
      </c>
      <c r="E18" s="1"/>
      <c r="F18" s="1"/>
      <c r="G18" s="1"/>
      <c r="H18" s="1"/>
      <c r="I18" s="1"/>
      <c r="J18" s="1"/>
    </row>
    <row r="19" customFormat="false" ht="15" hidden="false" customHeight="false" outlineLevel="0" collapsed="false">
      <c r="A19" s="1"/>
      <c r="B19" s="1" t="s">
        <v>376</v>
      </c>
      <c r="C19" s="59" t="n">
        <f aca="false">IF(B19="",0,SUMIFS('Line Detail'!$R$6:$R$505,'Line Detail'!$C$6:$C$505,B19,'Line Detail'!$B$6:$B$505,"Base"))</f>
        <v>0</v>
      </c>
      <c r="D19" s="1" t="str">
        <f aca="false">IF(C19=0,"",SUMPRODUCT(--($C$2:C19&lt;&gt;0)))</f>
        <v/>
      </c>
      <c r="E19" s="1"/>
      <c r="F19" s="1"/>
      <c r="G19" s="1"/>
      <c r="H19" s="1"/>
      <c r="I19" s="1"/>
      <c r="J19" s="1"/>
    </row>
    <row r="20" customFormat="false" ht="15" hidden="false" customHeight="false" outlineLevel="0" collapsed="false">
      <c r="A20" s="1"/>
      <c r="B20" s="14"/>
      <c r="C20" s="59" t="n">
        <f aca="false">IF(B20="",0,SUMIFS('Line Detail'!$R$6:$R$505,'Line Detail'!$C$6:$C$505,B20,'Line Detail'!$B$6:$B$505,"Base"))</f>
        <v>0</v>
      </c>
      <c r="D20" s="1" t="str">
        <f aca="false">IF(C20=0,"",SUMPRODUCT(--($C$2:C20&lt;&gt;0)))</f>
        <v/>
      </c>
      <c r="E20" s="1"/>
      <c r="F20" s="1"/>
      <c r="G20" s="1"/>
      <c r="H20" s="1"/>
      <c r="I20" s="1"/>
      <c r="J20" s="1"/>
    </row>
    <row r="21" customFormat="false" ht="15" hidden="false" customHeight="false" outlineLevel="0" collapsed="false">
      <c r="A21" s="1"/>
      <c r="B21" s="14"/>
      <c r="C21" s="59" t="n">
        <f aca="false">IF(B21="",0,SUMIFS('Line Detail'!$R$6:$R$505,'Line Detail'!$C$6:$C$505,B21,'Line Detail'!$B$6:$B$505,"Base"))</f>
        <v>0</v>
      </c>
      <c r="D21" s="1" t="str">
        <f aca="false">IF(C21=0,"",SUMPRODUCT(--($C$2:C21&lt;&gt;0)))</f>
        <v/>
      </c>
      <c r="E21" s="1"/>
      <c r="F21" s="1"/>
      <c r="G21" s="1"/>
      <c r="H21" s="1"/>
      <c r="I21" s="1"/>
      <c r="J21" s="1"/>
    </row>
    <row r="22" customFormat="false" ht="15" hidden="false" customHeight="false" outlineLevel="0" collapsed="false">
      <c r="A22" s="1"/>
      <c r="B22" s="14"/>
      <c r="C22" s="59" t="n">
        <f aca="false">IF(B22="",0,SUMIFS('Line Detail'!$R$6:$R$505,'Line Detail'!$C$6:$C$505,B22,'Line Detail'!$B$6:$B$505,"Base"))</f>
        <v>0</v>
      </c>
      <c r="D22" s="1" t="str">
        <f aca="false">IF(C22=0,"",SUMPRODUCT(--($C$2:C22&lt;&gt;0)))</f>
        <v/>
      </c>
      <c r="E22" s="1"/>
      <c r="F22" s="1"/>
      <c r="G22" s="1"/>
      <c r="H22" s="1"/>
      <c r="I22" s="1"/>
      <c r="J22" s="1"/>
    </row>
    <row r="23" customFormat="false" ht="15" hidden="false" customHeight="false" outlineLevel="0" collapsed="false">
      <c r="A23" s="1"/>
      <c r="B23" s="14"/>
      <c r="C23" s="59" t="n">
        <f aca="false">IF(B23="",0,SUMIFS('Line Detail'!$R$6:$R$505,'Line Detail'!$C$6:$C$505,B23,'Line Detail'!$B$6:$B$505,"Base"))</f>
        <v>0</v>
      </c>
      <c r="D23" s="1" t="str">
        <f aca="false">IF(C23=0,"",SUMPRODUCT(--($C$2:C23&lt;&gt;0)))</f>
        <v/>
      </c>
      <c r="E23" s="1"/>
      <c r="F23" s="1"/>
      <c r="G23" s="1"/>
      <c r="H23" s="1"/>
      <c r="I23" s="1"/>
      <c r="J23" s="1"/>
    </row>
    <row r="24" customFormat="false" ht="15" hidden="false" customHeight="false" outlineLevel="0" collapsed="false">
      <c r="A24" s="1"/>
      <c r="B24" s="14"/>
      <c r="C24" s="59" t="n">
        <f aca="false">IF(B24="",0,SUMIFS('Line Detail'!$R$6:$R$505,'Line Detail'!$C$6:$C$505,B24,'Line Detail'!$B$6:$B$505,"Base"))</f>
        <v>0</v>
      </c>
      <c r="D24" s="1" t="str">
        <f aca="false">IF(C24=0,"",SUMPRODUCT(--($C$2:C24&lt;&gt;0)))</f>
        <v/>
      </c>
      <c r="E24" s="1"/>
      <c r="F24" s="1"/>
      <c r="G24" s="1"/>
      <c r="H24" s="1"/>
      <c r="I24" s="1"/>
      <c r="J24" s="1"/>
    </row>
    <row r="25" customFormat="false" ht="15" hidden="false" customHeight="false" outlineLevel="0" collapsed="false">
      <c r="A25" s="1"/>
      <c r="B25" s="14"/>
      <c r="C25" s="59" t="n">
        <f aca="false">IF(B25="",0,SUMIFS('Line Detail'!$R$6:$R$505,'Line Detail'!$C$6:$C$505,B25,'Line Detail'!$B$6:$B$505,"Base"))</f>
        <v>0</v>
      </c>
      <c r="D25" s="1" t="str">
        <f aca="false">IF(C25=0,"",SUMPRODUCT(--($C$2:C25&lt;&gt;0)))</f>
        <v/>
      </c>
      <c r="E25" s="1"/>
      <c r="F25" s="1"/>
      <c r="G25" s="1"/>
      <c r="H25" s="1"/>
      <c r="I25" s="1"/>
      <c r="J25" s="1"/>
    </row>
    <row r="26" customFormat="false" ht="15" hidden="false" customHeight="false" outlineLevel="0" collapsed="false">
      <c r="A26" s="1"/>
      <c r="B26" s="14"/>
      <c r="C26" s="59" t="n">
        <f aca="false">IF(B26="",0,SUMIFS('Line Detail'!$R$6:$R$505,'Line Detail'!$C$6:$C$505,B26,'Line Detail'!$B$6:$B$505,"Base"))</f>
        <v>0</v>
      </c>
      <c r="D26" s="1" t="str">
        <f aca="false">IF(C26=0,"",SUMPRODUCT(--($C$2:C26&lt;&gt;0)))</f>
        <v/>
      </c>
      <c r="E26" s="1"/>
      <c r="F26" s="1"/>
      <c r="G26" s="1"/>
      <c r="H26" s="1"/>
      <c r="I26" s="1"/>
      <c r="J26" s="1"/>
    </row>
    <row r="27" customFormat="false" ht="15" hidden="false" customHeight="false" outlineLevel="0" collapsed="false">
      <c r="A27" s="1"/>
      <c r="B27" s="1"/>
      <c r="C27" s="1"/>
      <c r="D27" s="1"/>
      <c r="E27" s="1"/>
      <c r="F27" s="1"/>
      <c r="G27" s="1"/>
      <c r="H27" s="1"/>
      <c r="I27" s="1"/>
      <c r="J27" s="1"/>
    </row>
    <row r="28" customFormat="false" ht="15" hidden="false" customHeight="false" outlineLevel="0" collapsed="false">
      <c r="A28" s="1"/>
      <c r="B28" s="10" t="s">
        <v>377</v>
      </c>
      <c r="C28" s="1"/>
      <c r="D28" s="1"/>
      <c r="E28" s="1"/>
      <c r="F28" s="1"/>
      <c r="G28" s="1"/>
      <c r="H28" s="1"/>
      <c r="I28" s="1"/>
      <c r="J28" s="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2026-10-06T01:47:11Z</dcterms:created>
  <dc:creator>openpyxl</dc:creator>
  <dc:description/>
  <dc:language>en-US</dc:language>
  <cp:lastModifiedBy/>
  <dcterms:modified xsi:type="dcterms:W3CDTF">2026-10-06T01:47:12Z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