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 SKUs" sheetId="1" state="visible" r:id="rId3"/>
    <sheet name="ERP Fixes" sheetId="2" state="visible" r:id="rId4"/>
    <sheet name="Summary" sheetId="3" state="visible" r:id="rId5"/>
  </sheets>
  <definedNames>
    <definedName function="false" hidden="false" localSheetId="1" name="_xlnm.Print_Titles" vbProcedure="false">'ERP Fixes'!$4:$4</definedName>
    <definedName function="false" hidden="true" localSheetId="1" name="_xlnm._FilterDatabase" vbProcedure="false">'ERP Fixes'!$A$4:$G$35</definedName>
    <definedName function="false" hidden="false" localSheetId="0" name="_xlnm.Print_Titles" vbProcedure="false">'SO SKUs'!$4:$4</definedName>
    <definedName function="false" hidden="true" localSheetId="0" name="_xlnm._FilterDatabase" vbProcedure="false">'SO SKUs'!$A$4:$G$61</definedName>
    <definedName function="false" hidden="false" localSheetId="2" name="_xlnm.Print_Titles" vbProcedure="false">Summary!$4:$4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<sst xmlns="http://schemas.openxmlformats.org/spreadsheetml/2006/main" count="539" uniqueCount="190">
  <si>
    <t xml:space="preserve">Special Order SKUs: Cleaned &amp; Categorized</t>
  </si>
  <si>
    <t xml:space="preserve">Cleaned descriptions and suggested short descriptions (30 char max). Notes shaded by fix priority: pink high, orange medium, green low (see ERP Fixes tab). Gray rows = Stocked FALSE.</t>
  </si>
  <si>
    <t xml:space="preserve">Category</t>
  </si>
  <si>
    <t xml:space="preserve">Product Code</t>
  </si>
  <si>
    <t xml:space="preserve">Description</t>
  </si>
  <si>
    <t xml:space="preserve">Short Description</t>
  </si>
  <si>
    <t xml:space="preserve">UOM</t>
  </si>
  <si>
    <t xml:space="preserve">Stocked</t>
  </si>
  <si>
    <t xml:space="preserve">Cleanup Notes</t>
  </si>
  <si>
    <t xml:space="preserve">Windows</t>
  </si>
  <si>
    <t xml:space="preserve">SO ATRIUM</t>
  </si>
  <si>
    <t xml:space="preserve">SPECIAL ORDER ATRIUM WINDOW</t>
  </si>
  <si>
    <t xml:space="preserve">ea</t>
  </si>
  <si>
    <t xml:space="preserve">SO ES WINDOWS</t>
  </si>
  <si>
    <t xml:space="preserve">SPECIAL ORDER ES WINDOW</t>
  </si>
  <si>
    <t xml:space="preserve">Code is plural, every other window code is singular</t>
  </si>
  <si>
    <t xml:space="preserve">SO JELD-WEN</t>
  </si>
  <si>
    <t xml:space="preserve">SPECIAL ORDER JELD-WEN WINDOW</t>
  </si>
  <si>
    <t xml:space="preserve">Short desc was SPECIAL ORDER JELD-WEN</t>
  </si>
  <si>
    <t xml:space="preserve">SO KOLBE</t>
  </si>
  <si>
    <t xml:space="preserve">SPECIAL ORDER KOLBE WINDOW</t>
  </si>
  <si>
    <t xml:space="preserve">Short desc was generic SPECIAL ORDER WINDOW</t>
  </si>
  <si>
    <t xml:space="preserve">SO LEPAGE</t>
  </si>
  <si>
    <t xml:space="preserve">SPECIAL ORDER LEPAGE WINDOW</t>
  </si>
  <si>
    <t xml:space="preserve">Code had a leading space; description reworded to match (was WINDOW SPECIAL ORDER LEPAGE); short desc was generic; Avg Cost UOM blank</t>
  </si>
  <si>
    <t xml:space="preserve">SO MISC WOOD WINDOW</t>
  </si>
  <si>
    <t xml:space="preserve">SPECIAL ORDER MISC WOOD WINDOW</t>
  </si>
  <si>
    <t xml:space="preserve">SO PGT</t>
  </si>
  <si>
    <t xml:space="preserve">SPECIAL ORDER PGT WINDOW</t>
  </si>
  <si>
    <t xml:space="preserve">SO PLYGEM</t>
  </si>
  <si>
    <t xml:space="preserve">SPECIAL ORDER PLYGEM WINDOW</t>
  </si>
  <si>
    <t xml:space="preserve">Short desc was SPECIAL ORDER PLYGEM; Avg Cost UOM blank</t>
  </si>
  <si>
    <t xml:space="preserve">SO QUAKER</t>
  </si>
  <si>
    <t xml:space="preserve">SPECIAL ORDER QUAKER WINDOW</t>
  </si>
  <si>
    <t xml:space="preserve">Description had a leading space; short desc was generic; Avg Cost UOM blank</t>
  </si>
  <si>
    <t xml:space="preserve">SO QUARTZ</t>
  </si>
  <si>
    <t xml:space="preserve">SPECIAL ORDER QUARTZ WINDOW</t>
  </si>
  <si>
    <t xml:space="preserve">Description had leading spaces; short desc was generic; Avg Cost UOM blank</t>
  </si>
  <si>
    <t xml:space="preserve">SO SIMONTON</t>
  </si>
  <si>
    <t xml:space="preserve">SPECIAL ORDER SIMONTON WINDOW</t>
  </si>
  <si>
    <t xml:space="preserve">SO WINDSOR</t>
  </si>
  <si>
    <t xml:space="preserve">SPECIAL ORDER WINDSOR WINDOW</t>
  </si>
  <si>
    <t xml:space="preserve">Short desc was SPECIAL ORDER WINDSOR</t>
  </si>
  <si>
    <t xml:space="preserve">SO YKK</t>
  </si>
  <si>
    <t xml:space="preserve">SPECIAL ORDER YKK WINDOW</t>
  </si>
  <si>
    <t xml:space="preserve">SO WINDOW PARTS</t>
  </si>
  <si>
    <t xml:space="preserve">SPECIAL ORDER WINDOW PARTS</t>
  </si>
  <si>
    <t xml:space="preserve">Short desc was WRONG (said SPECIAL ORDER WINDSOR)</t>
  </si>
  <si>
    <t xml:space="preserve">SO COMMERCIAL JELD-WEN WINDOW</t>
  </si>
  <si>
    <t xml:space="preserve">SPECIAL ORDER COMMERCIAL JELD-WEN WINDOW</t>
  </si>
  <si>
    <t xml:space="preserve">SPECIAL ORDER COM JELD-WEN</t>
  </si>
  <si>
    <t xml:space="preserve">Description reworded (was WINDOW SPECIAL ORDER COMMERCIAL JELD-WEN); short desc was generic</t>
  </si>
  <si>
    <t xml:space="preserve">SO COMMERCIAL PGT WINDOW</t>
  </si>
  <si>
    <t xml:space="preserve">SPECIAL ORDER COMMERCIAL PGT WINDOW</t>
  </si>
  <si>
    <t xml:space="preserve">SPECIAL ORDER COM PGT WINDOW</t>
  </si>
  <si>
    <t xml:space="preserve">SO COMMERCIAL MISC WINDOW</t>
  </si>
  <si>
    <t xml:space="preserve">SPECIAL ORDER COMMERCIAL MISC WINDOW</t>
  </si>
  <si>
    <t xml:space="preserve">SPECIAL ORDER COM MISC WINDOW</t>
  </si>
  <si>
    <t xml:space="preserve">SO COMMERCIAL WINDOW PARTS</t>
  </si>
  <si>
    <t xml:space="preserve">SPECIAL ORDER COMMERCIAL WINDOW PARTS</t>
  </si>
  <si>
    <t xml:space="preserve">SPECIAL ORDER COM WINDOW PARTS</t>
  </si>
  <si>
    <t xml:space="preserve">Doors</t>
  </si>
  <si>
    <t xml:space="preserve">SO INT DOOR</t>
  </si>
  <si>
    <t xml:space="preserve">SPECIAL ORDER INTERIOR DOOR</t>
  </si>
  <si>
    <t xml:space="preserve">Keep: use this one for interior doors</t>
  </si>
  <si>
    <t xml:space="preserve">SO INTERIOR DOOR</t>
  </si>
  <si>
    <t xml:space="preserve">DUPLICATE of SO INT DOOR; consider retiring; Avg Cost UOM blank</t>
  </si>
  <si>
    <t xml:space="preserve">SO COMMERCIAL INT DOOR</t>
  </si>
  <si>
    <t xml:space="preserve">SPECIAL ORDER COMMERCIAL INTERIOR DOOR</t>
  </si>
  <si>
    <t xml:space="preserve">SPECIAL ORDER COM INT DOOR</t>
  </si>
  <si>
    <t xml:space="preserve">Description reworded (was INTERIOR DOOR SPECIAL ORDER COMMERCIAL); short desc was same as residential SO INT DOOR</t>
  </si>
  <si>
    <t xml:space="preserve">SO EXT DOOR</t>
  </si>
  <si>
    <t xml:space="preserve">SPECIAL ORDER EXTERIOR DOOR</t>
  </si>
  <si>
    <t xml:space="preserve">Keep: use this one for general exterior doors</t>
  </si>
  <si>
    <t xml:space="preserve">SO EXTERIOR DOOR</t>
  </si>
  <si>
    <t xml:space="preserve">DUPLICATE of SO EXT DOOR; consider retiring; description was plural DOORS</t>
  </si>
  <si>
    <t xml:space="preserve">SO EXT FIBERGLASS DOOR</t>
  </si>
  <si>
    <t xml:space="preserve">SPECIAL ORDER EXTERIOR FIBERGLASS DOOR</t>
  </si>
  <si>
    <t xml:space="preserve">SPECIAL ORDER FIBERGLASS DOOR</t>
  </si>
  <si>
    <t xml:space="preserve">Short desc had a double space</t>
  </si>
  <si>
    <t xml:space="preserve">SO EXT STEEL DOOR</t>
  </si>
  <si>
    <t xml:space="preserve">SPECIAL ORDER EXTERIOR STEEL DOOR</t>
  </si>
  <si>
    <t xml:space="preserve">SPECIAL ORDER EXT STEEL DOOR</t>
  </si>
  <si>
    <t xml:space="preserve">SO EXT WOOD DOOR</t>
  </si>
  <si>
    <t xml:space="preserve">SPECIAL ORDER EXTERIOR WOOD DOOR</t>
  </si>
  <si>
    <t xml:space="preserve">SPECIAL ORDER EXT WOOD DOOR</t>
  </si>
  <si>
    <t xml:space="preserve">SO EXT ORIGIN DOOR</t>
  </si>
  <si>
    <t xml:space="preserve">SPECIAL ORDER EXTERIOR ORIGIN DOOR</t>
  </si>
  <si>
    <t xml:space="preserve">SPECIAL ORDER ORIGIN DOOR</t>
  </si>
  <si>
    <t xml:space="preserve">Added EXTERIOR to description to match the other EXT codes</t>
  </si>
  <si>
    <t xml:space="preserve">SO EXT MISC MULTI SLIDE DOOR</t>
  </si>
  <si>
    <t xml:space="preserve">SPECIAL ORDER EXTERIOR MISC MULTI SLIDE DOOR</t>
  </si>
  <si>
    <t xml:space="preserve">SPECIAL ORDER EXT MULTI SLIDE</t>
  </si>
  <si>
    <t xml:space="preserve">SO COMMERCIAL EXT DOOR</t>
  </si>
  <si>
    <t xml:space="preserve">SPECIAL ORDER COMMERCIAL EXTERIOR DOOR</t>
  </si>
  <si>
    <t xml:space="preserve">SPECIAL ORDER COM EXT DOOR</t>
  </si>
  <si>
    <t xml:space="preserve">Description reworded (was EXTERIOR DOOR SPECIAL ORDER COMMERCIAL); short desc had a double space</t>
  </si>
  <si>
    <t xml:space="preserve">SO DOOR HARDWARE</t>
  </si>
  <si>
    <t xml:space="preserve">SPECIAL ORDER DOOR HARDWARE</t>
  </si>
  <si>
    <t xml:space="preserve">Millwork</t>
  </si>
  <si>
    <t xml:space="preserve">SO MILLWORK (EACH)</t>
  </si>
  <si>
    <t xml:space="preserve">SPECIAL ORDER MILLWORK (EACH)</t>
  </si>
  <si>
    <t xml:space="preserve">SO MILLWORK (LF)</t>
  </si>
  <si>
    <t xml:space="preserve">SPECIAL ORDER MILLWORK (LF)</t>
  </si>
  <si>
    <t xml:space="preserve">LF-1</t>
  </si>
  <si>
    <t xml:space="preserve">SO MILLWORK (BF)</t>
  </si>
  <si>
    <t xml:space="preserve">SPECIAL ORDER MILLWORK (BF)</t>
  </si>
  <si>
    <t xml:space="preserve">BF-1</t>
  </si>
  <si>
    <t xml:space="preserve">Short desc was WRONG (said MILLWORK (LF))</t>
  </si>
  <si>
    <t xml:space="preserve">SO AW MILLWORK (EACH)</t>
  </si>
  <si>
    <t xml:space="preserve">SPECIAL ORDER AW MILLWORK (EACH)</t>
  </si>
  <si>
    <t xml:space="preserve">SPECIAL ORDER AW MILLWORK (EA)</t>
  </si>
  <si>
    <t xml:space="preserve">Description had a double space; short desc was identical to SO MILLWORK (EACH); Avg Cost UOM blank</t>
  </si>
  <si>
    <t xml:space="preserve">SO MOULDER (LF)</t>
  </si>
  <si>
    <t xml:space="preserve">SPECIAL ORDER MOULDER (LF)</t>
  </si>
  <si>
    <t xml:space="preserve">SO S4S</t>
  </si>
  <si>
    <t xml:space="preserve">SPECIAL ORDER S4S</t>
  </si>
  <si>
    <t xml:space="preserve">SO PVC</t>
  </si>
  <si>
    <t xml:space="preserve">SPECIAL ORDER PVC</t>
  </si>
  <si>
    <t xml:space="preserve">SO PRIMER (LF)</t>
  </si>
  <si>
    <t xml:space="preserve">SPECIAL ORDER PRIMER (LF)</t>
  </si>
  <si>
    <t xml:space="preserve">Name says LF but sells by ea; has a price set (sell 0.52 / buy 0.35)</t>
  </si>
  <si>
    <t xml:space="preserve">SO MANTIS</t>
  </si>
  <si>
    <t xml:space="preserve">SPECIAL ORDER MANTIS CNC</t>
  </si>
  <si>
    <t xml:space="preserve">Has a price set (sell 0.50 / buy 0.34); check if it should be per LF</t>
  </si>
  <si>
    <t xml:space="preserve">SO AW KNIFE</t>
  </si>
  <si>
    <t xml:space="preserve">SPECIAL ORDER STOCK KNIFE</t>
  </si>
  <si>
    <t xml:space="preserve">Short desc was generic SPECIAL ORDER MISC ITEM; Avg Cost UOM blank</t>
  </si>
  <si>
    <t xml:space="preserve">Lumber &amp; Panels</t>
  </si>
  <si>
    <t xml:space="preserve">SO HARDWOOD</t>
  </si>
  <si>
    <t xml:space="preserve">SPECIAL ORDER HARDWOOD</t>
  </si>
  <si>
    <t xml:space="preserve">SO MAPLE</t>
  </si>
  <si>
    <t xml:space="preserve">SPECIAL ORDER MAPLE</t>
  </si>
  <si>
    <t xml:space="preserve">SO YELLOW PINE</t>
  </si>
  <si>
    <t xml:space="preserve">SPECIAL ORDER YELLOW PINE</t>
  </si>
  <si>
    <t xml:space="preserve">SO TREATED</t>
  </si>
  <si>
    <t xml:space="preserve">SPECIAL ORDER TREATED</t>
  </si>
  <si>
    <t xml:space="preserve">SO IPE</t>
  </si>
  <si>
    <t xml:space="preserve">SPECIAL ORDER IPE</t>
  </si>
  <si>
    <t xml:space="preserve">SO GARAPA</t>
  </si>
  <si>
    <t xml:space="preserve">SPECIAL ORDER GARAPA</t>
  </si>
  <si>
    <t xml:space="preserve">SO PANELS</t>
  </si>
  <si>
    <t xml:space="preserve">SPECIAL ORDER PANELS</t>
  </si>
  <si>
    <t xml:space="preserve">SO LUMBER-PC</t>
  </si>
  <si>
    <t xml:space="preserve">SPECIAL ORDER LUMBER-PC</t>
  </si>
  <si>
    <t xml:space="preserve">Code had trailing spaces; short desc was WRONG (said SPECIAL ORDER SHINGLES)</t>
  </si>
  <si>
    <t xml:space="preserve">Structural</t>
  </si>
  <si>
    <t xml:space="preserve">SO EWP</t>
  </si>
  <si>
    <t xml:space="preserve">SPECIAL ORDER EWP PACKAGE</t>
  </si>
  <si>
    <t xml:space="preserve">SO TRUSSES</t>
  </si>
  <si>
    <t xml:space="preserve">SPECIAL ORDER TRUSS PACKAGE</t>
  </si>
  <si>
    <t xml:space="preserve">SO STEEL</t>
  </si>
  <si>
    <t xml:space="preserve">SPECIAL ORDER STEEL</t>
  </si>
  <si>
    <t xml:space="preserve">Roofing</t>
  </si>
  <si>
    <t xml:space="preserve">SO SHINGLES</t>
  </si>
  <si>
    <t xml:space="preserve">SPECIAL ORDER SHINGLES</t>
  </si>
  <si>
    <t xml:space="preserve">Avg Cost UOM blank</t>
  </si>
  <si>
    <t xml:space="preserve">SO SHINGLES-PC</t>
  </si>
  <si>
    <t xml:space="preserve">SPECIAL ORDER SHINGLES-PC</t>
  </si>
  <si>
    <t xml:space="preserve">Short desc was SPECIAL ORDER SHINGLES (same as non-PC)</t>
  </si>
  <si>
    <t xml:space="preserve">SO ROOF SHAKE</t>
  </si>
  <si>
    <t xml:space="preserve">SPECIAL ORDER ROOF SHAKE</t>
  </si>
  <si>
    <t xml:space="preserve">SO ROOF SHAKE-PC</t>
  </si>
  <si>
    <t xml:space="preserve">SPECIAL ORDER ROOF SHAKE-PC</t>
  </si>
  <si>
    <t xml:space="preserve">Code and description had a leading space; short desc was same as non-PC</t>
  </si>
  <si>
    <t xml:space="preserve">Misc</t>
  </si>
  <si>
    <t xml:space="preserve">SO MISC</t>
  </si>
  <si>
    <t xml:space="preserve">SPECIAL ORDER MISC ITEMS</t>
  </si>
  <si>
    <t xml:space="preserve">Has a stray Last Cost of 0.56</t>
  </si>
  <si>
    <t xml:space="preserve">SO MISC - AW</t>
  </si>
  <si>
    <t xml:space="preserve">SPECIAL ORDER MISC ITEM - AW</t>
  </si>
  <si>
    <t xml:space="preserve">ERP Cleanup To-Do</t>
  </si>
  <si>
    <t xml:space="preserve">Put an X in the yellow Done column as each record is fixed. High = duplicates, wrong descriptions, bad codes.</t>
  </si>
  <si>
    <t xml:space="preserve">Priority</t>
  </si>
  <si>
    <t xml:space="preserve">Issue</t>
  </si>
  <si>
    <t xml:space="preserve">Suggested Description</t>
  </si>
  <si>
    <t xml:space="preserve">Suggested Short Description</t>
  </si>
  <si>
    <t xml:space="preserve">Done</t>
  </si>
  <si>
    <t xml:space="preserve">High</t>
  </si>
  <si>
    <t xml:space="preserve">Medium</t>
  </si>
  <si>
    <t xml:space="preserve">Low</t>
  </si>
  <si>
    <t xml:space="preserve">Summary</t>
  </si>
  <si>
    <t xml:space="preserve">Counts update automatically from the other two tabs.</t>
  </si>
  <si>
    <t xml:space="preserve">SKUs</t>
  </si>
  <si>
    <t xml:space="preserve">Stocked TRUE</t>
  </si>
  <si>
    <t xml:space="preserve">Stocked FALSE</t>
  </si>
  <si>
    <t xml:space="preserve">ERP Fixes</t>
  </si>
  <si>
    <t xml:space="preserve">Fixes Done</t>
  </si>
  <si>
    <t xml:space="preserve">Fixes Left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</si>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</sst>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B2622"/>
      <name val="Arial"/>
      <family val="0"/>
      <charset val="1"/>
    </font>
    <font>
      <i val="true"/>
      <sz val="10"/>
      <color rgb="FF8A81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B262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8A8178"/>
      <name val="Arial"/>
      <family val="0"/>
      <charset val="1"/>
    </font>
    <font>
      <sz val="10"/>
      <color rgb="FF8A81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B2622"/>
        <bgColor rgb="FF333300"/>
      </patternFill>
    </fill>
    <fill>
      <patternFill patternType="solid">
        <fgColor rgb="FFF4F2EE"/>
        <bgColor rgb="FFE5F2E8"/>
      </patternFill>
    </fill>
    <fill>
      <patternFill patternType="solid">
        <fgColor rgb="FFE5F2E8"/>
        <bgColor rgb="FFF4F2EE"/>
      </patternFill>
    </fill>
    <fill>
      <patternFill patternType="solid">
        <fgColor rgb="FFF8D7D3"/>
        <bgColor rgb="FFE3DED7"/>
      </patternFill>
    </fill>
    <fill>
      <patternFill patternType="solid">
        <fgColor rgb="FFFCE9C8"/>
        <bgColor rgb="FFF8D7D3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DED7"/>
      </bottom>
      <diagonal/>
    </border>
    <border diagonalUp="false" diagonalDown="false">
      <left/>
      <right/>
      <top style="medium">
        <color rgb="FF8B5E34"/>
      </top>
      <bottom style="thin">
        <color rgb="FFE3DED7"/>
      </bottom>
      <diagonal/>
    </border>
    <border diagonalUp="false" diagonalDown="false">
      <left/>
      <right/>
      <top style="medium">
        <color rgb="FF2B2622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B2622"/>
          <bgColor rgb="FF000000"/>
        </patternFill>
      </fill>
    </dxf>
    <dxf>
      <fill>
        <patternFill patternType="solid">
          <fgColor rgb="FFF4F2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8178"/>
          <bgColor rgb="FF000000"/>
        </patternFill>
      </fill>
    </dxf>
    <dxf>
      <fill>
        <patternFill patternType="solid">
          <fgColor rgb="FFE5F2E8"/>
          <bgColor rgb="FF000000"/>
        </patternFill>
      </fill>
    </dxf>
    <dxf>
      <fill>
        <patternFill patternType="solid">
          <fgColor rgb="FFF8D7D3"/>
          <bgColor rgb="FF000000"/>
        </patternFill>
      </fill>
    </dxf>
    <dxf>
      <fill>
        <patternFill patternType="solid">
          <fgColor rgb="FFFCE9C8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E34"/>
      <rgbColor rgb="FF800080"/>
      <rgbColor rgb="FF008080"/>
      <rgbColor rgb="FFC0C0C0"/>
      <rgbColor rgb="FF8A8178"/>
      <rgbColor rgb="FF9999FF"/>
      <rgbColor rgb="FF993366"/>
      <rgbColor rgb="FFF4F2EE"/>
      <rgbColor rgb="FFE5F2E8"/>
      <rgbColor rgb="FF660066"/>
      <rgbColor rgb="FFFF8080"/>
      <rgbColor rgb="FF0066CC"/>
      <rgbColor rgb="FFE3DE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9C8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6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4" min="4" style="0" width="35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6" t="s">
        <v>11</v>
      </c>
      <c r="D5" s="7" t="s">
        <v>11</v>
      </c>
      <c r="E5" s="8" t="s">
        <v>12</v>
      </c>
      <c r="F5" s="9" t="b">
        <f aca="false">TRUE()</f>
        <v>1</v>
      </c>
      <c r="G5" s="6"/>
    </row>
    <row r="6" customFormat="false" ht="15" hidden="false" customHeight="false" outlineLevel="0" collapsed="false">
      <c r="A6" s="4" t="s">
        <v>9</v>
      </c>
      <c r="B6" s="5" t="s">
        <v>13</v>
      </c>
      <c r="C6" s="6" t="s">
        <v>14</v>
      </c>
      <c r="D6" s="7" t="s">
        <v>14</v>
      </c>
      <c r="E6" s="8" t="s">
        <v>12</v>
      </c>
      <c r="F6" s="9" t="b">
        <f aca="false">TRUE()</f>
        <v>1</v>
      </c>
      <c r="G6" s="10" t="s">
        <v>15</v>
      </c>
    </row>
    <row r="7" customFormat="false" ht="15" hidden="false" customHeight="false" outlineLevel="0" collapsed="false">
      <c r="A7" s="4" t="s">
        <v>9</v>
      </c>
      <c r="B7" s="5" t="s">
        <v>16</v>
      </c>
      <c r="C7" s="6" t="s">
        <v>17</v>
      </c>
      <c r="D7" s="7" t="s">
        <v>17</v>
      </c>
      <c r="E7" s="8" t="s">
        <v>12</v>
      </c>
      <c r="F7" s="9" t="b">
        <f aca="false">TRUE()</f>
        <v>1</v>
      </c>
      <c r="G7" s="10" t="s">
        <v>18</v>
      </c>
    </row>
    <row r="8" customFormat="false" ht="15" hidden="false" customHeight="false" outlineLevel="0" collapsed="false">
      <c r="A8" s="4" t="s">
        <v>9</v>
      </c>
      <c r="B8" s="5" t="s">
        <v>19</v>
      </c>
      <c r="C8" s="6" t="s">
        <v>20</v>
      </c>
      <c r="D8" s="7" t="s">
        <v>20</v>
      </c>
      <c r="E8" s="8" t="s">
        <v>12</v>
      </c>
      <c r="F8" s="9" t="b">
        <f aca="false">TRUE()</f>
        <v>1</v>
      </c>
      <c r="G8" s="10" t="s">
        <v>21</v>
      </c>
    </row>
    <row r="9" customFormat="false" ht="23.85" hidden="false" customHeight="false" outlineLevel="0" collapsed="false">
      <c r="A9" s="4" t="s">
        <v>9</v>
      </c>
      <c r="B9" s="5" t="s">
        <v>22</v>
      </c>
      <c r="C9" s="6" t="s">
        <v>23</v>
      </c>
      <c r="D9" s="7" t="s">
        <v>23</v>
      </c>
      <c r="E9" s="8" t="s">
        <v>12</v>
      </c>
      <c r="F9" s="9" t="b">
        <f aca="false">TRUE()</f>
        <v>1</v>
      </c>
      <c r="G9" s="11" t="s">
        <v>24</v>
      </c>
    </row>
    <row r="10" customFormat="false" ht="15" hidden="false" customHeight="false" outlineLevel="0" collapsed="false">
      <c r="A10" s="4" t="s">
        <v>9</v>
      </c>
      <c r="B10" s="5" t="s">
        <v>25</v>
      </c>
      <c r="C10" s="6" t="s">
        <v>26</v>
      </c>
      <c r="D10" s="7" t="s">
        <v>26</v>
      </c>
      <c r="E10" s="8" t="s">
        <v>12</v>
      </c>
      <c r="F10" s="9" t="b">
        <f aca="false">TRUE()</f>
        <v>1</v>
      </c>
      <c r="G10" s="6"/>
    </row>
    <row r="11" customFormat="false" ht="15" hidden="false" customHeight="false" outlineLevel="0" collapsed="false">
      <c r="A11" s="4" t="s">
        <v>9</v>
      </c>
      <c r="B11" s="5" t="s">
        <v>27</v>
      </c>
      <c r="C11" s="6" t="s">
        <v>28</v>
      </c>
      <c r="D11" s="7" t="s">
        <v>28</v>
      </c>
      <c r="E11" s="8" t="s">
        <v>12</v>
      </c>
      <c r="F11" s="9" t="b">
        <f aca="false">TRUE()</f>
        <v>1</v>
      </c>
      <c r="G11" s="10" t="s">
        <v>21</v>
      </c>
    </row>
    <row r="12" customFormat="false" ht="15" hidden="false" customHeight="false" outlineLevel="0" collapsed="false">
      <c r="A12" s="4" t="s">
        <v>9</v>
      </c>
      <c r="B12" s="5" t="s">
        <v>29</v>
      </c>
      <c r="C12" s="6" t="s">
        <v>30</v>
      </c>
      <c r="D12" s="7" t="s">
        <v>30</v>
      </c>
      <c r="E12" s="8" t="s">
        <v>12</v>
      </c>
      <c r="F12" s="9" t="b">
        <f aca="false">TRUE()</f>
        <v>1</v>
      </c>
      <c r="G12" s="10" t="s">
        <v>31</v>
      </c>
    </row>
    <row r="13" customFormat="false" ht="23.85" hidden="false" customHeight="false" outlineLevel="0" collapsed="false">
      <c r="A13" s="4" t="s">
        <v>9</v>
      </c>
      <c r="B13" s="5" t="s">
        <v>32</v>
      </c>
      <c r="C13" s="6" t="s">
        <v>33</v>
      </c>
      <c r="D13" s="7" t="s">
        <v>33</v>
      </c>
      <c r="E13" s="8" t="s">
        <v>12</v>
      </c>
      <c r="F13" s="9" t="b">
        <f aca="false">TRUE()</f>
        <v>1</v>
      </c>
      <c r="G13" s="10" t="s">
        <v>34</v>
      </c>
    </row>
    <row r="14" customFormat="false" ht="23.85" hidden="false" customHeight="false" outlineLevel="0" collapsed="false">
      <c r="A14" s="4" t="s">
        <v>9</v>
      </c>
      <c r="B14" s="5" t="s">
        <v>35</v>
      </c>
      <c r="C14" s="6" t="s">
        <v>36</v>
      </c>
      <c r="D14" s="7" t="s">
        <v>36</v>
      </c>
      <c r="E14" s="8" t="s">
        <v>12</v>
      </c>
      <c r="F14" s="9" t="b">
        <f aca="false">TRUE()</f>
        <v>1</v>
      </c>
      <c r="G14" s="10" t="s">
        <v>37</v>
      </c>
    </row>
    <row r="15" customFormat="false" ht="15" hidden="false" customHeight="false" outlineLevel="0" collapsed="false">
      <c r="A15" s="4" t="s">
        <v>9</v>
      </c>
      <c r="B15" s="5" t="s">
        <v>38</v>
      </c>
      <c r="C15" s="6" t="s">
        <v>39</v>
      </c>
      <c r="D15" s="7" t="s">
        <v>39</v>
      </c>
      <c r="E15" s="8" t="s">
        <v>12</v>
      </c>
      <c r="F15" s="9" t="b">
        <f aca="false">TRUE()</f>
        <v>1</v>
      </c>
      <c r="G15" s="6"/>
    </row>
    <row r="16" customFormat="false" ht="15" hidden="false" customHeight="false" outlineLevel="0" collapsed="false">
      <c r="A16" s="4" t="s">
        <v>9</v>
      </c>
      <c r="B16" s="5" t="s">
        <v>40</v>
      </c>
      <c r="C16" s="6" t="s">
        <v>41</v>
      </c>
      <c r="D16" s="7" t="s">
        <v>41</v>
      </c>
      <c r="E16" s="8" t="s">
        <v>12</v>
      </c>
      <c r="F16" s="9" t="b">
        <f aca="false">TRUE()</f>
        <v>1</v>
      </c>
      <c r="G16" s="10" t="s">
        <v>42</v>
      </c>
    </row>
    <row r="17" customFormat="false" ht="15" hidden="false" customHeight="false" outlineLevel="0" collapsed="false">
      <c r="A17" s="4" t="s">
        <v>9</v>
      </c>
      <c r="B17" s="5" t="s">
        <v>43</v>
      </c>
      <c r="C17" s="6" t="s">
        <v>44</v>
      </c>
      <c r="D17" s="7" t="s">
        <v>44</v>
      </c>
      <c r="E17" s="8" t="s">
        <v>12</v>
      </c>
      <c r="F17" s="9" t="b">
        <f aca="false">TRUE()</f>
        <v>1</v>
      </c>
      <c r="G17" s="6"/>
    </row>
    <row r="18" customFormat="false" ht="15" hidden="false" customHeight="false" outlineLevel="0" collapsed="false">
      <c r="A18" s="4" t="s">
        <v>9</v>
      </c>
      <c r="B18" s="5" t="s">
        <v>45</v>
      </c>
      <c r="C18" s="6" t="s">
        <v>46</v>
      </c>
      <c r="D18" s="7" t="s">
        <v>46</v>
      </c>
      <c r="E18" s="8" t="s">
        <v>12</v>
      </c>
      <c r="F18" s="9" t="b">
        <f aca="false">TRUE()</f>
        <v>1</v>
      </c>
      <c r="G18" s="11" t="s">
        <v>47</v>
      </c>
    </row>
    <row r="19" customFormat="false" ht="23.85" hidden="false" customHeight="false" outlineLevel="0" collapsed="false">
      <c r="A19" s="4" t="s">
        <v>9</v>
      </c>
      <c r="B19" s="5" t="s">
        <v>48</v>
      </c>
      <c r="C19" s="6" t="s">
        <v>49</v>
      </c>
      <c r="D19" s="7" t="s">
        <v>50</v>
      </c>
      <c r="E19" s="8" t="s">
        <v>12</v>
      </c>
      <c r="F19" s="9" t="b">
        <f aca="false">TRUE()</f>
        <v>1</v>
      </c>
      <c r="G19" s="10" t="s">
        <v>51</v>
      </c>
    </row>
    <row r="20" customFormat="false" ht="15" hidden="false" customHeight="false" outlineLevel="0" collapsed="false">
      <c r="A20" s="4" t="s">
        <v>9</v>
      </c>
      <c r="B20" s="5" t="s">
        <v>52</v>
      </c>
      <c r="C20" s="6" t="s">
        <v>53</v>
      </c>
      <c r="D20" s="7" t="s">
        <v>54</v>
      </c>
      <c r="E20" s="8" t="s">
        <v>12</v>
      </c>
      <c r="F20" s="9" t="b">
        <f aca="false">TRUE()</f>
        <v>1</v>
      </c>
      <c r="G20" s="10" t="s">
        <v>21</v>
      </c>
    </row>
    <row r="21" customFormat="false" ht="15" hidden="false" customHeight="false" outlineLevel="0" collapsed="false">
      <c r="A21" s="4" t="s">
        <v>9</v>
      </c>
      <c r="B21" s="5" t="s">
        <v>55</v>
      </c>
      <c r="C21" s="6" t="s">
        <v>56</v>
      </c>
      <c r="D21" s="7" t="s">
        <v>57</v>
      </c>
      <c r="E21" s="8" t="s">
        <v>12</v>
      </c>
      <c r="F21" s="9" t="b">
        <f aca="false">TRUE()</f>
        <v>1</v>
      </c>
      <c r="G21" s="10" t="s">
        <v>21</v>
      </c>
    </row>
    <row r="22" customFormat="false" ht="15" hidden="false" customHeight="false" outlineLevel="0" collapsed="false">
      <c r="A22" s="4" t="s">
        <v>9</v>
      </c>
      <c r="B22" s="5" t="s">
        <v>58</v>
      </c>
      <c r="C22" s="6" t="s">
        <v>59</v>
      </c>
      <c r="D22" s="7" t="s">
        <v>60</v>
      </c>
      <c r="E22" s="8" t="s">
        <v>12</v>
      </c>
      <c r="F22" s="9" t="b">
        <f aca="false">TRUE()</f>
        <v>1</v>
      </c>
      <c r="G22" s="6"/>
    </row>
    <row r="23" customFormat="false" ht="15" hidden="false" customHeight="false" outlineLevel="0" collapsed="false">
      <c r="A23" s="12" t="s">
        <v>61</v>
      </c>
      <c r="B23" s="13" t="s">
        <v>62</v>
      </c>
      <c r="C23" s="14" t="s">
        <v>63</v>
      </c>
      <c r="D23" s="15" t="s">
        <v>63</v>
      </c>
      <c r="E23" s="16" t="s">
        <v>12</v>
      </c>
      <c r="F23" s="17" t="b">
        <f aca="false">TRUE()</f>
        <v>1</v>
      </c>
      <c r="G23" s="14" t="s">
        <v>64</v>
      </c>
    </row>
    <row r="24" customFormat="false" ht="15" hidden="false" customHeight="false" outlineLevel="0" collapsed="false">
      <c r="A24" s="18" t="s">
        <v>61</v>
      </c>
      <c r="B24" s="19" t="s">
        <v>65</v>
      </c>
      <c r="C24" s="20" t="s">
        <v>63</v>
      </c>
      <c r="D24" s="21" t="s">
        <v>63</v>
      </c>
      <c r="E24" s="22" t="s">
        <v>12</v>
      </c>
      <c r="F24" s="23" t="b">
        <f aca="false">FALSE()</f>
        <v>0</v>
      </c>
      <c r="G24" s="24" t="s">
        <v>66</v>
      </c>
    </row>
    <row r="25" customFormat="false" ht="23.85" hidden="false" customHeight="false" outlineLevel="0" collapsed="false">
      <c r="A25" s="18" t="s">
        <v>61</v>
      </c>
      <c r="B25" s="25" t="s">
        <v>67</v>
      </c>
      <c r="C25" s="26" t="s">
        <v>68</v>
      </c>
      <c r="D25" s="27" t="s">
        <v>69</v>
      </c>
      <c r="E25" s="28" t="s">
        <v>12</v>
      </c>
      <c r="F25" s="29" t="b">
        <f aca="false">TRUE()</f>
        <v>1</v>
      </c>
      <c r="G25" s="10" t="s">
        <v>70</v>
      </c>
    </row>
    <row r="26" customFormat="false" ht="15" hidden="false" customHeight="false" outlineLevel="0" collapsed="false">
      <c r="A26" s="18" t="s">
        <v>61</v>
      </c>
      <c r="B26" s="25" t="s">
        <v>71</v>
      </c>
      <c r="C26" s="26" t="s">
        <v>72</v>
      </c>
      <c r="D26" s="27" t="s">
        <v>72</v>
      </c>
      <c r="E26" s="28" t="s">
        <v>12</v>
      </c>
      <c r="F26" s="29" t="b">
        <f aca="false">TRUE()</f>
        <v>1</v>
      </c>
      <c r="G26" s="26" t="s">
        <v>73</v>
      </c>
    </row>
    <row r="27" customFormat="false" ht="23.85" hidden="false" customHeight="false" outlineLevel="0" collapsed="false">
      <c r="A27" s="18" t="s">
        <v>61</v>
      </c>
      <c r="B27" s="19" t="s">
        <v>74</v>
      </c>
      <c r="C27" s="20" t="s">
        <v>72</v>
      </c>
      <c r="D27" s="21" t="s">
        <v>72</v>
      </c>
      <c r="E27" s="22" t="s">
        <v>12</v>
      </c>
      <c r="F27" s="23" t="b">
        <f aca="false">FALSE()</f>
        <v>0</v>
      </c>
      <c r="G27" s="24" t="s">
        <v>75</v>
      </c>
    </row>
    <row r="28" customFormat="false" ht="15" hidden="false" customHeight="false" outlineLevel="0" collapsed="false">
      <c r="A28" s="18" t="s">
        <v>61</v>
      </c>
      <c r="B28" s="25" t="s">
        <v>76</v>
      </c>
      <c r="C28" s="26" t="s">
        <v>77</v>
      </c>
      <c r="D28" s="27" t="s">
        <v>78</v>
      </c>
      <c r="E28" s="28" t="s">
        <v>12</v>
      </c>
      <c r="F28" s="29" t="b">
        <f aca="false">TRUE()</f>
        <v>1</v>
      </c>
      <c r="G28" s="10" t="s">
        <v>79</v>
      </c>
    </row>
    <row r="29" customFormat="false" ht="15" hidden="false" customHeight="false" outlineLevel="0" collapsed="false">
      <c r="A29" s="18" t="s">
        <v>61</v>
      </c>
      <c r="B29" s="25" t="s">
        <v>80</v>
      </c>
      <c r="C29" s="26" t="s">
        <v>81</v>
      </c>
      <c r="D29" s="27" t="s">
        <v>82</v>
      </c>
      <c r="E29" s="28" t="s">
        <v>12</v>
      </c>
      <c r="F29" s="29" t="b">
        <f aca="false">TRUE()</f>
        <v>1</v>
      </c>
      <c r="G29" s="26"/>
    </row>
    <row r="30" customFormat="false" ht="15" hidden="false" customHeight="false" outlineLevel="0" collapsed="false">
      <c r="A30" s="18" t="s">
        <v>61</v>
      </c>
      <c r="B30" s="25" t="s">
        <v>83</v>
      </c>
      <c r="C30" s="26" t="s">
        <v>84</v>
      </c>
      <c r="D30" s="27" t="s">
        <v>85</v>
      </c>
      <c r="E30" s="28" t="s">
        <v>12</v>
      </c>
      <c r="F30" s="29" t="b">
        <f aca="false">TRUE()</f>
        <v>1</v>
      </c>
      <c r="G30" s="26"/>
    </row>
    <row r="31" customFormat="false" ht="15" hidden="false" customHeight="false" outlineLevel="0" collapsed="false">
      <c r="A31" s="18" t="s">
        <v>61</v>
      </c>
      <c r="B31" s="25" t="s">
        <v>86</v>
      </c>
      <c r="C31" s="26" t="s">
        <v>87</v>
      </c>
      <c r="D31" s="27" t="s">
        <v>88</v>
      </c>
      <c r="E31" s="28" t="s">
        <v>12</v>
      </c>
      <c r="F31" s="29" t="b">
        <f aca="false">TRUE()</f>
        <v>1</v>
      </c>
      <c r="G31" s="10" t="s">
        <v>89</v>
      </c>
    </row>
    <row r="32" customFormat="false" ht="23.85" hidden="false" customHeight="false" outlineLevel="0" collapsed="false">
      <c r="A32" s="18" t="s">
        <v>61</v>
      </c>
      <c r="B32" s="25" t="s">
        <v>90</v>
      </c>
      <c r="C32" s="26" t="s">
        <v>91</v>
      </c>
      <c r="D32" s="27" t="s">
        <v>92</v>
      </c>
      <c r="E32" s="28" t="s">
        <v>12</v>
      </c>
      <c r="F32" s="29" t="b">
        <f aca="false">TRUE()</f>
        <v>1</v>
      </c>
      <c r="G32" s="10" t="s">
        <v>79</v>
      </c>
    </row>
    <row r="33" customFormat="false" ht="23.85" hidden="false" customHeight="false" outlineLevel="0" collapsed="false">
      <c r="A33" s="18" t="s">
        <v>61</v>
      </c>
      <c r="B33" s="25" t="s">
        <v>93</v>
      </c>
      <c r="C33" s="26" t="s">
        <v>94</v>
      </c>
      <c r="D33" s="27" t="s">
        <v>95</v>
      </c>
      <c r="E33" s="28" t="s">
        <v>12</v>
      </c>
      <c r="F33" s="29" t="b">
        <f aca="false">TRUE()</f>
        <v>1</v>
      </c>
      <c r="G33" s="10" t="s">
        <v>96</v>
      </c>
    </row>
    <row r="34" customFormat="false" ht="15" hidden="false" customHeight="false" outlineLevel="0" collapsed="false">
      <c r="A34" s="18" t="s">
        <v>61</v>
      </c>
      <c r="B34" s="19" t="s">
        <v>97</v>
      </c>
      <c r="C34" s="20" t="s">
        <v>98</v>
      </c>
      <c r="D34" s="21" t="s">
        <v>98</v>
      </c>
      <c r="E34" s="22" t="s">
        <v>12</v>
      </c>
      <c r="F34" s="23" t="b">
        <f aca="false">FALSE()</f>
        <v>0</v>
      </c>
      <c r="G34" s="20"/>
    </row>
    <row r="35" customFormat="false" ht="15" hidden="false" customHeight="false" outlineLevel="0" collapsed="false">
      <c r="A35" s="30" t="s">
        <v>99</v>
      </c>
      <c r="B35" s="31" t="s">
        <v>100</v>
      </c>
      <c r="C35" s="32" t="s">
        <v>101</v>
      </c>
      <c r="D35" s="33" t="s">
        <v>101</v>
      </c>
      <c r="E35" s="34" t="s">
        <v>12</v>
      </c>
      <c r="F35" s="35" t="b">
        <f aca="false">TRUE()</f>
        <v>1</v>
      </c>
      <c r="G35" s="32"/>
    </row>
    <row r="36" customFormat="false" ht="15" hidden="false" customHeight="false" outlineLevel="0" collapsed="false">
      <c r="A36" s="4" t="s">
        <v>99</v>
      </c>
      <c r="B36" s="5" t="s">
        <v>102</v>
      </c>
      <c r="C36" s="6" t="s">
        <v>103</v>
      </c>
      <c r="D36" s="7" t="s">
        <v>103</v>
      </c>
      <c r="E36" s="8" t="s">
        <v>104</v>
      </c>
      <c r="F36" s="9" t="b">
        <f aca="false">TRUE()</f>
        <v>1</v>
      </c>
      <c r="G36" s="6"/>
    </row>
    <row r="37" customFormat="false" ht="15" hidden="false" customHeight="false" outlineLevel="0" collapsed="false">
      <c r="A37" s="4" t="s">
        <v>99</v>
      </c>
      <c r="B37" s="5" t="s">
        <v>105</v>
      </c>
      <c r="C37" s="6" t="s">
        <v>106</v>
      </c>
      <c r="D37" s="7" t="s">
        <v>106</v>
      </c>
      <c r="E37" s="8" t="s">
        <v>107</v>
      </c>
      <c r="F37" s="9" t="b">
        <f aca="false">TRUE()</f>
        <v>1</v>
      </c>
      <c r="G37" s="11" t="s">
        <v>108</v>
      </c>
    </row>
    <row r="38" customFormat="false" ht="23.85" hidden="false" customHeight="false" outlineLevel="0" collapsed="false">
      <c r="A38" s="4" t="s">
        <v>99</v>
      </c>
      <c r="B38" s="36" t="s">
        <v>109</v>
      </c>
      <c r="C38" s="37" t="s">
        <v>110</v>
      </c>
      <c r="D38" s="38" t="s">
        <v>111</v>
      </c>
      <c r="E38" s="39" t="s">
        <v>12</v>
      </c>
      <c r="F38" s="40" t="b">
        <f aca="false">FALSE()</f>
        <v>0</v>
      </c>
      <c r="G38" s="41" t="s">
        <v>112</v>
      </c>
    </row>
    <row r="39" customFormat="false" ht="15" hidden="false" customHeight="false" outlineLevel="0" collapsed="false">
      <c r="A39" s="4" t="s">
        <v>99</v>
      </c>
      <c r="B39" s="36" t="s">
        <v>113</v>
      </c>
      <c r="C39" s="37" t="s">
        <v>114</v>
      </c>
      <c r="D39" s="38" t="s">
        <v>114</v>
      </c>
      <c r="E39" s="39" t="s">
        <v>104</v>
      </c>
      <c r="F39" s="40" t="b">
        <f aca="false">FALSE()</f>
        <v>0</v>
      </c>
      <c r="G39" s="37"/>
    </row>
    <row r="40" customFormat="false" ht="15" hidden="false" customHeight="false" outlineLevel="0" collapsed="false">
      <c r="A40" s="4" t="s">
        <v>99</v>
      </c>
      <c r="B40" s="36" t="s">
        <v>115</v>
      </c>
      <c r="C40" s="37" t="s">
        <v>116</v>
      </c>
      <c r="D40" s="38" t="s">
        <v>116</v>
      </c>
      <c r="E40" s="39" t="s">
        <v>104</v>
      </c>
      <c r="F40" s="40" t="b">
        <f aca="false">FALSE()</f>
        <v>0</v>
      </c>
      <c r="G40" s="37"/>
    </row>
    <row r="41" customFormat="false" ht="15" hidden="false" customHeight="false" outlineLevel="0" collapsed="false">
      <c r="A41" s="4" t="s">
        <v>99</v>
      </c>
      <c r="B41" s="36" t="s">
        <v>117</v>
      </c>
      <c r="C41" s="37" t="s">
        <v>118</v>
      </c>
      <c r="D41" s="38" t="s">
        <v>118</v>
      </c>
      <c r="E41" s="39" t="s">
        <v>12</v>
      </c>
      <c r="F41" s="40" t="b">
        <f aca="false">FALSE()</f>
        <v>0</v>
      </c>
      <c r="G41" s="37"/>
    </row>
    <row r="42" customFormat="false" ht="15" hidden="false" customHeight="false" outlineLevel="0" collapsed="false">
      <c r="A42" s="4" t="s">
        <v>99</v>
      </c>
      <c r="B42" s="36" t="s">
        <v>119</v>
      </c>
      <c r="C42" s="37" t="s">
        <v>120</v>
      </c>
      <c r="D42" s="38" t="s">
        <v>120</v>
      </c>
      <c r="E42" s="39" t="s">
        <v>12</v>
      </c>
      <c r="F42" s="40" t="b">
        <f aca="false">FALSE()</f>
        <v>0</v>
      </c>
      <c r="G42" s="42" t="s">
        <v>121</v>
      </c>
    </row>
    <row r="43" customFormat="false" ht="15" hidden="false" customHeight="false" outlineLevel="0" collapsed="false">
      <c r="A43" s="4" t="s">
        <v>99</v>
      </c>
      <c r="B43" s="36" t="s">
        <v>122</v>
      </c>
      <c r="C43" s="37" t="s">
        <v>123</v>
      </c>
      <c r="D43" s="38" t="s">
        <v>123</v>
      </c>
      <c r="E43" s="39" t="s">
        <v>12</v>
      </c>
      <c r="F43" s="40" t="b">
        <f aca="false">FALSE()</f>
        <v>0</v>
      </c>
      <c r="G43" s="42" t="s">
        <v>124</v>
      </c>
    </row>
    <row r="44" customFormat="false" ht="23.85" hidden="false" customHeight="false" outlineLevel="0" collapsed="false">
      <c r="A44" s="4" t="s">
        <v>99</v>
      </c>
      <c r="B44" s="5" t="s">
        <v>125</v>
      </c>
      <c r="C44" s="6" t="s">
        <v>126</v>
      </c>
      <c r="D44" s="7" t="s">
        <v>126</v>
      </c>
      <c r="E44" s="8" t="s">
        <v>12</v>
      </c>
      <c r="F44" s="9" t="b">
        <f aca="false">TRUE()</f>
        <v>1</v>
      </c>
      <c r="G44" s="10" t="s">
        <v>127</v>
      </c>
    </row>
    <row r="45" customFormat="false" ht="15" hidden="false" customHeight="false" outlineLevel="0" collapsed="false">
      <c r="A45" s="12" t="s">
        <v>128</v>
      </c>
      <c r="B45" s="43" t="s">
        <v>129</v>
      </c>
      <c r="C45" s="44" t="s">
        <v>130</v>
      </c>
      <c r="D45" s="45" t="s">
        <v>130</v>
      </c>
      <c r="E45" s="46" t="s">
        <v>12</v>
      </c>
      <c r="F45" s="47" t="b">
        <f aca="false">FALSE()</f>
        <v>0</v>
      </c>
      <c r="G45" s="44"/>
    </row>
    <row r="46" customFormat="false" ht="15" hidden="false" customHeight="false" outlineLevel="0" collapsed="false">
      <c r="A46" s="18" t="s">
        <v>128</v>
      </c>
      <c r="B46" s="19" t="s">
        <v>131</v>
      </c>
      <c r="C46" s="20" t="s">
        <v>132</v>
      </c>
      <c r="D46" s="21" t="s">
        <v>132</v>
      </c>
      <c r="E46" s="22" t="s">
        <v>12</v>
      </c>
      <c r="F46" s="23" t="b">
        <f aca="false">FALSE()</f>
        <v>0</v>
      </c>
      <c r="G46" s="20"/>
    </row>
    <row r="47" customFormat="false" ht="15" hidden="false" customHeight="false" outlineLevel="0" collapsed="false">
      <c r="A47" s="18" t="s">
        <v>128</v>
      </c>
      <c r="B47" s="19" t="s">
        <v>133</v>
      </c>
      <c r="C47" s="20" t="s">
        <v>134</v>
      </c>
      <c r="D47" s="21" t="s">
        <v>134</v>
      </c>
      <c r="E47" s="22" t="s">
        <v>12</v>
      </c>
      <c r="F47" s="23" t="b">
        <f aca="false">FALSE()</f>
        <v>0</v>
      </c>
      <c r="G47" s="20"/>
    </row>
    <row r="48" customFormat="false" ht="15" hidden="false" customHeight="false" outlineLevel="0" collapsed="false">
      <c r="A48" s="18" t="s">
        <v>128</v>
      </c>
      <c r="B48" s="19" t="s">
        <v>135</v>
      </c>
      <c r="C48" s="20" t="s">
        <v>136</v>
      </c>
      <c r="D48" s="21" t="s">
        <v>136</v>
      </c>
      <c r="E48" s="22" t="s">
        <v>12</v>
      </c>
      <c r="F48" s="23" t="b">
        <f aca="false">FALSE()</f>
        <v>0</v>
      </c>
      <c r="G48" s="20"/>
    </row>
    <row r="49" customFormat="false" ht="15" hidden="false" customHeight="false" outlineLevel="0" collapsed="false">
      <c r="A49" s="18" t="s">
        <v>128</v>
      </c>
      <c r="B49" s="19" t="s">
        <v>137</v>
      </c>
      <c r="C49" s="20" t="s">
        <v>138</v>
      </c>
      <c r="D49" s="21" t="s">
        <v>138</v>
      </c>
      <c r="E49" s="22" t="s">
        <v>12</v>
      </c>
      <c r="F49" s="23" t="b">
        <f aca="false">FALSE()</f>
        <v>0</v>
      </c>
      <c r="G49" s="20"/>
    </row>
    <row r="50" customFormat="false" ht="15" hidden="false" customHeight="false" outlineLevel="0" collapsed="false">
      <c r="A50" s="18" t="s">
        <v>128</v>
      </c>
      <c r="B50" s="19" t="s">
        <v>139</v>
      </c>
      <c r="C50" s="20" t="s">
        <v>140</v>
      </c>
      <c r="D50" s="21" t="s">
        <v>140</v>
      </c>
      <c r="E50" s="22" t="s">
        <v>12</v>
      </c>
      <c r="F50" s="23" t="b">
        <f aca="false">FALSE()</f>
        <v>0</v>
      </c>
      <c r="G50" s="20"/>
    </row>
    <row r="51" customFormat="false" ht="15" hidden="false" customHeight="false" outlineLevel="0" collapsed="false">
      <c r="A51" s="18" t="s">
        <v>128</v>
      </c>
      <c r="B51" s="19" t="s">
        <v>141</v>
      </c>
      <c r="C51" s="20" t="s">
        <v>142</v>
      </c>
      <c r="D51" s="21" t="s">
        <v>142</v>
      </c>
      <c r="E51" s="22" t="s">
        <v>12</v>
      </c>
      <c r="F51" s="23" t="b">
        <f aca="false">FALSE()</f>
        <v>0</v>
      </c>
      <c r="G51" s="20"/>
    </row>
    <row r="52" customFormat="false" ht="23.85" hidden="false" customHeight="false" outlineLevel="0" collapsed="false">
      <c r="A52" s="18" t="s">
        <v>128</v>
      </c>
      <c r="B52" s="25" t="s">
        <v>143</v>
      </c>
      <c r="C52" s="26" t="s">
        <v>144</v>
      </c>
      <c r="D52" s="27" t="s">
        <v>144</v>
      </c>
      <c r="E52" s="28" t="s">
        <v>12</v>
      </c>
      <c r="F52" s="29" t="b">
        <f aca="false">TRUE()</f>
        <v>1</v>
      </c>
      <c r="G52" s="11" t="s">
        <v>145</v>
      </c>
    </row>
    <row r="53" customFormat="false" ht="15" hidden="false" customHeight="false" outlineLevel="0" collapsed="false">
      <c r="A53" s="30" t="s">
        <v>146</v>
      </c>
      <c r="B53" s="31" t="s">
        <v>147</v>
      </c>
      <c r="C53" s="32" t="s">
        <v>148</v>
      </c>
      <c r="D53" s="33" t="s">
        <v>148</v>
      </c>
      <c r="E53" s="34" t="s">
        <v>12</v>
      </c>
      <c r="F53" s="35" t="b">
        <f aca="false">TRUE()</f>
        <v>1</v>
      </c>
      <c r="G53" s="32"/>
    </row>
    <row r="54" customFormat="false" ht="15" hidden="false" customHeight="false" outlineLevel="0" collapsed="false">
      <c r="A54" s="4" t="s">
        <v>146</v>
      </c>
      <c r="B54" s="5" t="s">
        <v>149</v>
      </c>
      <c r="C54" s="6" t="s">
        <v>150</v>
      </c>
      <c r="D54" s="7" t="s">
        <v>150</v>
      </c>
      <c r="E54" s="8" t="s">
        <v>12</v>
      </c>
      <c r="F54" s="9" t="b">
        <f aca="false">TRUE()</f>
        <v>1</v>
      </c>
      <c r="G54" s="6"/>
    </row>
    <row r="55" customFormat="false" ht="15" hidden="false" customHeight="false" outlineLevel="0" collapsed="false">
      <c r="A55" s="4" t="s">
        <v>146</v>
      </c>
      <c r="B55" s="36" t="s">
        <v>151</v>
      </c>
      <c r="C55" s="37" t="s">
        <v>152</v>
      </c>
      <c r="D55" s="38" t="s">
        <v>152</v>
      </c>
      <c r="E55" s="39" t="s">
        <v>12</v>
      </c>
      <c r="F55" s="40" t="b">
        <f aca="false">FALSE()</f>
        <v>0</v>
      </c>
      <c r="G55" s="37"/>
    </row>
    <row r="56" customFormat="false" ht="15" hidden="false" customHeight="false" outlineLevel="0" collapsed="false">
      <c r="A56" s="12" t="s">
        <v>153</v>
      </c>
      <c r="B56" s="13" t="s">
        <v>154</v>
      </c>
      <c r="C56" s="14" t="s">
        <v>155</v>
      </c>
      <c r="D56" s="15" t="s">
        <v>155</v>
      </c>
      <c r="E56" s="16" t="s">
        <v>12</v>
      </c>
      <c r="F56" s="17" t="b">
        <f aca="false">TRUE()</f>
        <v>1</v>
      </c>
      <c r="G56" s="48" t="s">
        <v>156</v>
      </c>
    </row>
    <row r="57" customFormat="false" ht="15" hidden="false" customHeight="false" outlineLevel="0" collapsed="false">
      <c r="A57" s="18" t="s">
        <v>153</v>
      </c>
      <c r="B57" s="25" t="s">
        <v>157</v>
      </c>
      <c r="C57" s="26" t="s">
        <v>158</v>
      </c>
      <c r="D57" s="27" t="s">
        <v>158</v>
      </c>
      <c r="E57" s="28" t="s">
        <v>12</v>
      </c>
      <c r="F57" s="29" t="b">
        <f aca="false">TRUE()</f>
        <v>1</v>
      </c>
      <c r="G57" s="10" t="s">
        <v>159</v>
      </c>
    </row>
    <row r="58" customFormat="false" ht="15" hidden="false" customHeight="false" outlineLevel="0" collapsed="false">
      <c r="A58" s="18" t="s">
        <v>153</v>
      </c>
      <c r="B58" s="25" t="s">
        <v>160</v>
      </c>
      <c r="C58" s="26" t="s">
        <v>161</v>
      </c>
      <c r="D58" s="27" t="s">
        <v>161</v>
      </c>
      <c r="E58" s="28" t="s">
        <v>12</v>
      </c>
      <c r="F58" s="29" t="b">
        <f aca="false">TRUE()</f>
        <v>1</v>
      </c>
      <c r="G58" s="10" t="s">
        <v>156</v>
      </c>
    </row>
    <row r="59" customFormat="false" ht="15" hidden="false" customHeight="false" outlineLevel="0" collapsed="false">
      <c r="A59" s="18" t="s">
        <v>153</v>
      </c>
      <c r="B59" s="25" t="s">
        <v>162</v>
      </c>
      <c r="C59" s="26" t="s">
        <v>163</v>
      </c>
      <c r="D59" s="27" t="s">
        <v>163</v>
      </c>
      <c r="E59" s="28" t="s">
        <v>12</v>
      </c>
      <c r="F59" s="29" t="b">
        <f aca="false">TRUE()</f>
        <v>1</v>
      </c>
      <c r="G59" s="11" t="s">
        <v>164</v>
      </c>
    </row>
    <row r="60" customFormat="false" ht="15" hidden="false" customHeight="false" outlineLevel="0" collapsed="false">
      <c r="A60" s="30" t="s">
        <v>165</v>
      </c>
      <c r="B60" s="31" t="s">
        <v>166</v>
      </c>
      <c r="C60" s="32" t="s">
        <v>167</v>
      </c>
      <c r="D60" s="33" t="s">
        <v>167</v>
      </c>
      <c r="E60" s="34" t="s">
        <v>12</v>
      </c>
      <c r="F60" s="35" t="b">
        <f aca="false">TRUE()</f>
        <v>1</v>
      </c>
      <c r="G60" s="49" t="s">
        <v>168</v>
      </c>
    </row>
    <row r="61" customFormat="false" ht="15" hidden="false" customHeight="false" outlineLevel="0" collapsed="false">
      <c r="A61" s="4" t="s">
        <v>165</v>
      </c>
      <c r="B61" s="36" t="s">
        <v>169</v>
      </c>
      <c r="C61" s="37" t="s">
        <v>170</v>
      </c>
      <c r="D61" s="38" t="s">
        <v>170</v>
      </c>
      <c r="E61" s="39" t="s">
        <v>12</v>
      </c>
      <c r="F61" s="40" t="b">
        <f aca="false">FALSE()</f>
        <v>0</v>
      </c>
      <c r="G61" s="37"/>
    </row>
  </sheetData>
  <autoFilter ref="A4:G6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5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6" min="6" style="0" width="35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171</v>
      </c>
    </row>
    <row r="2" customFormat="false" ht="15" hidden="false" customHeight="false" outlineLevel="0" collapsed="false">
      <c r="A2" s="2" t="s">
        <v>172</v>
      </c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173</v>
      </c>
      <c r="D4" s="3" t="s">
        <v>174</v>
      </c>
      <c r="E4" s="3" t="s">
        <v>175</v>
      </c>
      <c r="F4" s="3" t="s">
        <v>176</v>
      </c>
      <c r="G4" s="3" t="s">
        <v>177</v>
      </c>
    </row>
    <row r="5" customFormat="false" ht="35.05" hidden="false" customHeight="false" outlineLevel="0" collapsed="false">
      <c r="A5" s="18" t="s">
        <v>9</v>
      </c>
      <c r="B5" s="18" t="s">
        <v>22</v>
      </c>
      <c r="C5" s="50" t="s">
        <v>178</v>
      </c>
      <c r="D5" s="26" t="s">
        <v>24</v>
      </c>
      <c r="E5" s="26" t="s">
        <v>23</v>
      </c>
      <c r="F5" s="27" t="s">
        <v>23</v>
      </c>
      <c r="G5" s="51"/>
    </row>
    <row r="6" customFormat="false" ht="15" hidden="false" customHeight="false" outlineLevel="0" collapsed="false">
      <c r="A6" s="18" t="s">
        <v>9</v>
      </c>
      <c r="B6" s="18" t="s">
        <v>45</v>
      </c>
      <c r="C6" s="50" t="s">
        <v>178</v>
      </c>
      <c r="D6" s="26" t="s">
        <v>47</v>
      </c>
      <c r="E6" s="26" t="s">
        <v>46</v>
      </c>
      <c r="F6" s="27" t="s">
        <v>46</v>
      </c>
      <c r="G6" s="51"/>
    </row>
    <row r="7" customFormat="false" ht="15" hidden="false" customHeight="false" outlineLevel="0" collapsed="false">
      <c r="A7" s="18" t="s">
        <v>61</v>
      </c>
      <c r="B7" s="18" t="s">
        <v>65</v>
      </c>
      <c r="C7" s="50" t="s">
        <v>178</v>
      </c>
      <c r="D7" s="26" t="s">
        <v>66</v>
      </c>
      <c r="E7" s="26" t="s">
        <v>63</v>
      </c>
      <c r="F7" s="27" t="s">
        <v>63</v>
      </c>
      <c r="G7" s="51"/>
    </row>
    <row r="8" customFormat="false" ht="23.85" hidden="false" customHeight="false" outlineLevel="0" collapsed="false">
      <c r="A8" s="18" t="s">
        <v>61</v>
      </c>
      <c r="B8" s="18" t="s">
        <v>74</v>
      </c>
      <c r="C8" s="50" t="s">
        <v>178</v>
      </c>
      <c r="D8" s="26" t="s">
        <v>75</v>
      </c>
      <c r="E8" s="26" t="s">
        <v>72</v>
      </c>
      <c r="F8" s="27" t="s">
        <v>72</v>
      </c>
      <c r="G8" s="51"/>
    </row>
    <row r="9" customFormat="false" ht="15" hidden="false" customHeight="false" outlineLevel="0" collapsed="false">
      <c r="A9" s="18" t="s">
        <v>99</v>
      </c>
      <c r="B9" s="18" t="s">
        <v>105</v>
      </c>
      <c r="C9" s="50" t="s">
        <v>178</v>
      </c>
      <c r="D9" s="26" t="s">
        <v>108</v>
      </c>
      <c r="E9" s="26" t="s">
        <v>106</v>
      </c>
      <c r="F9" s="27" t="s">
        <v>106</v>
      </c>
      <c r="G9" s="51"/>
    </row>
    <row r="10" customFormat="false" ht="23.85" hidden="false" customHeight="false" outlineLevel="0" collapsed="false">
      <c r="A10" s="18" t="s">
        <v>128</v>
      </c>
      <c r="B10" s="18" t="s">
        <v>143</v>
      </c>
      <c r="C10" s="50" t="s">
        <v>178</v>
      </c>
      <c r="D10" s="26" t="s">
        <v>145</v>
      </c>
      <c r="E10" s="26" t="s">
        <v>144</v>
      </c>
      <c r="F10" s="27" t="s">
        <v>144</v>
      </c>
      <c r="G10" s="51"/>
    </row>
    <row r="11" customFormat="false" ht="23.85" hidden="false" customHeight="false" outlineLevel="0" collapsed="false">
      <c r="A11" s="18" t="s">
        <v>153</v>
      </c>
      <c r="B11" s="18" t="s">
        <v>162</v>
      </c>
      <c r="C11" s="50" t="s">
        <v>178</v>
      </c>
      <c r="D11" s="26" t="s">
        <v>164</v>
      </c>
      <c r="E11" s="26" t="s">
        <v>163</v>
      </c>
      <c r="F11" s="27" t="s">
        <v>163</v>
      </c>
      <c r="G11" s="51"/>
    </row>
    <row r="12" customFormat="false" ht="15" hidden="false" customHeight="false" outlineLevel="0" collapsed="false">
      <c r="A12" s="18" t="s">
        <v>99</v>
      </c>
      <c r="B12" s="18" t="s">
        <v>119</v>
      </c>
      <c r="C12" s="52" t="s">
        <v>179</v>
      </c>
      <c r="D12" s="26" t="s">
        <v>121</v>
      </c>
      <c r="E12" s="26" t="s">
        <v>120</v>
      </c>
      <c r="F12" s="27" t="s">
        <v>120</v>
      </c>
      <c r="G12" s="51"/>
    </row>
    <row r="13" customFormat="false" ht="15" hidden="false" customHeight="false" outlineLevel="0" collapsed="false">
      <c r="A13" s="18" t="s">
        <v>99</v>
      </c>
      <c r="B13" s="18" t="s">
        <v>122</v>
      </c>
      <c r="C13" s="52" t="s">
        <v>179</v>
      </c>
      <c r="D13" s="26" t="s">
        <v>124</v>
      </c>
      <c r="E13" s="26" t="s">
        <v>123</v>
      </c>
      <c r="F13" s="27" t="s">
        <v>123</v>
      </c>
      <c r="G13" s="51"/>
    </row>
    <row r="14" customFormat="false" ht="15" hidden="false" customHeight="false" outlineLevel="0" collapsed="false">
      <c r="A14" s="18" t="s">
        <v>165</v>
      </c>
      <c r="B14" s="18" t="s">
        <v>166</v>
      </c>
      <c r="C14" s="52" t="s">
        <v>179</v>
      </c>
      <c r="D14" s="26" t="s">
        <v>168</v>
      </c>
      <c r="E14" s="26" t="s">
        <v>167</v>
      </c>
      <c r="F14" s="27" t="s">
        <v>167</v>
      </c>
      <c r="G14" s="51"/>
    </row>
    <row r="15" customFormat="false" ht="15" hidden="false" customHeight="false" outlineLevel="0" collapsed="false">
      <c r="A15" s="18" t="s">
        <v>9</v>
      </c>
      <c r="B15" s="18" t="s">
        <v>13</v>
      </c>
      <c r="C15" s="53" t="s">
        <v>180</v>
      </c>
      <c r="D15" s="26" t="s">
        <v>15</v>
      </c>
      <c r="E15" s="26" t="s">
        <v>14</v>
      </c>
      <c r="F15" s="27" t="s">
        <v>14</v>
      </c>
      <c r="G15" s="51"/>
    </row>
    <row r="16" customFormat="false" ht="15" hidden="false" customHeight="false" outlineLevel="0" collapsed="false">
      <c r="A16" s="18" t="s">
        <v>9</v>
      </c>
      <c r="B16" s="18" t="s">
        <v>16</v>
      </c>
      <c r="C16" s="53" t="s">
        <v>180</v>
      </c>
      <c r="D16" s="26" t="s">
        <v>18</v>
      </c>
      <c r="E16" s="26" t="s">
        <v>17</v>
      </c>
      <c r="F16" s="27" t="s">
        <v>17</v>
      </c>
      <c r="G16" s="51"/>
    </row>
    <row r="17" customFormat="false" ht="15" hidden="false" customHeight="false" outlineLevel="0" collapsed="false">
      <c r="A17" s="18" t="s">
        <v>9</v>
      </c>
      <c r="B17" s="18" t="s">
        <v>19</v>
      </c>
      <c r="C17" s="53" t="s">
        <v>180</v>
      </c>
      <c r="D17" s="26" t="s">
        <v>21</v>
      </c>
      <c r="E17" s="26" t="s">
        <v>20</v>
      </c>
      <c r="F17" s="27" t="s">
        <v>20</v>
      </c>
      <c r="G17" s="51"/>
    </row>
    <row r="18" customFormat="false" ht="15" hidden="false" customHeight="false" outlineLevel="0" collapsed="false">
      <c r="A18" s="18" t="s">
        <v>9</v>
      </c>
      <c r="B18" s="18" t="s">
        <v>27</v>
      </c>
      <c r="C18" s="53" t="s">
        <v>180</v>
      </c>
      <c r="D18" s="26" t="s">
        <v>21</v>
      </c>
      <c r="E18" s="26" t="s">
        <v>28</v>
      </c>
      <c r="F18" s="27" t="s">
        <v>28</v>
      </c>
      <c r="G18" s="51"/>
    </row>
    <row r="19" customFormat="false" ht="15" hidden="false" customHeight="false" outlineLevel="0" collapsed="false">
      <c r="A19" s="18" t="s">
        <v>9</v>
      </c>
      <c r="B19" s="18" t="s">
        <v>29</v>
      </c>
      <c r="C19" s="53" t="s">
        <v>180</v>
      </c>
      <c r="D19" s="26" t="s">
        <v>31</v>
      </c>
      <c r="E19" s="26" t="s">
        <v>30</v>
      </c>
      <c r="F19" s="27" t="s">
        <v>30</v>
      </c>
      <c r="G19" s="51"/>
    </row>
    <row r="20" customFormat="false" ht="23.85" hidden="false" customHeight="false" outlineLevel="0" collapsed="false">
      <c r="A20" s="18" t="s">
        <v>9</v>
      </c>
      <c r="B20" s="18" t="s">
        <v>32</v>
      </c>
      <c r="C20" s="53" t="s">
        <v>180</v>
      </c>
      <c r="D20" s="26" t="s">
        <v>34</v>
      </c>
      <c r="E20" s="26" t="s">
        <v>33</v>
      </c>
      <c r="F20" s="27" t="s">
        <v>33</v>
      </c>
      <c r="G20" s="51"/>
    </row>
    <row r="21" customFormat="false" ht="23.85" hidden="false" customHeight="false" outlineLevel="0" collapsed="false">
      <c r="A21" s="18" t="s">
        <v>9</v>
      </c>
      <c r="B21" s="18" t="s">
        <v>35</v>
      </c>
      <c r="C21" s="53" t="s">
        <v>180</v>
      </c>
      <c r="D21" s="26" t="s">
        <v>37</v>
      </c>
      <c r="E21" s="26" t="s">
        <v>36</v>
      </c>
      <c r="F21" s="27" t="s">
        <v>36</v>
      </c>
      <c r="G21" s="51"/>
    </row>
    <row r="22" customFormat="false" ht="15" hidden="false" customHeight="false" outlineLevel="0" collapsed="false">
      <c r="A22" s="18" t="s">
        <v>9</v>
      </c>
      <c r="B22" s="18" t="s">
        <v>40</v>
      </c>
      <c r="C22" s="53" t="s">
        <v>180</v>
      </c>
      <c r="D22" s="26" t="s">
        <v>42</v>
      </c>
      <c r="E22" s="26" t="s">
        <v>41</v>
      </c>
      <c r="F22" s="27" t="s">
        <v>41</v>
      </c>
      <c r="G22" s="51"/>
    </row>
    <row r="23" customFormat="false" ht="23.85" hidden="false" customHeight="false" outlineLevel="0" collapsed="false">
      <c r="A23" s="18" t="s">
        <v>9</v>
      </c>
      <c r="B23" s="18" t="s">
        <v>48</v>
      </c>
      <c r="C23" s="53" t="s">
        <v>180</v>
      </c>
      <c r="D23" s="26" t="s">
        <v>51</v>
      </c>
      <c r="E23" s="26" t="s">
        <v>49</v>
      </c>
      <c r="F23" s="27" t="s">
        <v>50</v>
      </c>
      <c r="G23" s="51"/>
    </row>
    <row r="24" customFormat="false" ht="15" hidden="false" customHeight="false" outlineLevel="0" collapsed="false">
      <c r="A24" s="18" t="s">
        <v>9</v>
      </c>
      <c r="B24" s="18" t="s">
        <v>52</v>
      </c>
      <c r="C24" s="53" t="s">
        <v>180</v>
      </c>
      <c r="D24" s="26" t="s">
        <v>21</v>
      </c>
      <c r="E24" s="26" t="s">
        <v>53</v>
      </c>
      <c r="F24" s="27" t="s">
        <v>54</v>
      </c>
      <c r="G24" s="51"/>
    </row>
    <row r="25" customFormat="false" ht="15" hidden="false" customHeight="false" outlineLevel="0" collapsed="false">
      <c r="A25" s="18" t="s">
        <v>9</v>
      </c>
      <c r="B25" s="18" t="s">
        <v>55</v>
      </c>
      <c r="C25" s="53" t="s">
        <v>180</v>
      </c>
      <c r="D25" s="26" t="s">
        <v>21</v>
      </c>
      <c r="E25" s="26" t="s">
        <v>56</v>
      </c>
      <c r="F25" s="27" t="s">
        <v>57</v>
      </c>
      <c r="G25" s="51"/>
    </row>
    <row r="26" customFormat="false" ht="23.85" hidden="false" customHeight="false" outlineLevel="0" collapsed="false">
      <c r="A26" s="18" t="s">
        <v>61</v>
      </c>
      <c r="B26" s="18" t="s">
        <v>67</v>
      </c>
      <c r="C26" s="53" t="s">
        <v>180</v>
      </c>
      <c r="D26" s="26" t="s">
        <v>70</v>
      </c>
      <c r="E26" s="26" t="s">
        <v>68</v>
      </c>
      <c r="F26" s="27" t="s">
        <v>69</v>
      </c>
      <c r="G26" s="51"/>
    </row>
    <row r="27" customFormat="false" ht="15" hidden="false" customHeight="false" outlineLevel="0" collapsed="false">
      <c r="A27" s="18" t="s">
        <v>61</v>
      </c>
      <c r="B27" s="18" t="s">
        <v>76</v>
      </c>
      <c r="C27" s="53" t="s">
        <v>180</v>
      </c>
      <c r="D27" s="26" t="s">
        <v>79</v>
      </c>
      <c r="E27" s="26" t="s">
        <v>77</v>
      </c>
      <c r="F27" s="27" t="s">
        <v>78</v>
      </c>
      <c r="G27" s="51"/>
    </row>
    <row r="28" customFormat="false" ht="15" hidden="false" customHeight="false" outlineLevel="0" collapsed="false">
      <c r="A28" s="18" t="s">
        <v>61</v>
      </c>
      <c r="B28" s="18" t="s">
        <v>86</v>
      </c>
      <c r="C28" s="53" t="s">
        <v>180</v>
      </c>
      <c r="D28" s="26" t="s">
        <v>89</v>
      </c>
      <c r="E28" s="26" t="s">
        <v>87</v>
      </c>
      <c r="F28" s="27" t="s">
        <v>88</v>
      </c>
      <c r="G28" s="51"/>
    </row>
    <row r="29" customFormat="false" ht="23.85" hidden="false" customHeight="false" outlineLevel="0" collapsed="false">
      <c r="A29" s="18" t="s">
        <v>61</v>
      </c>
      <c r="B29" s="18" t="s">
        <v>90</v>
      </c>
      <c r="C29" s="53" t="s">
        <v>180</v>
      </c>
      <c r="D29" s="26" t="s">
        <v>79</v>
      </c>
      <c r="E29" s="26" t="s">
        <v>91</v>
      </c>
      <c r="F29" s="27" t="s">
        <v>92</v>
      </c>
      <c r="G29" s="51"/>
    </row>
    <row r="30" customFormat="false" ht="23.85" hidden="false" customHeight="false" outlineLevel="0" collapsed="false">
      <c r="A30" s="18" t="s">
        <v>61</v>
      </c>
      <c r="B30" s="18" t="s">
        <v>93</v>
      </c>
      <c r="C30" s="53" t="s">
        <v>180</v>
      </c>
      <c r="D30" s="26" t="s">
        <v>96</v>
      </c>
      <c r="E30" s="26" t="s">
        <v>94</v>
      </c>
      <c r="F30" s="27" t="s">
        <v>95</v>
      </c>
      <c r="G30" s="51"/>
    </row>
    <row r="31" customFormat="false" ht="23.85" hidden="false" customHeight="false" outlineLevel="0" collapsed="false">
      <c r="A31" s="18" t="s">
        <v>99</v>
      </c>
      <c r="B31" s="18" t="s">
        <v>109</v>
      </c>
      <c r="C31" s="53" t="s">
        <v>180</v>
      </c>
      <c r="D31" s="26" t="s">
        <v>112</v>
      </c>
      <c r="E31" s="26" t="s">
        <v>110</v>
      </c>
      <c r="F31" s="27" t="s">
        <v>111</v>
      </c>
      <c r="G31" s="51"/>
    </row>
    <row r="32" customFormat="false" ht="23.85" hidden="false" customHeight="false" outlineLevel="0" collapsed="false">
      <c r="A32" s="18" t="s">
        <v>99</v>
      </c>
      <c r="B32" s="18" t="s">
        <v>125</v>
      </c>
      <c r="C32" s="53" t="s">
        <v>180</v>
      </c>
      <c r="D32" s="26" t="s">
        <v>127</v>
      </c>
      <c r="E32" s="26" t="s">
        <v>126</v>
      </c>
      <c r="F32" s="27" t="s">
        <v>126</v>
      </c>
      <c r="G32" s="51"/>
    </row>
    <row r="33" customFormat="false" ht="15" hidden="false" customHeight="false" outlineLevel="0" collapsed="false">
      <c r="A33" s="18" t="s">
        <v>153</v>
      </c>
      <c r="B33" s="18" t="s">
        <v>154</v>
      </c>
      <c r="C33" s="53" t="s">
        <v>180</v>
      </c>
      <c r="D33" s="26" t="s">
        <v>156</v>
      </c>
      <c r="E33" s="26" t="s">
        <v>155</v>
      </c>
      <c r="F33" s="27" t="s">
        <v>155</v>
      </c>
      <c r="G33" s="51"/>
    </row>
    <row r="34" customFormat="false" ht="15" hidden="false" customHeight="false" outlineLevel="0" collapsed="false">
      <c r="A34" s="18" t="s">
        <v>153</v>
      </c>
      <c r="B34" s="18" t="s">
        <v>157</v>
      </c>
      <c r="C34" s="53" t="s">
        <v>180</v>
      </c>
      <c r="D34" s="26" t="s">
        <v>159</v>
      </c>
      <c r="E34" s="26" t="s">
        <v>158</v>
      </c>
      <c r="F34" s="27" t="s">
        <v>158</v>
      </c>
      <c r="G34" s="51"/>
    </row>
    <row r="35" customFormat="false" ht="15" hidden="false" customHeight="false" outlineLevel="0" collapsed="false">
      <c r="A35" s="18" t="s">
        <v>153</v>
      </c>
      <c r="B35" s="18" t="s">
        <v>160</v>
      </c>
      <c r="C35" s="53" t="s">
        <v>180</v>
      </c>
      <c r="D35" s="26" t="s">
        <v>156</v>
      </c>
      <c r="E35" s="26" t="s">
        <v>161</v>
      </c>
      <c r="F35" s="27" t="s">
        <v>161</v>
      </c>
      <c r="G35" s="51"/>
    </row>
  </sheetData>
  <autoFilter ref="A4:G35"/>
  <dataValidations count="1">
    <dataValidation allowBlank="true" errorStyle="stop" operator="between" showDropDown="false" showErrorMessage="false" showInputMessage="false" sqref="G5:G35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7" min="5" style="0" width="11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19.5" hidden="false" customHeight="true" outlineLevel="0" collapsed="false">
      <c r="A4" s="3" t="s">
        <v>2</v>
      </c>
      <c r="B4" s="54" t="s">
        <v>183</v>
      </c>
      <c r="C4" s="54" t="s">
        <v>184</v>
      </c>
      <c r="D4" s="54" t="s">
        <v>185</v>
      </c>
      <c r="E4" s="54" t="s">
        <v>186</v>
      </c>
      <c r="F4" s="54" t="s">
        <v>187</v>
      </c>
      <c r="G4" s="54" t="s">
        <v>188</v>
      </c>
    </row>
    <row r="5" customFormat="false" ht="15" hidden="false" customHeight="false" outlineLevel="0" collapsed="false">
      <c r="A5" s="55" t="s">
        <v>9</v>
      </c>
      <c r="B5" s="56" t="n">
        <f aca="false">COUNTIF('SO SKUs'!$A$5:$A$61,A5)</f>
        <v>18</v>
      </c>
      <c r="C5" s="56" t="n">
        <f aca="false">COUNTIFS('SO SKUs'!$A$5:$A$61,A5,'SO SKUs'!$F$5:$F$61,TRUE())</f>
        <v>18</v>
      </c>
      <c r="D5" s="56" t="n">
        <f aca="false">COUNTIFS('SO SKUs'!$A$5:$A$61,A5,'SO SKUs'!$F$5:$F$61,FALSE())</f>
        <v>0</v>
      </c>
      <c r="E5" s="56" t="n">
        <f aca="false">COUNTIF('ERP Fixes'!$A$5:$A$35,A5)</f>
        <v>13</v>
      </c>
      <c r="F5" s="56" t="n">
        <f aca="false">COUNTIFS('ERP Fixes'!$A$5:$A$35,A5,'ERP Fixes'!$G$5:$G$35,"X")</f>
        <v>0</v>
      </c>
      <c r="G5" s="56" t="n">
        <f aca="false">E5-F5</f>
        <v>13</v>
      </c>
    </row>
    <row r="6" customFormat="false" ht="15" hidden="false" customHeight="false" outlineLevel="0" collapsed="false">
      <c r="A6" s="55" t="s">
        <v>61</v>
      </c>
      <c r="B6" s="56" t="n">
        <f aca="false">COUNTIF('SO SKUs'!$A$5:$A$61,A6)</f>
        <v>12</v>
      </c>
      <c r="C6" s="56" t="n">
        <f aca="false">COUNTIFS('SO SKUs'!$A$5:$A$61,A6,'SO SKUs'!$F$5:$F$61,TRUE())</f>
        <v>9</v>
      </c>
      <c r="D6" s="56" t="n">
        <f aca="false">COUNTIFS('SO SKUs'!$A$5:$A$61,A6,'SO SKUs'!$F$5:$F$61,FALSE())</f>
        <v>3</v>
      </c>
      <c r="E6" s="56" t="n">
        <f aca="false">COUNTIF('ERP Fixes'!$A$5:$A$35,A6)</f>
        <v>7</v>
      </c>
      <c r="F6" s="56" t="n">
        <f aca="false">COUNTIFS('ERP Fixes'!$A$5:$A$35,A6,'ERP Fixes'!$G$5:$G$35,"X")</f>
        <v>0</v>
      </c>
      <c r="G6" s="56" t="n">
        <f aca="false">E6-F6</f>
        <v>7</v>
      </c>
    </row>
    <row r="7" customFormat="false" ht="15" hidden="false" customHeight="false" outlineLevel="0" collapsed="false">
      <c r="A7" s="55" t="s">
        <v>99</v>
      </c>
      <c r="B7" s="56" t="n">
        <f aca="false">COUNTIF('SO SKUs'!$A$5:$A$61,A7)</f>
        <v>10</v>
      </c>
      <c r="C7" s="56" t="n">
        <f aca="false">COUNTIFS('SO SKUs'!$A$5:$A$61,A7,'SO SKUs'!$F$5:$F$61,TRUE())</f>
        <v>4</v>
      </c>
      <c r="D7" s="56" t="n">
        <f aca="false">COUNTIFS('SO SKUs'!$A$5:$A$61,A7,'SO SKUs'!$F$5:$F$61,FALSE())</f>
        <v>6</v>
      </c>
      <c r="E7" s="56" t="n">
        <f aca="false">COUNTIF('ERP Fixes'!$A$5:$A$35,A7)</f>
        <v>5</v>
      </c>
      <c r="F7" s="56" t="n">
        <f aca="false">COUNTIFS('ERP Fixes'!$A$5:$A$35,A7,'ERP Fixes'!$G$5:$G$35,"X")</f>
        <v>0</v>
      </c>
      <c r="G7" s="56" t="n">
        <f aca="false">E7-F7</f>
        <v>5</v>
      </c>
    </row>
    <row r="8" customFormat="false" ht="15" hidden="false" customHeight="false" outlineLevel="0" collapsed="false">
      <c r="A8" s="55" t="s">
        <v>128</v>
      </c>
      <c r="B8" s="56" t="n">
        <f aca="false">COUNTIF('SO SKUs'!$A$5:$A$61,A8)</f>
        <v>8</v>
      </c>
      <c r="C8" s="56" t="n">
        <f aca="false">COUNTIFS('SO SKUs'!$A$5:$A$61,A8,'SO SKUs'!$F$5:$F$61,TRUE())</f>
        <v>1</v>
      </c>
      <c r="D8" s="56" t="n">
        <f aca="false">COUNTIFS('SO SKUs'!$A$5:$A$61,A8,'SO SKUs'!$F$5:$F$61,FALSE())</f>
        <v>7</v>
      </c>
      <c r="E8" s="56" t="n">
        <f aca="false">COUNTIF('ERP Fixes'!$A$5:$A$35,A8)</f>
        <v>1</v>
      </c>
      <c r="F8" s="56" t="n">
        <f aca="false">COUNTIFS('ERP Fixes'!$A$5:$A$35,A8,'ERP Fixes'!$G$5:$G$35,"X")</f>
        <v>0</v>
      </c>
      <c r="G8" s="56" t="n">
        <f aca="false">E8-F8</f>
        <v>1</v>
      </c>
    </row>
    <row r="9" customFormat="false" ht="15" hidden="false" customHeight="false" outlineLevel="0" collapsed="false">
      <c r="A9" s="55" t="s">
        <v>146</v>
      </c>
      <c r="B9" s="56" t="n">
        <f aca="false">COUNTIF('SO SKUs'!$A$5:$A$61,A9)</f>
        <v>3</v>
      </c>
      <c r="C9" s="56" t="n">
        <f aca="false">COUNTIFS('SO SKUs'!$A$5:$A$61,A9,'SO SKUs'!$F$5:$F$61,TRUE())</f>
        <v>2</v>
      </c>
      <c r="D9" s="56" t="n">
        <f aca="false">COUNTIFS('SO SKUs'!$A$5:$A$61,A9,'SO SKUs'!$F$5:$F$61,FALSE())</f>
        <v>1</v>
      </c>
      <c r="E9" s="56" t="n">
        <f aca="false">COUNTIF('ERP Fixes'!$A$5:$A$35,A9)</f>
        <v>0</v>
      </c>
      <c r="F9" s="56" t="n">
        <f aca="false">COUNTIFS('ERP Fixes'!$A$5:$A$35,A9,'ERP Fixes'!$G$5:$G$35,"X")</f>
        <v>0</v>
      </c>
      <c r="G9" s="56" t="n">
        <f aca="false">E9-F9</f>
        <v>0</v>
      </c>
    </row>
    <row r="10" customFormat="false" ht="15" hidden="false" customHeight="false" outlineLevel="0" collapsed="false">
      <c r="A10" s="55" t="s">
        <v>153</v>
      </c>
      <c r="B10" s="56" t="n">
        <f aca="false">COUNTIF('SO SKUs'!$A$5:$A$61,A10)</f>
        <v>4</v>
      </c>
      <c r="C10" s="56" t="n">
        <f aca="false">COUNTIFS('SO SKUs'!$A$5:$A$61,A10,'SO SKUs'!$F$5:$F$61,TRUE())</f>
        <v>4</v>
      </c>
      <c r="D10" s="56" t="n">
        <f aca="false">COUNTIFS('SO SKUs'!$A$5:$A$61,A10,'SO SKUs'!$F$5:$F$61,FALSE())</f>
        <v>0</v>
      </c>
      <c r="E10" s="56" t="n">
        <f aca="false">COUNTIF('ERP Fixes'!$A$5:$A$35,A10)</f>
        <v>4</v>
      </c>
      <c r="F10" s="56" t="n">
        <f aca="false">COUNTIFS('ERP Fixes'!$A$5:$A$35,A10,'ERP Fixes'!$G$5:$G$35,"X")</f>
        <v>0</v>
      </c>
      <c r="G10" s="56" t="n">
        <f aca="false">E10-F10</f>
        <v>4</v>
      </c>
    </row>
    <row r="11" customFormat="false" ht="15" hidden="false" customHeight="false" outlineLevel="0" collapsed="false">
      <c r="A11" s="55" t="s">
        <v>165</v>
      </c>
      <c r="B11" s="56" t="n">
        <f aca="false">COUNTIF('SO SKUs'!$A$5:$A$61,A11)</f>
        <v>2</v>
      </c>
      <c r="C11" s="56" t="n">
        <f aca="false">COUNTIFS('SO SKUs'!$A$5:$A$61,A11,'SO SKUs'!$F$5:$F$61,TRUE())</f>
        <v>1</v>
      </c>
      <c r="D11" s="56" t="n">
        <f aca="false">COUNTIFS('SO SKUs'!$A$5:$A$61,A11,'SO SKUs'!$F$5:$F$61,FALSE())</f>
        <v>1</v>
      </c>
      <c r="E11" s="56" t="n">
        <f aca="false">COUNTIF('ERP Fixes'!$A$5:$A$35,A11)</f>
        <v>1</v>
      </c>
      <c r="F11" s="56" t="n">
        <f aca="false">COUNTIFS('ERP Fixes'!$A$5:$A$35,A11,'ERP Fixes'!$G$5:$G$35,"X")</f>
        <v>0</v>
      </c>
      <c r="G11" s="56" t="n">
        <f aca="false">E11-F11</f>
        <v>1</v>
      </c>
    </row>
    <row r="12" customFormat="false" ht="15" hidden="false" customHeight="false" outlineLevel="0" collapsed="false">
      <c r="A12" s="57" t="s">
        <v>189</v>
      </c>
      <c r="B12" s="58" t="n">
        <f aca="false">SUM(B5:B11)</f>
        <v>57</v>
      </c>
      <c r="C12" s="58" t="n">
        <f aca="false">SUM(C5:C11)</f>
        <v>39</v>
      </c>
      <c r="D12" s="58" t="n">
        <f aca="false">SUM(D5:D11)</f>
        <v>18</v>
      </c>
      <c r="E12" s="58" t="n">
        <f aca="false">SUM(E5:E11)</f>
        <v>31</v>
      </c>
      <c r="F12" s="58" t="n">
        <f aca="false">SUM(F5:F11)</f>
        <v>0</v>
      </c>
      <c r="G12" s="58" t="n">
        <f aca="false">SUM(G5:G11)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2026-10-19T19:14:06Z</dcterms:created>
  <dc:creator>openpyxl</dc:creator>
  <dc:description/>
  <dc:language>en-US</dc:language>
  <cp:lastModifiedBy/>
  <dcterms:modified xsi:type="dcterms:W3CDTF">2026-10-19T19:14:06Z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